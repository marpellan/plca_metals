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C:\WebPosts\todo20250121\"/>
    </mc:Choice>
  </mc:AlternateContent>
  <xr:revisionPtr revIDLastSave="0" documentId="13_ncr:1_{FAE5639A-9CD4-459C-B1D2-FE013249B66B}" xr6:coauthVersionLast="47" xr6:coauthVersionMax="47" xr10:uidLastSave="{00000000-0000-0000-0000-000000000000}"/>
  <bookViews>
    <workbookView xWindow="4275" yWindow="930" windowWidth="17430" windowHeight="14325" xr2:uid="{00000000-000D-0000-FFFF-FFFF00000000}"/>
  </bookViews>
  <sheets>
    <sheet name="Note" sheetId="35" r:id="rId1"/>
    <sheet name="T1" sheetId="15" r:id="rId2"/>
    <sheet name="T2" sheetId="29" r:id="rId3"/>
    <sheet name="T3" sheetId="34" r:id="rId4"/>
    <sheet name="T4" sheetId="30" r:id="rId5"/>
    <sheet name="T5" sheetId="31" r:id="rId6"/>
  </sheets>
  <definedNames>
    <definedName name="_xlnm.Print_Area" localSheetId="2">'T2'!$A$1:$E$28</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5" i="30" l="1"/>
  <c r="I25" i="30"/>
  <c r="G25" i="30"/>
  <c r="E25" i="30"/>
  <c r="C25" i="30"/>
  <c r="K17" i="30"/>
  <c r="I17" i="30"/>
  <c r="G17" i="30"/>
  <c r="E17" i="30"/>
  <c r="C17" i="30"/>
  <c r="K10" i="30"/>
  <c r="I10" i="30"/>
  <c r="G10" i="30"/>
  <c r="E10" i="30"/>
  <c r="C10" i="30"/>
</calcChain>
</file>

<file path=xl/sharedStrings.xml><?xml version="1.0" encoding="utf-8"?>
<sst xmlns="http://schemas.openxmlformats.org/spreadsheetml/2006/main" count="269" uniqueCount="161">
  <si>
    <t>TABLE 1</t>
  </si>
  <si>
    <t>United States:</t>
  </si>
  <si>
    <t>Imports for consumption:</t>
  </si>
  <si>
    <t>do.</t>
  </si>
  <si>
    <t>Raw materials</t>
  </si>
  <si>
    <t>W</t>
  </si>
  <si>
    <t>TABLE 2</t>
  </si>
  <si>
    <t>REPORTED CONSUMPTION, BY END USE, INDUSTRY STOCKS OF FERRONIOBIUM AND</t>
  </si>
  <si>
    <r>
      <t>NICKEL NIOBIUM, AND GOVERNMENT STOCKS BY MATERIAL IN THE UNITED STATES</t>
    </r>
    <r>
      <rPr>
        <vertAlign val="superscript"/>
        <sz val="8"/>
        <color indexed="8"/>
        <rFont val="Times New Roman"/>
        <family val="1"/>
      </rPr>
      <t>1</t>
    </r>
  </si>
  <si>
    <t>End use:</t>
  </si>
  <si>
    <t>Steel:</t>
  </si>
  <si>
    <t>Carbon</t>
  </si>
  <si>
    <t>Stainless and heat-resisting</t>
  </si>
  <si>
    <t>Full alloy</t>
  </si>
  <si>
    <t>(2)</t>
  </si>
  <si>
    <t>High-strength low-alloy</t>
  </si>
  <si>
    <t>Electric</t>
  </si>
  <si>
    <t>Tool</t>
  </si>
  <si>
    <t>Unspecified</t>
  </si>
  <si>
    <t>Total</t>
  </si>
  <si>
    <t>Superalloys</t>
  </si>
  <si>
    <t>Alloys (excluding steels and superalloys)</t>
  </si>
  <si>
    <t>Grand total</t>
  </si>
  <si>
    <t>Stocks, December 31:</t>
  </si>
  <si>
    <t>Consumer</t>
  </si>
  <si>
    <t xml:space="preserve">Total </t>
  </si>
  <si>
    <r>
      <t>3</t>
    </r>
    <r>
      <rPr>
        <sz val="8"/>
        <rFont val="Times New Roman"/>
        <family val="1"/>
      </rPr>
      <t>Ferroniobium only.</t>
    </r>
  </si>
  <si>
    <t>TABLE 3</t>
  </si>
  <si>
    <t xml:space="preserve"> </t>
  </si>
  <si>
    <t/>
  </si>
  <si>
    <t>Value</t>
  </si>
  <si>
    <t>Class</t>
  </si>
  <si>
    <t>Exports:</t>
  </si>
  <si>
    <t>7202.93.0000</t>
  </si>
  <si>
    <t>Ferroniobium</t>
  </si>
  <si>
    <t>2825.90.1500</t>
  </si>
  <si>
    <t>Ferroniobium:</t>
  </si>
  <si>
    <t>7202.93.4000</t>
  </si>
  <si>
    <t>Silicon &lt; 0.4%</t>
  </si>
  <si>
    <t>7202.93.8000</t>
  </si>
  <si>
    <t>Other</t>
  </si>
  <si>
    <t>8112.92.4000</t>
  </si>
  <si>
    <t>Sources: U.S. Census Bureau and U.S. Geological Survey.</t>
  </si>
  <si>
    <t>XX</t>
  </si>
  <si>
    <t>2615.90.6060</t>
  </si>
  <si>
    <t>2615.90.3000</t>
  </si>
  <si>
    <t>Synthetic concentrates</t>
  </si>
  <si>
    <t>2615.90.6030</t>
  </si>
  <si>
    <t>Niobium ores and concentrates</t>
  </si>
  <si>
    <t>Total exports</t>
  </si>
  <si>
    <t>Total ores, concentrates, and oxides</t>
  </si>
  <si>
    <t>Total ferroniobium</t>
  </si>
  <si>
    <t>Total imports</t>
  </si>
  <si>
    <t>Reported consumption, Nb content:</t>
  </si>
  <si>
    <r>
      <t>Niobium oxide, Nb content</t>
    </r>
    <r>
      <rPr>
        <vertAlign val="superscript"/>
        <sz val="8"/>
        <color theme="1"/>
        <rFont val="Times New Roman"/>
        <family val="1"/>
      </rPr>
      <t>e</t>
    </r>
  </si>
  <si>
    <r>
      <t>Ferroniobium, Nb content</t>
    </r>
    <r>
      <rPr>
        <vertAlign val="superscript"/>
        <sz val="8"/>
        <color theme="1"/>
        <rFont val="Times New Roman"/>
        <family val="1"/>
      </rPr>
      <t>e</t>
    </r>
  </si>
  <si>
    <r>
      <t>Producer</t>
    </r>
    <r>
      <rPr>
        <vertAlign val="superscript"/>
        <sz val="8"/>
        <color indexed="8"/>
        <rFont val="Times New Roman"/>
        <family val="1"/>
      </rPr>
      <t>3</t>
    </r>
  </si>
  <si>
    <r>
      <t>U.S. FOREIGN TRADE IN NIOBIUM, BY CLASS</t>
    </r>
    <r>
      <rPr>
        <vertAlign val="superscript"/>
        <sz val="8"/>
        <color indexed="8"/>
        <rFont val="Times New Roman"/>
        <family val="1"/>
      </rPr>
      <t>1</t>
    </r>
  </si>
  <si>
    <r>
      <t>Unwrought, powders</t>
    </r>
    <r>
      <rPr>
        <vertAlign val="superscript"/>
        <sz val="8"/>
        <color indexed="8"/>
        <rFont val="Times New Roman"/>
        <family val="1"/>
      </rPr>
      <t>4</t>
    </r>
  </si>
  <si>
    <r>
      <t>Tantalum ores and concentrates</t>
    </r>
    <r>
      <rPr>
        <vertAlign val="superscript"/>
        <sz val="8"/>
        <color theme="1"/>
        <rFont val="Times New Roman"/>
        <family val="1"/>
      </rPr>
      <t>3</t>
    </r>
  </si>
  <si>
    <t>Niobium ores and concentrates, gross weight</t>
  </si>
  <si>
    <t>Synthetic concentrates, gross weight</t>
  </si>
  <si>
    <t>Tantalum ores and concentrates, gross weight</t>
  </si>
  <si>
    <t>Gross weight</t>
  </si>
  <si>
    <r>
      <rPr>
        <vertAlign val="superscript"/>
        <sz val="8"/>
        <color indexed="8"/>
        <rFont val="Times New Roman"/>
        <family val="1"/>
      </rPr>
      <t>4</t>
    </r>
    <r>
      <rPr>
        <sz val="8"/>
        <color indexed="8"/>
        <rFont val="Times New Roman"/>
        <family val="1"/>
      </rPr>
      <t>Niobium waste and scrap is included in 8112.92.0600 along with other materials. Niobium other than powders, unwrought, and waste and scrap is included in 8112.99.9000 along with other materials.</t>
    </r>
  </si>
  <si>
    <t>(Metric tons, niobium content)</t>
  </si>
  <si>
    <r>
      <t>2</t>
    </r>
    <r>
      <rPr>
        <sz val="8"/>
        <color indexed="8"/>
        <rFont val="Times New Roman"/>
        <family val="1"/>
      </rPr>
      <t>Harmonized Tariff Schedule of the United States.</t>
    </r>
  </si>
  <si>
    <t>2018</t>
  </si>
  <si>
    <t>Niobium oxide</t>
  </si>
  <si>
    <t>2019</t>
  </si>
  <si>
    <r>
      <t>SALIENT NIOBIUM STATISTICS</t>
    </r>
    <r>
      <rPr>
        <vertAlign val="superscript"/>
        <sz val="8"/>
        <color theme="1"/>
        <rFont val="Times New Roman"/>
        <family val="1"/>
      </rPr>
      <t>1</t>
    </r>
  </si>
  <si>
    <t>(thousands)</t>
  </si>
  <si>
    <t>2020</t>
  </si>
  <si>
    <r>
      <rPr>
        <vertAlign val="superscript"/>
        <sz val="8"/>
        <rFont val="Times New Roman"/>
        <family val="1"/>
      </rPr>
      <t>3</t>
    </r>
    <r>
      <rPr>
        <sz val="8"/>
        <rFont val="Times New Roman"/>
        <family val="1"/>
      </rPr>
      <t>Tantalum ores and concentrates may contain niobium.</t>
    </r>
  </si>
  <si>
    <r>
      <t>2</t>
    </r>
    <r>
      <rPr>
        <sz val="8"/>
        <rFont val="Times New Roman"/>
        <family val="1"/>
      </rPr>
      <t>Included with “Steel, unspecified.”</t>
    </r>
  </si>
  <si>
    <r>
      <rPr>
        <vertAlign val="superscript"/>
        <sz val="8"/>
        <rFont val="Times New Roman"/>
        <family val="1"/>
      </rPr>
      <t>r</t>
    </r>
    <r>
      <rPr>
        <sz val="8"/>
        <rFont val="Times New Roman"/>
        <family val="1"/>
      </rPr>
      <t>Revised.  W Withheld to avoid disclosing company proprietary data.</t>
    </r>
  </si>
  <si>
    <t>2021</t>
  </si>
  <si>
    <t>r</t>
  </si>
  <si>
    <t>--</t>
  </si>
  <si>
    <t>Total imports, Nb content</t>
  </si>
  <si>
    <t>Total exports, Nb content</t>
  </si>
  <si>
    <r>
      <rPr>
        <vertAlign val="superscript"/>
        <sz val="8"/>
        <color theme="1"/>
        <rFont val="Times New Roman"/>
        <family val="1"/>
      </rP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do. Ditto.  W Withheld to avoid disclosing company proprietary data.</t>
    </r>
  </si>
  <si>
    <t>TABLE 4</t>
  </si>
  <si>
    <r>
      <t>Country or locality</t>
    </r>
    <r>
      <rPr>
        <vertAlign val="superscript"/>
        <sz val="8"/>
        <color theme="1"/>
        <rFont val="Times New Roman"/>
        <family val="1"/>
      </rPr>
      <t>3</t>
    </r>
  </si>
  <si>
    <t>Columbite-tantalite</t>
  </si>
  <si>
    <t>Pyrochlore</t>
  </si>
  <si>
    <r>
      <t>Burundi, ore and concentrate</t>
    </r>
    <r>
      <rPr>
        <vertAlign val="superscript"/>
        <sz val="8"/>
        <color theme="1"/>
        <rFont val="Times New Roman"/>
        <family val="1"/>
      </rPr>
      <t>e</t>
    </r>
  </si>
  <si>
    <t>e</t>
  </si>
  <si>
    <t>China, mineral concentrate</t>
  </si>
  <si>
    <t>Cassiterite concentrate</t>
  </si>
  <si>
    <t>Columbite-tantalite concentrate</t>
  </si>
  <si>
    <r>
      <t>Ethiopia, columbite-tantalite concentrate</t>
    </r>
    <r>
      <rPr>
        <vertAlign val="superscript"/>
        <sz val="8"/>
        <color theme="1"/>
        <rFont val="Times New Roman"/>
        <family val="1"/>
      </rPr>
      <t>e</t>
    </r>
  </si>
  <si>
    <t>Mozambique, columbite-tantalite concentrate</t>
  </si>
  <si>
    <r>
      <t>Nigeria, columbite-tantalite concentrate</t>
    </r>
    <r>
      <rPr>
        <vertAlign val="superscript"/>
        <sz val="8"/>
        <color theme="1"/>
        <rFont val="Times New Roman"/>
        <family val="1"/>
      </rPr>
      <t>e</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</si>
  <si>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t>
    </r>
  </si>
  <si>
    <r>
      <t>3</t>
    </r>
    <r>
      <rPr>
        <sz val="8"/>
        <color theme="1"/>
        <rFont val="Times New Roman"/>
        <family val="1"/>
      </rPr>
      <t>In addition to the countries and (or) localities listed, Australia, French Guiana, and Malaysia may have produced niobium mineral concentrates, but available information was inadequate to make reliable estimates of output.</t>
    </r>
  </si>
  <si>
    <t>TABLE 5</t>
  </si>
  <si>
    <r>
      <t>FERRONIOBIUM (FERROCOLUMBIUM): WORLD PRODUCTION, BY COUNTRY OR LOCALITY</t>
    </r>
    <r>
      <rPr>
        <vertAlign val="superscript"/>
        <sz val="8"/>
        <color theme="1"/>
        <rFont val="Times New Roman"/>
        <family val="1"/>
      </rPr>
      <t>1</t>
    </r>
  </si>
  <si>
    <r>
      <t>Country or locality</t>
    </r>
    <r>
      <rPr>
        <vertAlign val="superscript"/>
        <sz val="8"/>
        <color theme="1"/>
        <rFont val="Times New Roman"/>
        <family val="1"/>
      </rPr>
      <t>2</t>
    </r>
  </si>
  <si>
    <t>Brazil</t>
  </si>
  <si>
    <t>Canada</t>
  </si>
  <si>
    <t>Russia</t>
  </si>
  <si>
    <r>
      <t>e</t>
    </r>
    <r>
      <rPr>
        <sz val="8"/>
        <color theme="1"/>
        <rFont val="Times New Roman"/>
        <family val="1"/>
      </rPr>
      <t>Estimated.</t>
    </r>
  </si>
  <si>
    <r>
      <t>2</t>
    </r>
    <r>
      <rPr>
        <sz val="8"/>
        <color theme="1"/>
        <rFont val="Times New Roman"/>
        <family val="1"/>
      </rPr>
      <t>In addition to the countries and (or) localities listed, Austria, China, and Germany may have produced ferroniobium (ferrocolumbium), but available information was inadequate to make reliable estimates of output.</t>
    </r>
  </si>
  <si>
    <t>2022</t>
  </si>
  <si>
    <t>Principal destinations and sources in 2022</t>
  </si>
  <si>
    <t>XX Not applicable.  -- Zero.</t>
  </si>
  <si>
    <r>
      <t>1</t>
    </r>
    <r>
      <rPr>
        <sz val="8"/>
        <color theme="1"/>
        <rFont val="Times New Roman"/>
        <family val="1"/>
      </rPr>
      <t>Table includes data available through May 24, 2023. All data are reported unless otherwise noted, totals may include estimated data. Totals and estimated data are rounded to no more than three significant digits; may not add to totals shown.</t>
    </r>
  </si>
  <si>
    <r>
      <t>1</t>
    </r>
    <r>
      <rPr>
        <sz val="8"/>
        <color indexed="8"/>
        <rFont val="Times New Roman"/>
        <family val="1"/>
      </rPr>
      <t>Table includes data available through July 14, 2023. Data are rounded to no more than three significant digits; may not add to totals shown.</t>
    </r>
  </si>
  <si>
    <r>
      <t>Canada, pyrochlore concentrate</t>
    </r>
    <r>
      <rPr>
        <vertAlign val="superscript"/>
        <sz val="8"/>
        <color theme="1"/>
        <rFont val="Times New Roman"/>
        <family val="1"/>
      </rPr>
      <t>e</t>
    </r>
  </si>
  <si>
    <t>Rwanda:</t>
  </si>
  <si>
    <r>
      <t>Cassiterite concentrate</t>
    </r>
    <r>
      <rPr>
        <vertAlign val="superscript"/>
        <sz val="8"/>
        <color theme="1"/>
        <rFont val="Times New Roman"/>
        <family val="1"/>
      </rPr>
      <t>e</t>
    </r>
  </si>
  <si>
    <r>
      <t>Columbite-tantalite concentrate</t>
    </r>
    <r>
      <rPr>
        <vertAlign val="superscript"/>
        <sz val="8"/>
        <color theme="1"/>
        <rFont val="Times New Roman"/>
        <family val="1"/>
      </rPr>
      <t>e</t>
    </r>
  </si>
  <si>
    <r>
      <t>1</t>
    </r>
    <r>
      <rPr>
        <sz val="8"/>
        <color theme="1"/>
        <rFont val="Times New Roman"/>
        <family val="1"/>
      </rPr>
      <t>Table includes data available through September 6, 2023. All data are reported unless otherwise noted; totals may include estimated data. Grand totals and estimated data are rounded to no more than three significant digits; may not add to totals shown.</t>
    </r>
  </si>
  <si>
    <r>
      <t>2</t>
    </r>
    <r>
      <rPr>
        <sz val="8"/>
        <color theme="1"/>
        <rFont val="Times New Roman"/>
        <family val="1"/>
      </rPr>
      <t>Figures for all countries represent marketable output.</t>
    </r>
  </si>
  <si>
    <r>
      <t>NIOBIUM: WORLD PRODUCTION OF MINERAL CONCENTRATES, BY COUNTRY OR LOCALITY</t>
    </r>
    <r>
      <rPr>
        <vertAlign val="superscript"/>
        <sz val="8"/>
        <color theme="1"/>
        <rFont val="Times New Roman"/>
        <family val="1"/>
      </rPr>
      <t>1, 2</t>
    </r>
  </si>
  <si>
    <r>
      <t>Niobium-containing ores and concentrates, Nb content</t>
    </r>
    <r>
      <rPr>
        <vertAlign val="superscript"/>
        <sz val="8"/>
        <color theme="1"/>
        <rFont val="Times New Roman"/>
        <family val="1"/>
      </rPr>
      <t>e, 2</t>
    </r>
  </si>
  <si>
    <r>
      <t>Niobium metal, Nb content</t>
    </r>
    <r>
      <rPr>
        <vertAlign val="superscript"/>
        <sz val="8"/>
        <color theme="1"/>
        <rFont val="Times New Roman"/>
        <family val="1"/>
      </rPr>
      <t>3</t>
    </r>
  </si>
  <si>
    <r>
      <t>1</t>
    </r>
    <r>
      <rPr>
        <sz val="8"/>
        <color theme="1"/>
        <rFont val="Times New Roman"/>
        <family val="1"/>
      </rPr>
      <t>Table includes data available through October 10, 2023. Data are rounded to no more than three significant digits, except values.</t>
    </r>
  </si>
  <si>
    <t>(Metric tons unless otherwise specified)</t>
  </si>
  <si>
    <t>Brazil:</t>
  </si>
  <si>
    <r>
      <t>Congo (Kinshasa):</t>
    </r>
    <r>
      <rPr>
        <vertAlign val="superscript"/>
        <sz val="8"/>
        <color theme="1"/>
        <rFont val="Times New Roman"/>
        <family val="1"/>
      </rPr>
      <t>e</t>
    </r>
  </si>
  <si>
    <t>Russia, loparite concentrate</t>
  </si>
  <si>
    <r>
      <t>Uganda, ore and concentrate</t>
    </r>
    <r>
      <rPr>
        <vertAlign val="superscript"/>
        <sz val="8"/>
        <color theme="1"/>
        <rFont val="Times New Roman"/>
        <family val="1"/>
      </rPr>
      <t>e</t>
    </r>
  </si>
  <si>
    <t>(4)</t>
  </si>
  <si>
    <r>
      <rPr>
        <vertAlign val="superscript"/>
        <sz val="8"/>
        <rFont val="Times New Roman"/>
        <family val="1"/>
      </rPr>
      <t>4</t>
    </r>
    <r>
      <rPr>
        <sz val="8"/>
        <rFont val="Times New Roman"/>
        <family val="1"/>
      </rPr>
      <t>Less than ½ unit.</t>
    </r>
  </si>
  <si>
    <r>
      <t>1</t>
    </r>
    <r>
      <rPr>
        <sz val="8"/>
        <rFont val="Times New Roman"/>
        <family val="1"/>
      </rPr>
      <t>Table includes data available through July 14, 2023. Data are rounded to no more than three significant digits; may not add to totals shown.</t>
    </r>
  </si>
  <si>
    <r>
      <t>HTS</t>
    </r>
    <r>
      <rPr>
        <vertAlign val="superscript"/>
        <sz val="8"/>
        <color theme="1"/>
        <rFont val="Times New Roman"/>
        <family val="1"/>
      </rPr>
      <t>2</t>
    </r>
    <r>
      <rPr>
        <sz val="8"/>
        <color theme="1"/>
        <rFont val="Times New Roman"/>
        <family val="1"/>
      </rPr>
      <t xml:space="preserve"> codes and Schedule B</t>
    </r>
    <r>
      <rPr>
        <sz val="8"/>
        <color indexed="8"/>
        <rFont val="Times New Roman"/>
        <family val="1"/>
      </rPr>
      <t xml:space="preserve"> numbers</t>
    </r>
  </si>
  <si>
    <t>(metric tons)</t>
  </si>
  <si>
    <t>(gross weight in metric tons and values in thousand dollars)</t>
  </si>
  <si>
    <t>Mexico 40, $90, Cambodia 2, $40.</t>
  </si>
  <si>
    <t>India 5, $151.</t>
  </si>
  <si>
    <t>Belgium 2, $129.</t>
  </si>
  <si>
    <t>Singapore 27, $863; Japan 7, $33.</t>
  </si>
  <si>
    <t>China 2, $33.</t>
  </si>
  <si>
    <t xml:space="preserve">Brazil 58, $940. </t>
  </si>
  <si>
    <t>Source: U.S. Census Bureau.</t>
  </si>
  <si>
    <t>Mexico 904, $9,940; Canada 57, $535.</t>
  </si>
  <si>
    <t>Australia 744, $45,000; Congo (Kinshasa) 109, $7,520; Rwanda</t>
  </si>
  <si>
    <t>93, $5,780.</t>
  </si>
  <si>
    <t>Brazil 948, $33,300; Estonia 100, $3,590; India 31, $1,220.</t>
  </si>
  <si>
    <t>Brazil 5,030, $125,000; Canada 4,490, $129,000.</t>
  </si>
  <si>
    <r>
      <rPr>
        <vertAlign val="superscript"/>
        <sz val="8"/>
        <color theme="1"/>
        <rFont val="Times New Roman"/>
        <family val="1"/>
      </rPr>
      <t>3</t>
    </r>
    <r>
      <rPr>
        <sz val="8"/>
        <color theme="1"/>
        <rFont val="Times New Roman"/>
        <family val="1"/>
      </rPr>
      <t>Includes niobium and articles made of niobium.</t>
    </r>
  </si>
  <si>
    <r>
      <rPr>
        <vertAlign val="superscript"/>
        <sz val="8"/>
        <color theme="1"/>
        <rFont val="Times New Roman"/>
        <family val="1"/>
      </rPr>
      <t>4</t>
    </r>
    <r>
      <rPr>
        <sz val="8"/>
        <color theme="1"/>
        <rFont val="Times New Roman"/>
        <family val="1"/>
      </rPr>
      <t>Defined as imports minus exports plus adjustments for Government stock changes for 2018-2021. Beginning in 2022, Government stock changes are no longer included.</t>
    </r>
  </si>
  <si>
    <r>
      <rPr>
        <vertAlign val="superscript"/>
        <sz val="8"/>
        <color theme="1"/>
        <rFont val="Times New Roman"/>
        <family val="1"/>
      </rPr>
      <t>5</t>
    </r>
    <r>
      <rPr>
        <sz val="8"/>
        <color theme="1"/>
        <rFont val="Times New Roman"/>
        <family val="1"/>
      </rPr>
      <t>Weighted average unit value of imported plus exported materials.</t>
    </r>
  </si>
  <si>
    <r>
      <rPr>
        <vertAlign val="superscript"/>
        <sz val="8"/>
        <rFont val="Times New Roman"/>
        <family val="1"/>
      </rPr>
      <t>6</t>
    </r>
    <r>
      <rPr>
        <sz val="8"/>
        <rFont val="Times New Roman"/>
        <family val="1"/>
      </rPr>
      <t xml:space="preserve">May include estimated data. </t>
    </r>
  </si>
  <si>
    <r>
      <t>Ferroniobium and nickel niobium</t>
    </r>
    <r>
      <rPr>
        <vertAlign val="superscript"/>
        <sz val="8"/>
        <color theme="1"/>
        <rFont val="Times New Roman"/>
        <family val="1"/>
      </rPr>
      <t>3</t>
    </r>
  </si>
  <si>
    <r>
      <t>Apparent consumption, Nb content</t>
    </r>
    <r>
      <rPr>
        <vertAlign val="superscript"/>
        <sz val="8"/>
        <color theme="1"/>
        <rFont val="Times New Roman"/>
        <family val="1"/>
      </rPr>
      <t>4</t>
    </r>
  </si>
  <si>
    <r>
      <t>Unit value,</t>
    </r>
    <r>
      <rPr>
        <vertAlign val="superscript"/>
        <sz val="8"/>
        <color theme="1"/>
        <rFont val="Times New Roman"/>
        <family val="1"/>
      </rPr>
      <t xml:space="preserve">5 </t>
    </r>
    <r>
      <rPr>
        <sz val="8"/>
        <color theme="1"/>
        <rFont val="Times New Roman"/>
        <family val="1"/>
      </rPr>
      <t>gross weight:</t>
    </r>
  </si>
  <si>
    <r>
      <t>World, production of niobium concentrates, Nb content</t>
    </r>
    <r>
      <rPr>
        <vertAlign val="superscript"/>
        <sz val="8"/>
        <color theme="1"/>
        <rFont val="Times New Roman"/>
        <family val="1"/>
      </rPr>
      <t>6</t>
    </r>
  </si>
  <si>
    <t>Brazil 1,760, $79,400; Germany 98, $5,060; Estonia 44, $3,130; China 42; 3,910.</t>
  </si>
  <si>
    <t>dollars per kilogram</t>
  </si>
  <si>
    <r>
      <rPr>
        <vertAlign val="superscript"/>
        <sz val="8"/>
        <rFont val="Times New Roman"/>
        <family val="1"/>
      </rPr>
      <t>2</t>
    </r>
    <r>
      <rPr>
        <sz val="8"/>
        <rFont val="Times New Roman"/>
        <family val="1"/>
      </rPr>
      <t>Includes natural and synthetic niobium-containing ores and concentrates. Niobium (Nb) content of ores and concentrates is estimated assuming the following niobium oxide (Nb</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contents: 28% in niobium ore, 10% in synthetic concentrates, and 10% in tantalum ore. Nb</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is 69.904% Nb.</t>
    </r>
  </si>
  <si>
    <t>Advance Data Release of the</t>
  </si>
  <si>
    <t>2022 Annual Tables</t>
  </si>
  <si>
    <t>These tables are an advance data release of those to be incorporated in the USGS</t>
  </si>
  <si>
    <t xml:space="preserve"> Minerals Yearbook 2022, v. I, Metals and Minerals. The full report (text and </t>
  </si>
  <si>
    <t xml:space="preserve"> tables) will be released when publication layout is complete. Substantive changes</t>
  </si>
  <si>
    <t xml:space="preserve">to tables are not anticipated, but would be incorporated into the full report, which </t>
  </si>
  <si>
    <t>will replace these advance data release tables.</t>
  </si>
  <si>
    <t>Posted:  January 21,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</si>
</sst>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3" formatCode="_(* #,##0.00_);_(* \(#,##0.00\);_(* &quot;-&quot;??_);_(@_)"/>
    <numFmt numFmtId="164" formatCode="#,##0;[Red]#,##0"/>
    <numFmt numFmtId="165" formatCode="&quot;$&quot;#,##0"/>
  </numFmts>
  <fonts count="30" x14ac:knownFonts="1">
    <font>
      <sz val="11"/>
      <color theme="1"/>
      <name val="Calibri"/>
      <family val="2"/>
      <scheme val="minor"/>
    </font>
    <font>
      <sz val="8"/>
      <name val="Times"/>
    </font>
    <font>
      <sz val="8"/>
      <name val="Times New Roman"/>
      <family val="1"/>
    </font>
    <font>
      <sz val="8"/>
      <color indexed="8"/>
      <name val="Times New Roman"/>
      <family val="1"/>
    </font>
    <font>
      <vertAlign val="superscript"/>
      <sz val="8"/>
      <color indexed="8"/>
      <name val="Times New Roman"/>
      <family val="1"/>
    </font>
    <font>
      <vertAlign val="superscript"/>
      <sz val="8"/>
      <name val="Times New Roman"/>
      <family val="1"/>
    </font>
    <font>
      <sz val="12"/>
      <color indexed="8"/>
      <name val="Times New Roman"/>
      <family val="1"/>
    </font>
    <font>
      <sz val="14"/>
      <name val="Arial"/>
      <family val="2"/>
    </font>
    <font>
      <sz val="11"/>
      <name val="Calibri"/>
      <family val="2"/>
      <scheme val="minor"/>
    </font>
    <font>
      <sz val="8"/>
      <color theme="1"/>
      <name val="Times New Roman"/>
      <family val="1"/>
    </font>
    <font>
      <sz val="10"/>
      <color rgb="FF000000"/>
      <name val="Arial"/>
      <family val="2"/>
    </font>
    <font>
      <sz val="8"/>
      <color theme="1"/>
      <name val="Times"/>
    </font>
    <font>
      <vertAlign val="superscript"/>
      <sz val="8"/>
      <color theme="1"/>
      <name val="Times New Roman"/>
      <family val="1"/>
    </font>
    <font>
      <b/>
      <sz val="8"/>
      <color theme="1"/>
      <name val="Times New Roman"/>
      <family val="1"/>
    </font>
    <font>
      <sz val="8"/>
      <color rgb="FFFF0000"/>
      <name val="Times New Roman"/>
      <family val="1"/>
    </font>
    <font>
      <sz val="8"/>
      <color rgb="FFFF0000"/>
      <name val="Times"/>
    </font>
    <font>
      <sz val="12"/>
      <color theme="1"/>
      <name val="Calibri"/>
      <family val="2"/>
      <scheme val="minor"/>
    </font>
    <font>
      <sz val="6"/>
      <name val="Times New Roman"/>
      <family val="1"/>
    </font>
    <font>
      <sz val="12"/>
      <name val="Times New Roman"/>
      <family val="1"/>
    </font>
    <font>
      <strike/>
      <vertAlign val="superscript"/>
      <sz val="8"/>
      <color theme="1"/>
      <name val="Times New Roman"/>
      <family val="1"/>
    </font>
    <font>
      <sz val="6"/>
      <color theme="1"/>
      <name val="Times New Roman"/>
      <family val="1"/>
    </font>
    <font>
      <strike/>
      <sz val="8"/>
      <color theme="1"/>
      <name val="Times New Roman"/>
      <family val="1"/>
    </font>
    <font>
      <b/>
      <sz val="8"/>
      <name val="Times"/>
    </font>
    <font>
      <vertAlign val="subscript"/>
      <sz val="8"/>
      <name val="Times New Roman"/>
      <family val="1"/>
    </font>
    <font>
      <sz val="11"/>
      <color theme="1"/>
      <name val="Calibri"/>
      <family val="2"/>
      <scheme val="minor"/>
    </font>
    <font>
      <b/>
      <u/>
      <sz val="24"/>
      <color rgb="FF000000"/>
      <name val="Times New Roman"/>
      <family val="1"/>
    </font>
    <font>
      <b/>
      <u/>
      <sz val="36"/>
      <color rgb="FF000000"/>
      <name val="Times New Roman"/>
      <family val="1"/>
    </font>
    <font>
      <sz val="18"/>
      <color theme="1"/>
      <name val="Times New Roman"/>
      <family val="1"/>
    </font>
    <font>
      <sz val="14"/>
      <color rgb="FF000000"/>
      <name val="Times New Roman"/>
      <family val="1"/>
    </font>
    <font>
      <sz val="18"/>
      <color rgb="FF000000"/>
      <name val="Times New Roman"/>
      <family val="1"/>
    </font>
  </fonts>
  <fills count="3">
    <fill>
      <patternFill patternType="none"/>
    </fill>
    <fill>
      <patternFill patternType="gray125"/>
    </fill>
    <fill>
      <patternFill patternType="solid">
        <fgColor rgb="FFFFFFCC"/>
        <bgColor indexed="64"/>
      </patternFill>
    </fill>
  </fills>
  <borders count="20">
    <border>
      <left/>
      <right/>
      <top/>
      <bottom/>
      <diagonal/>
    </border>
    <border>
      <left/>
      <right/>
      <top style="hair">
        <color indexed="64"/>
      </top>
      <bottom/>
      <diagonal/>
    </border>
    <border>
      <left/>
      <right/>
      <top style="hair">
        <color indexed="8"/>
      </top>
      <bottom style="hair">
        <color indexed="8"/>
      </bottom>
      <diagonal/>
    </border>
    <border>
      <left/>
      <right/>
      <top style="thin">
        <color indexed="64"/>
      </top>
      <bottom style="thin">
        <color indexed="64"/>
      </bottom>
      <diagonal/>
    </border>
    <border>
      <left/>
      <right/>
      <top style="hair">
        <color auto="1"/>
      </top>
      <bottom/>
      <diagonal/>
    </border>
    <border>
      <left/>
      <right/>
      <top style="hair">
        <color indexed="8"/>
      </top>
      <bottom/>
      <diagonal/>
    </border>
    <border>
      <left/>
      <right/>
      <top style="thin">
        <color indexed="64"/>
      </top>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right/>
      <top/>
      <bottom style="thin">
        <color auto="1"/>
      </bottom>
      <diagonal/>
    </border>
    <border>
      <left/>
      <right/>
      <top style="thin">
        <color auto="1"/>
      </top>
      <bottom style="hair">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0" fontId="1" fillId="0" borderId="0"/>
    <xf numFmtId="0" fontId="10" fillId="0" borderId="0"/>
    <xf numFmtId="0" fontId="16" fillId="0" borderId="0"/>
    <xf numFmtId="43" fontId="16" fillId="0" borderId="0" applyFont="0" applyFill="0" applyBorder="0" applyAlignment="0" applyProtection="0"/>
    <xf numFmtId="37" fontId="2" fillId="0" borderId="0"/>
    <xf numFmtId="0" fontId="24" fillId="0" borderId="0"/>
    <xf numFmtId="0" fontId="2" fillId="0" borderId="0"/>
  </cellStyleXfs>
  <cellXfs count="287">
    <xf numFmtId="0" fontId="0" fillId="0" borderId="0" xfId="0"/>
    <xf numFmtId="0" fontId="2" fillId="0" borderId="0" xfId="1" applyFont="1"/>
    <xf numFmtId="0" fontId="2" fillId="0" borderId="0" xfId="1" applyFont="1" applyAlignment="1">
      <alignment horizontal="left"/>
    </xf>
    <xf numFmtId="0" fontId="5" fillId="0" borderId="0" xfId="1" applyFont="1" applyAlignment="1">
      <alignment horizontal="left" vertical="center"/>
    </xf>
    <xf numFmtId="0" fontId="1" fillId="0" borderId="0" xfId="1"/>
    <xf numFmtId="0" fontId="3" fillId="0" borderId="7" xfId="1" applyFont="1" applyBorder="1" applyAlignment="1" applyProtection="1">
      <alignment horizontal="center" vertical="center"/>
      <protection locked="0"/>
    </xf>
    <xf numFmtId="0" fontId="6" fillId="0" borderId="7" xfId="1" applyFont="1" applyBorder="1" applyAlignment="1" applyProtection="1">
      <alignment vertical="center"/>
      <protection locked="0"/>
    </xf>
    <xf numFmtId="49" fontId="3" fillId="0" borderId="0" xfId="1" applyNumberFormat="1" applyFont="1" applyAlignment="1" applyProtection="1">
      <alignment horizontal="left" vertical="center"/>
      <protection locked="0"/>
    </xf>
    <xf numFmtId="0" fontId="6" fillId="0" borderId="0" xfId="1" applyFont="1" applyAlignment="1" applyProtection="1">
      <alignment vertical="center"/>
      <protection locked="0"/>
    </xf>
    <xf numFmtId="0" fontId="3" fillId="0" borderId="0" xfId="1" applyFont="1" applyAlignment="1" applyProtection="1">
      <alignment horizontal="right" vertical="center"/>
      <protection locked="0"/>
    </xf>
    <xf numFmtId="0" fontId="3" fillId="0" borderId="0" xfId="1" applyFont="1" applyAlignment="1" applyProtection="1">
      <alignment horizontal="centerContinuous" vertical="center"/>
      <protection locked="0"/>
    </xf>
    <xf numFmtId="49" fontId="3" fillId="0" borderId="2" xfId="1" applyNumberFormat="1" applyFont="1" applyBorder="1" applyAlignment="1" applyProtection="1">
      <alignment horizontal="left" vertical="center" indent="1"/>
      <protection locked="0"/>
    </xf>
    <xf numFmtId="0" fontId="3" fillId="0" borderId="0" xfId="1" applyFont="1" applyAlignment="1" applyProtection="1">
      <alignment vertical="center"/>
      <protection locked="0"/>
    </xf>
    <xf numFmtId="49" fontId="3" fillId="0" borderId="2" xfId="1" applyNumberFormat="1" applyFont="1" applyBorder="1" applyAlignment="1" applyProtection="1">
      <alignment horizontal="left" vertical="center" indent="2"/>
      <protection locked="0"/>
    </xf>
    <xf numFmtId="49" fontId="3" fillId="0" borderId="2" xfId="1" applyNumberFormat="1" applyFont="1" applyBorder="1" applyAlignment="1" applyProtection="1">
      <alignment horizontal="left" vertical="center" indent="3"/>
      <protection locked="0"/>
    </xf>
    <xf numFmtId="49" fontId="3" fillId="0" borderId="2" xfId="1" applyNumberFormat="1" applyFont="1" applyBorder="1" applyAlignment="1" applyProtection="1">
      <alignment horizontal="left" vertical="center"/>
      <protection locked="0"/>
    </xf>
    <xf numFmtId="0" fontId="2" fillId="0" borderId="0" xfId="1" applyFont="1" applyAlignment="1" applyProtection="1">
      <alignment vertical="center"/>
      <protection locked="0"/>
    </xf>
    <xf numFmtId="0" fontId="2" fillId="0" borderId="0" xfId="1" applyFont="1" applyAlignment="1">
      <alignment horizontal="left" vertical="center"/>
    </xf>
    <xf numFmtId="0" fontId="7" fillId="0" borderId="0" xfId="1" applyFont="1"/>
    <xf numFmtId="0" fontId="1" fillId="0" borderId="0" xfId="1" applyAlignment="1">
      <alignment horizontal="left" vertical="center"/>
    </xf>
    <xf numFmtId="3" fontId="9" fillId="0" borderId="0" xfId="1" applyNumberFormat="1" applyFont="1" applyFill="1" applyAlignment="1">
      <alignment horizontal="right" vertical="center"/>
    </xf>
    <xf numFmtId="3" fontId="12" fillId="0" borderId="0" xfId="1" applyNumberFormat="1" applyFont="1" applyFill="1" applyAlignment="1">
      <alignment horizontal="left" vertical="center"/>
    </xf>
    <xf numFmtId="164" fontId="9" fillId="0" borderId="0" xfId="1" applyNumberFormat="1" applyFont="1" applyFill="1" applyAlignment="1">
      <alignment horizontal="right" vertical="center"/>
    </xf>
    <xf numFmtId="0" fontId="9" fillId="0" borderId="0" xfId="1" applyFont="1" applyFill="1" applyAlignment="1">
      <alignment horizontal="left" vertical="center"/>
    </xf>
    <xf numFmtId="3" fontId="9" fillId="0" borderId="9" xfId="1" applyNumberFormat="1" applyFont="1" applyFill="1" applyBorder="1" applyAlignment="1">
      <alignment horizontal="right" vertical="center"/>
    </xf>
    <xf numFmtId="164" fontId="12" fillId="0" borderId="0" xfId="1" applyNumberFormat="1" applyFont="1" applyFill="1" applyAlignment="1">
      <alignment horizontal="left" vertical="center"/>
    </xf>
    <xf numFmtId="49" fontId="12" fillId="0" borderId="9" xfId="1" applyNumberFormat="1" applyFont="1" applyFill="1" applyBorder="1" applyAlignment="1">
      <alignment horizontal="left" vertical="center"/>
    </xf>
    <xf numFmtId="0" fontId="13" fillId="0" borderId="7" xfId="1" applyFont="1" applyFill="1" applyBorder="1" applyAlignment="1" applyProtection="1">
      <alignment horizontal="center" vertical="center"/>
      <protection locked="0"/>
    </xf>
    <xf numFmtId="0" fontId="13" fillId="0" borderId="7" xfId="1" applyFont="1" applyFill="1" applyBorder="1" applyAlignment="1" applyProtection="1">
      <alignment horizontal="left" vertical="center"/>
      <protection locked="0"/>
    </xf>
    <xf numFmtId="49" fontId="9" fillId="0" borderId="7" xfId="1" applyNumberFormat="1" applyFont="1" applyFill="1" applyBorder="1" applyAlignment="1">
      <alignment horizontal="right" vertical="center"/>
    </xf>
    <xf numFmtId="1" fontId="9" fillId="0" borderId="7" xfId="1" applyNumberFormat="1" applyFont="1" applyFill="1" applyBorder="1" applyAlignment="1">
      <alignment horizontal="left"/>
    </xf>
    <xf numFmtId="1" fontId="12" fillId="0" borderId="7" xfId="1" applyNumberFormat="1" applyFont="1" applyFill="1" applyBorder="1" applyAlignment="1">
      <alignment horizontal="left" vertical="center"/>
    </xf>
    <xf numFmtId="49" fontId="9" fillId="0" borderId="0" xfId="1" applyNumberFormat="1" applyFont="1" applyFill="1" applyAlignment="1" applyProtection="1">
      <alignment horizontal="left" vertical="center"/>
      <protection locked="0"/>
    </xf>
    <xf numFmtId="49" fontId="9" fillId="0" borderId="0" xfId="1" applyNumberFormat="1" applyFont="1" applyFill="1" applyAlignment="1" applyProtection="1">
      <alignment vertical="center"/>
      <protection locked="0"/>
    </xf>
    <xf numFmtId="0" fontId="9" fillId="0" borderId="0" xfId="1" applyFont="1" applyFill="1"/>
    <xf numFmtId="0" fontId="9" fillId="0" borderId="0" xfId="1" applyFont="1" applyFill="1" applyAlignment="1">
      <alignment horizontal="left"/>
    </xf>
    <xf numFmtId="0" fontId="12" fillId="0" borderId="4" xfId="1" applyFont="1" applyFill="1" applyBorder="1" applyAlignment="1">
      <alignment horizontal="left" vertical="center"/>
    </xf>
    <xf numFmtId="49" fontId="9" fillId="0" borderId="7" xfId="1" applyNumberFormat="1" applyFont="1" applyFill="1" applyBorder="1" applyAlignment="1" applyProtection="1">
      <alignment horizontal="left" vertical="center" indent="1"/>
      <protection locked="0"/>
    </xf>
    <xf numFmtId="0" fontId="12" fillId="0" borderId="0" xfId="1" applyFont="1" applyFill="1" applyAlignment="1">
      <alignment horizontal="left" vertical="center"/>
    </xf>
    <xf numFmtId="49" fontId="9" fillId="0" borderId="7" xfId="1" applyNumberFormat="1" applyFont="1" applyFill="1" applyBorder="1" applyAlignment="1" applyProtection="1">
      <alignment horizontal="left" vertical="center" indent="2"/>
      <protection locked="0"/>
    </xf>
    <xf numFmtId="49" fontId="9" fillId="0" borderId="9" xfId="1" applyNumberFormat="1" applyFont="1" applyFill="1" applyBorder="1" applyAlignment="1" applyProtection="1">
      <alignment horizontal="right" vertical="center"/>
      <protection locked="0"/>
    </xf>
    <xf numFmtId="3" fontId="9" fillId="0" borderId="0" xfId="1" applyNumberFormat="1" applyFont="1" applyFill="1" applyAlignment="1">
      <alignment horizontal="left" vertical="center"/>
    </xf>
    <xf numFmtId="49" fontId="9" fillId="0" borderId="7" xfId="1" applyNumberFormat="1" applyFont="1" applyFill="1" applyBorder="1" applyAlignment="1" applyProtection="1">
      <alignment horizontal="right" vertical="center"/>
      <protection locked="0"/>
    </xf>
    <xf numFmtId="49" fontId="12" fillId="0" borderId="6" xfId="1" applyNumberFormat="1" applyFont="1" applyFill="1" applyBorder="1" applyAlignment="1">
      <alignment horizontal="left" vertical="center"/>
    </xf>
    <xf numFmtId="49" fontId="12" fillId="0" borderId="0" xfId="1" applyNumberFormat="1" applyFont="1" applyFill="1" applyAlignment="1">
      <alignment horizontal="left" vertical="center"/>
    </xf>
    <xf numFmtId="49" fontId="9" fillId="0" borderId="0" xfId="1" applyNumberFormat="1" applyFont="1" applyFill="1" applyAlignment="1" applyProtection="1">
      <alignment horizontal="left" vertical="center" indent="2"/>
      <protection locked="0"/>
    </xf>
    <xf numFmtId="3" fontId="9" fillId="0" borderId="4" xfId="1" applyNumberFormat="1" applyFont="1" applyFill="1" applyBorder="1" applyAlignment="1">
      <alignment horizontal="right" vertical="center"/>
    </xf>
    <xf numFmtId="49" fontId="9" fillId="0" borderId="4" xfId="1" applyNumberFormat="1" applyFont="1" applyFill="1" applyBorder="1" applyAlignment="1" applyProtection="1">
      <alignment vertical="center"/>
      <protection locked="0"/>
    </xf>
    <xf numFmtId="3" fontId="12" fillId="0" borderId="9" xfId="1" applyNumberFormat="1" applyFont="1" applyFill="1" applyBorder="1" applyAlignment="1">
      <alignment horizontal="left" vertical="center"/>
    </xf>
    <xf numFmtId="49" fontId="12" fillId="0" borderId="4" xfId="1" applyNumberFormat="1" applyFont="1" applyFill="1" applyBorder="1" applyAlignment="1">
      <alignment horizontal="left" vertical="center"/>
    </xf>
    <xf numFmtId="49" fontId="9" fillId="0" borderId="4" xfId="1" applyNumberFormat="1" applyFont="1" applyFill="1" applyBorder="1" applyAlignment="1" applyProtection="1">
      <alignment horizontal="right" vertical="center"/>
      <protection locked="0"/>
    </xf>
    <xf numFmtId="2" fontId="9" fillId="0" borderId="0" xfId="1" applyNumberFormat="1" applyFont="1" applyFill="1" applyAlignment="1">
      <alignment horizontal="right" vertical="center"/>
    </xf>
    <xf numFmtId="2" fontId="9" fillId="0" borderId="0" xfId="1" applyNumberFormat="1" applyFont="1" applyFill="1" applyAlignment="1">
      <alignment horizontal="left" vertical="center"/>
    </xf>
    <xf numFmtId="2" fontId="12" fillId="0" borderId="0" xfId="1" applyNumberFormat="1" applyFont="1" applyFill="1" applyAlignment="1">
      <alignment horizontal="left" vertical="center"/>
    </xf>
    <xf numFmtId="49" fontId="19" fillId="0" borderId="0" xfId="1" applyNumberFormat="1" applyFont="1" applyFill="1" applyAlignment="1">
      <alignment horizontal="left" vertical="center"/>
    </xf>
    <xf numFmtId="49" fontId="9" fillId="0" borderId="7" xfId="1" applyNumberFormat="1" applyFont="1" applyFill="1" applyBorder="1" applyAlignment="1" applyProtection="1">
      <alignment horizontal="left" vertical="center"/>
      <protection locked="0"/>
    </xf>
    <xf numFmtId="49" fontId="9" fillId="0" borderId="9" xfId="1" applyNumberFormat="1" applyFont="1" applyFill="1" applyBorder="1" applyAlignment="1" applyProtection="1">
      <alignment horizontal="left" vertical="center"/>
      <protection locked="0"/>
    </xf>
    <xf numFmtId="49" fontId="9" fillId="0" borderId="9" xfId="1" applyNumberFormat="1" applyFont="1" applyBorder="1" applyAlignment="1" applyProtection="1">
      <alignment horizontal="center" vertical="center"/>
      <protection locked="0"/>
    </xf>
    <xf numFmtId="49" fontId="9" fillId="0" borderId="4" xfId="1" applyNumberFormat="1" applyFont="1" applyFill="1" applyBorder="1" applyAlignment="1" applyProtection="1">
      <alignment horizontal="left" vertical="center" indent="1"/>
      <protection locked="0"/>
    </xf>
    <xf numFmtId="1" fontId="1" fillId="0" borderId="0" xfId="1" applyNumberFormat="1"/>
    <xf numFmtId="3" fontId="2" fillId="0" borderId="0" xfId="1" applyNumberFormat="1" applyFont="1"/>
    <xf numFmtId="3" fontId="9" fillId="0" borderId="6" xfId="1" applyNumberFormat="1" applyFont="1" applyFill="1" applyBorder="1" applyAlignment="1">
      <alignment horizontal="right" vertical="center"/>
    </xf>
    <xf numFmtId="3" fontId="9" fillId="0" borderId="0" xfId="1" quotePrefix="1" applyNumberFormat="1" applyFont="1" applyFill="1" applyAlignment="1">
      <alignment horizontal="right" vertical="center"/>
    </xf>
    <xf numFmtId="3" fontId="9" fillId="0" borderId="6" xfId="1" quotePrefix="1" applyNumberFormat="1" applyFont="1" applyFill="1" applyBorder="1" applyAlignment="1">
      <alignment horizontal="right" vertical="center"/>
    </xf>
    <xf numFmtId="49" fontId="9" fillId="0" borderId="0" xfId="1" applyNumberFormat="1" applyFont="1" applyFill="1" applyAlignment="1">
      <alignment horizontal="right" vertical="center"/>
    </xf>
    <xf numFmtId="4" fontId="9" fillId="0" borderId="0" xfId="1" applyNumberFormat="1" applyFont="1" applyFill="1" applyAlignment="1">
      <alignment horizontal="right" vertical="center"/>
    </xf>
    <xf numFmtId="49" fontId="9" fillId="0" borderId="7" xfId="1" applyNumberFormat="1" applyFont="1" applyBorder="1" applyAlignment="1" applyProtection="1">
      <alignment horizontal="left" vertical="center" indent="1"/>
      <protection locked="0"/>
    </xf>
    <xf numFmtId="49" fontId="9" fillId="0" borderId="0" xfId="3" applyNumberFormat="1" applyFont="1" applyAlignment="1">
      <alignment vertical="center"/>
    </xf>
    <xf numFmtId="49" fontId="9" fillId="0" borderId="0" xfId="3" applyNumberFormat="1" applyFont="1"/>
    <xf numFmtId="49" fontId="9" fillId="0" borderId="7" xfId="4" applyNumberFormat="1" applyFont="1" applyBorder="1" applyAlignment="1">
      <alignment horizontal="right"/>
    </xf>
    <xf numFmtId="49" fontId="12" fillId="0" borderId="7" xfId="3" applyNumberFormat="1" applyFont="1" applyBorder="1" applyAlignment="1">
      <alignment horizontal="left" vertical="center"/>
    </xf>
    <xf numFmtId="49" fontId="9" fillId="0" borderId="9" xfId="3" applyNumberFormat="1" applyFont="1" applyBorder="1" applyAlignment="1">
      <alignment horizontal="left" vertical="center"/>
    </xf>
    <xf numFmtId="49" fontId="9" fillId="0" borderId="0" xfId="4" applyNumberFormat="1" applyFont="1" applyBorder="1" applyAlignment="1">
      <alignment horizontal="right"/>
    </xf>
    <xf numFmtId="49" fontId="9" fillId="0" borderId="9" xfId="3" applyNumberFormat="1" applyFont="1" applyBorder="1" applyAlignment="1">
      <alignment horizontal="left" vertical="center" indent="1"/>
    </xf>
    <xf numFmtId="3" fontId="9" fillId="0" borderId="0" xfId="4" applyNumberFormat="1" applyFont="1" applyAlignment="1">
      <alignment horizontal="right"/>
    </xf>
    <xf numFmtId="49" fontId="9" fillId="0" borderId="7" xfId="3" applyNumberFormat="1" applyFont="1" applyBorder="1" applyAlignment="1">
      <alignment horizontal="left" vertical="center" indent="1"/>
    </xf>
    <xf numFmtId="3" fontId="9" fillId="0" borderId="9" xfId="4" applyNumberFormat="1" applyFont="1" applyBorder="1" applyAlignment="1">
      <alignment horizontal="right"/>
    </xf>
    <xf numFmtId="49" fontId="12" fillId="0" borderId="9" xfId="3" applyNumberFormat="1" applyFont="1" applyBorder="1" applyAlignment="1">
      <alignment horizontal="left" vertical="center"/>
    </xf>
    <xf numFmtId="49" fontId="9" fillId="0" borderId="7" xfId="3" applyNumberFormat="1" applyFont="1" applyBorder="1" applyAlignment="1">
      <alignment horizontal="left" vertical="center" indent="2"/>
    </xf>
    <xf numFmtId="49" fontId="9" fillId="0" borderId="7" xfId="3" applyNumberFormat="1" applyFont="1" applyBorder="1" applyAlignment="1">
      <alignment horizontal="left" vertical="center"/>
    </xf>
    <xf numFmtId="3" fontId="9" fillId="0" borderId="10" xfId="4" applyNumberFormat="1" applyFont="1" applyBorder="1" applyAlignment="1">
      <alignment horizontal="right"/>
    </xf>
    <xf numFmtId="49" fontId="12" fillId="0" borderId="10" xfId="3" applyNumberFormat="1" applyFont="1" applyBorder="1" applyAlignment="1">
      <alignment horizontal="left" vertical="center"/>
    </xf>
    <xf numFmtId="49" fontId="9" fillId="0" borderId="0" xfId="3" applyNumberFormat="1" applyFont="1" applyAlignment="1">
      <alignment horizontal="left" vertical="center" wrapText="1"/>
    </xf>
    <xf numFmtId="49" fontId="9" fillId="0" borderId="0" xfId="3" applyNumberFormat="1" applyFont="1" applyAlignment="1">
      <alignment horizontal="left" vertical="center"/>
    </xf>
    <xf numFmtId="49" fontId="9" fillId="0" borderId="0" xfId="4" applyNumberFormat="1" applyFont="1" applyAlignment="1">
      <alignment horizontal="right"/>
    </xf>
    <xf numFmtId="49" fontId="9" fillId="0" borderId="7" xfId="3" applyNumberFormat="1" applyFont="1" applyBorder="1" applyAlignment="1">
      <alignment vertical="center"/>
    </xf>
    <xf numFmtId="49" fontId="9" fillId="0" borderId="7" xfId="1" applyNumberFormat="1" applyFont="1" applyBorder="1" applyAlignment="1" applyProtection="1">
      <alignment horizontal="left" vertical="center"/>
      <protection locked="0"/>
    </xf>
    <xf numFmtId="49" fontId="9" fillId="0" borderId="7" xfId="4" applyNumberFormat="1" applyFont="1" applyBorder="1" applyAlignment="1">
      <alignment horizontal="right" vertical="center"/>
    </xf>
    <xf numFmtId="3" fontId="9" fillId="0" borderId="0" xfId="4" applyNumberFormat="1" applyFont="1" applyAlignment="1">
      <alignment horizontal="right" vertical="center"/>
    </xf>
    <xf numFmtId="3" fontId="9" fillId="0" borderId="7" xfId="4" applyNumberFormat="1" applyFont="1" applyBorder="1" applyAlignment="1">
      <alignment horizontal="right" vertical="center"/>
    </xf>
    <xf numFmtId="49" fontId="9" fillId="0" borderId="0" xfId="4" applyNumberFormat="1" applyFont="1" applyAlignment="1">
      <alignment horizontal="right" vertical="center"/>
    </xf>
    <xf numFmtId="3" fontId="2" fillId="0" borderId="0" xfId="1" applyNumberFormat="1" applyFont="1" applyAlignment="1">
      <alignment horizontal="left" vertical="center"/>
    </xf>
    <xf numFmtId="49" fontId="9" fillId="0" borderId="7" xfId="3" applyNumberFormat="1" applyFont="1" applyBorder="1" applyAlignment="1">
      <alignment horizontal="center" vertical="center"/>
    </xf>
    <xf numFmtId="3" fontId="9" fillId="0" borderId="4" xfId="4" applyNumberFormat="1" applyFont="1" applyBorder="1" applyAlignment="1">
      <alignment horizontal="right"/>
    </xf>
    <xf numFmtId="3" fontId="9" fillId="0" borderId="0" xfId="4" applyNumberFormat="1" applyFont="1" applyBorder="1" applyAlignment="1">
      <alignment horizontal="right"/>
    </xf>
    <xf numFmtId="3" fontId="9" fillId="0" borderId="6" xfId="4" applyNumberFormat="1" applyFont="1" applyBorder="1" applyAlignment="1">
      <alignment horizontal="right"/>
    </xf>
    <xf numFmtId="49" fontId="12" fillId="0" borderId="6" xfId="3" applyNumberFormat="1" applyFont="1" applyBorder="1" applyAlignment="1">
      <alignment horizontal="left" vertical="center"/>
    </xf>
    <xf numFmtId="49" fontId="3" fillId="0" borderId="7" xfId="1" applyNumberFormat="1" applyFont="1" applyBorder="1" applyAlignment="1" applyProtection="1">
      <alignment horizontal="right" vertical="center"/>
      <protection locked="0"/>
    </xf>
    <xf numFmtId="49" fontId="3" fillId="0" borderId="7" xfId="1" applyNumberFormat="1" applyFont="1" applyBorder="1" applyAlignment="1" applyProtection="1">
      <alignment horizontal="centerContinuous" vertical="center"/>
      <protection locked="0"/>
    </xf>
    <xf numFmtId="3" fontId="2" fillId="0" borderId="0" xfId="1" quotePrefix="1" applyNumberFormat="1" applyFont="1" applyAlignment="1" applyProtection="1">
      <alignment horizontal="right" vertical="center"/>
      <protection locked="0"/>
    </xf>
    <xf numFmtId="49" fontId="5" fillId="0" borderId="0" xfId="1" applyNumberFormat="1" applyFont="1" applyAlignment="1" applyProtection="1">
      <alignment horizontal="left" vertical="center"/>
      <protection locked="0"/>
    </xf>
    <xf numFmtId="49" fontId="17" fillId="0" borderId="0" xfId="1" quotePrefix="1" applyNumberFormat="1" applyFont="1" applyAlignment="1" applyProtection="1">
      <alignment horizontal="right" vertical="center"/>
      <protection locked="0"/>
    </xf>
    <xf numFmtId="3" fontId="2" fillId="0" borderId="0" xfId="1" applyNumberFormat="1" applyFont="1" applyAlignment="1" applyProtection="1">
      <alignment horizontal="right" vertical="center"/>
      <protection locked="0"/>
    </xf>
    <xf numFmtId="0" fontId="2" fillId="0" borderId="0" xfId="1" applyFont="1" applyAlignment="1" applyProtection="1">
      <alignment horizontal="right" vertical="center"/>
      <protection locked="0"/>
    </xf>
    <xf numFmtId="3" fontId="2" fillId="0" borderId="1" xfId="1" applyNumberFormat="1" applyFont="1" applyBorder="1" applyAlignment="1" applyProtection="1">
      <alignment horizontal="right" vertical="center"/>
      <protection locked="0"/>
    </xf>
    <xf numFmtId="49" fontId="12" fillId="0" borderId="1" xfId="1" applyNumberFormat="1" applyFont="1" applyBorder="1" applyAlignment="1" applyProtection="1">
      <alignment horizontal="left" vertical="center"/>
      <protection locked="0"/>
    </xf>
    <xf numFmtId="49" fontId="12" fillId="0" borderId="10" xfId="1" applyNumberFormat="1" applyFont="1" applyBorder="1" applyAlignment="1" applyProtection="1">
      <alignment horizontal="left" vertical="center"/>
      <protection locked="0"/>
    </xf>
    <xf numFmtId="0" fontId="2" fillId="0" borderId="0" xfId="1" quotePrefix="1" applyFont="1" applyAlignment="1" applyProtection="1">
      <alignment horizontal="right" vertical="center"/>
      <protection locked="0"/>
    </xf>
    <xf numFmtId="3" fontId="2" fillId="0" borderId="3" xfId="1" applyNumberFormat="1" applyFont="1" applyBorder="1" applyAlignment="1" applyProtection="1">
      <alignment horizontal="right" vertical="center"/>
      <protection locked="0"/>
    </xf>
    <xf numFmtId="49" fontId="12" fillId="0" borderId="3" xfId="1" applyNumberFormat="1" applyFont="1" applyBorder="1" applyAlignment="1" applyProtection="1">
      <alignment horizontal="left" vertical="center"/>
      <protection locked="0"/>
    </xf>
    <xf numFmtId="3" fontId="18" fillId="0" borderId="0" xfId="1" applyNumberFormat="1" applyFont="1" applyAlignment="1" applyProtection="1">
      <alignment horizontal="right" vertical="center"/>
      <protection locked="0"/>
    </xf>
    <xf numFmtId="49" fontId="18" fillId="0" borderId="0" xfId="1" applyNumberFormat="1" applyFont="1" applyAlignment="1" applyProtection="1">
      <alignment horizontal="left" vertical="center"/>
      <protection locked="0"/>
    </xf>
    <xf numFmtId="49" fontId="2" fillId="0" borderId="0" xfId="1" applyNumberFormat="1" applyFont="1" applyAlignment="1" applyProtection="1">
      <alignment horizontal="right" vertical="center"/>
      <protection locked="0"/>
    </xf>
    <xf numFmtId="3" fontId="2" fillId="0" borderId="4" xfId="1" applyNumberFormat="1" applyFont="1" applyBorder="1" applyAlignment="1" applyProtection="1">
      <alignment horizontal="right" vertical="center"/>
      <protection locked="0"/>
    </xf>
    <xf numFmtId="49" fontId="12" fillId="0" borderId="4" xfId="1" applyNumberFormat="1" applyFont="1" applyBorder="1" applyAlignment="1" applyProtection="1">
      <alignment horizontal="left" vertical="center"/>
      <protection locked="0"/>
    </xf>
    <xf numFmtId="0" fontId="2" fillId="0" borderId="4" xfId="1" applyFont="1" applyBorder="1" applyAlignment="1" applyProtection="1">
      <alignment horizontal="right" vertical="center"/>
      <protection locked="0"/>
    </xf>
    <xf numFmtId="49" fontId="9" fillId="0" borderId="2" xfId="1" applyNumberFormat="1" applyFont="1" applyBorder="1" applyAlignment="1" applyProtection="1">
      <alignment horizontal="left" vertical="center" indent="2"/>
      <protection locked="0"/>
    </xf>
    <xf numFmtId="49" fontId="9" fillId="0" borderId="7" xfId="1" applyNumberFormat="1" applyFont="1" applyBorder="1" applyAlignment="1" applyProtection="1">
      <alignment horizontal="left" vertical="center" indent="2"/>
      <protection locked="0"/>
    </xf>
    <xf numFmtId="49" fontId="2" fillId="0" borderId="0" xfId="1" applyNumberFormat="1" applyFont="1" applyAlignment="1" applyProtection="1">
      <alignment horizontal="left" vertical="center"/>
      <protection locked="0"/>
    </xf>
    <xf numFmtId="49" fontId="12" fillId="0" borderId="0" xfId="1" applyNumberFormat="1" applyFont="1" applyAlignment="1" applyProtection="1">
      <alignment horizontal="left" vertical="center"/>
      <protection locked="0"/>
    </xf>
    <xf numFmtId="49" fontId="2" fillId="0" borderId="0" xfId="3" applyNumberFormat="1" applyFont="1" applyAlignment="1">
      <alignment vertical="center"/>
    </xf>
    <xf numFmtId="49" fontId="12" fillId="0" borderId="0" xfId="3" applyNumberFormat="1" applyFont="1" applyAlignment="1">
      <alignment horizontal="left" vertical="center"/>
    </xf>
    <xf numFmtId="49" fontId="12" fillId="0" borderId="4" xfId="3" applyNumberFormat="1" applyFont="1" applyBorder="1" applyAlignment="1">
      <alignment horizontal="left" vertical="center"/>
    </xf>
    <xf numFmtId="49" fontId="9" fillId="0" borderId="9" xfId="1" applyNumberFormat="1" applyFont="1" applyFill="1" applyBorder="1" applyAlignment="1" applyProtection="1">
      <alignment horizontal="left" vertical="center" indent="2"/>
      <protection locked="0"/>
    </xf>
    <xf numFmtId="49" fontId="9" fillId="0" borderId="0" xfId="1" applyNumberFormat="1" applyFont="1" applyFill="1" applyBorder="1" applyAlignment="1" applyProtection="1">
      <alignment horizontal="left" vertical="center" indent="1"/>
      <protection locked="0"/>
    </xf>
    <xf numFmtId="49" fontId="12" fillId="0" borderId="0" xfId="1" applyNumberFormat="1" applyFont="1" applyAlignment="1" applyProtection="1">
      <alignment horizontal="left" vertical="center"/>
      <protection locked="0"/>
    </xf>
    <xf numFmtId="49" fontId="9" fillId="0" borderId="0" xfId="1" applyNumberFormat="1" applyFont="1" applyAlignment="1" applyProtection="1">
      <alignment horizontal="left" vertical="center"/>
      <protection locked="0"/>
    </xf>
    <xf numFmtId="49" fontId="2" fillId="0" borderId="0" xfId="1" applyNumberFormat="1" applyFont="1" applyAlignment="1" applyProtection="1">
      <alignment horizontal="left" vertical="center"/>
      <protection locked="0"/>
    </xf>
    <xf numFmtId="49" fontId="0" fillId="0" borderId="0" xfId="0" applyNumberFormat="1" applyAlignment="1">
      <alignment horizontal="left" vertical="center"/>
    </xf>
    <xf numFmtId="49" fontId="3" fillId="0" borderId="0" xfId="1" applyNumberFormat="1" applyFont="1" applyAlignment="1">
      <alignment horizontal="center" vertical="center"/>
    </xf>
    <xf numFmtId="0" fontId="3" fillId="0" borderId="4" xfId="1" applyFont="1" applyBorder="1"/>
    <xf numFmtId="0" fontId="3" fillId="0" borderId="5" xfId="1" applyFont="1" applyBorder="1" applyAlignment="1" applyProtection="1">
      <alignment horizontal="center" vertical="center"/>
      <protection locked="0"/>
    </xf>
    <xf numFmtId="0" fontId="3" fillId="0" borderId="5" xfId="1" applyFont="1" applyBorder="1" applyAlignment="1" applyProtection="1">
      <alignment vertical="center"/>
      <protection locked="0"/>
    </xf>
    <xf numFmtId="1" fontId="3" fillId="0" borderId="5" xfId="1" applyNumberFormat="1" applyFont="1" applyBorder="1" applyAlignment="1" applyProtection="1">
      <alignment horizontal="fill" vertical="center"/>
      <protection locked="0"/>
    </xf>
    <xf numFmtId="49" fontId="3" fillId="0" borderId="5" xfId="1" applyNumberFormat="1" applyFont="1" applyBorder="1" applyAlignment="1" applyProtection="1">
      <alignment horizontal="centerContinuous" vertical="center"/>
      <protection locked="0"/>
    </xf>
    <xf numFmtId="49" fontId="3" fillId="0" borderId="5" xfId="1" applyNumberFormat="1" applyFont="1" applyBorder="1" applyAlignment="1" applyProtection="1">
      <alignment vertical="center"/>
      <protection locked="0"/>
    </xf>
    <xf numFmtId="0" fontId="9" fillId="0" borderId="0" xfId="1" applyFont="1"/>
    <xf numFmtId="0" fontId="9" fillId="0" borderId="0" xfId="1" applyFont="1" applyAlignment="1" applyProtection="1">
      <alignment horizontal="center" vertical="center"/>
      <protection locked="0"/>
    </xf>
    <xf numFmtId="0" fontId="9" fillId="0" borderId="0" xfId="1" applyFont="1" applyAlignment="1" applyProtection="1">
      <alignment vertical="center"/>
      <protection locked="0"/>
    </xf>
    <xf numFmtId="49" fontId="9" fillId="0" borderId="0" xfId="1" applyNumberFormat="1" applyFont="1" applyAlignment="1" applyProtection="1">
      <alignment horizontal="center" vertical="center"/>
      <protection locked="0"/>
    </xf>
    <xf numFmtId="49" fontId="9" fillId="0" borderId="0" xfId="1" applyNumberFormat="1" applyFont="1" applyAlignment="1" applyProtection="1">
      <alignment horizontal="right" vertical="center"/>
      <protection locked="0"/>
    </xf>
    <xf numFmtId="3" fontId="9" fillId="0" borderId="9" xfId="1" applyNumberFormat="1" applyFont="1" applyBorder="1" applyAlignment="1">
      <alignment horizontal="center" vertical="center"/>
    </xf>
    <xf numFmtId="0" fontId="9" fillId="0" borderId="9" xfId="1" applyFont="1" applyBorder="1" applyAlignment="1" applyProtection="1">
      <alignment vertical="center"/>
      <protection locked="0"/>
    </xf>
    <xf numFmtId="49" fontId="9" fillId="0" borderId="9" xfId="1" applyNumberFormat="1" applyFont="1" applyBorder="1" applyAlignment="1" applyProtection="1">
      <alignment horizontal="right" vertical="center"/>
      <protection locked="0"/>
    </xf>
    <xf numFmtId="49" fontId="9" fillId="0" borderId="0" xfId="1" applyNumberFormat="1" applyFont="1"/>
    <xf numFmtId="49" fontId="9" fillId="0" borderId="0" xfId="1" applyNumberFormat="1" applyFont="1" applyAlignment="1">
      <alignment horizontal="center" vertical="center"/>
    </xf>
    <xf numFmtId="49" fontId="9" fillId="0" borderId="7" xfId="1" applyNumberFormat="1" applyFont="1" applyBorder="1" applyAlignment="1">
      <alignment horizontal="left" vertical="center"/>
    </xf>
    <xf numFmtId="0" fontId="11" fillId="0" borderId="0" xfId="1" applyFont="1"/>
    <xf numFmtId="3" fontId="9" fillId="0" borderId="0" xfId="1" applyNumberFormat="1" applyFont="1" applyAlignment="1" applyProtection="1">
      <alignment horizontal="right" vertical="center"/>
      <protection locked="0"/>
    </xf>
    <xf numFmtId="165" fontId="9" fillId="0" borderId="0" xfId="1" applyNumberFormat="1" applyFont="1" applyAlignment="1" applyProtection="1">
      <alignment horizontal="right" vertical="center"/>
      <protection locked="0"/>
    </xf>
    <xf numFmtId="3" fontId="12" fillId="0" borderId="0" xfId="1" applyNumberFormat="1" applyFont="1" applyAlignment="1" applyProtection="1">
      <alignment horizontal="left" vertical="center"/>
      <protection locked="0"/>
    </xf>
    <xf numFmtId="164" fontId="13" fillId="0" borderId="0" xfId="1" applyNumberFormat="1" applyFont="1" applyAlignment="1" applyProtection="1">
      <alignment vertical="center"/>
      <protection locked="0"/>
    </xf>
    <xf numFmtId="164" fontId="9" fillId="0" borderId="0" xfId="1" applyNumberFormat="1" applyFont="1" applyAlignment="1" applyProtection="1">
      <alignment vertical="center"/>
      <protection locked="0"/>
    </xf>
    <xf numFmtId="3" fontId="5" fillId="0" borderId="0" xfId="1" applyNumberFormat="1" applyFont="1" applyAlignment="1" applyProtection="1">
      <alignment horizontal="right" vertical="center"/>
      <protection locked="0"/>
    </xf>
    <xf numFmtId="3" fontId="5" fillId="0" borderId="0" xfId="1" applyNumberFormat="1" applyFont="1" applyAlignment="1" applyProtection="1">
      <alignment vertical="center"/>
      <protection locked="0"/>
    </xf>
    <xf numFmtId="49" fontId="9" fillId="0" borderId="4" xfId="1" applyNumberFormat="1" applyFont="1" applyBorder="1" applyAlignment="1" applyProtection="1">
      <alignment horizontal="right" vertical="center"/>
      <protection locked="0"/>
    </xf>
    <xf numFmtId="3" fontId="9" fillId="0" borderId="4" xfId="1" applyNumberFormat="1" applyFont="1" applyBorder="1" applyAlignment="1" applyProtection="1">
      <alignment horizontal="right" vertical="center"/>
      <protection locked="0"/>
    </xf>
    <xf numFmtId="49" fontId="12" fillId="0" borderId="5" xfId="1" applyNumberFormat="1" applyFont="1" applyBorder="1" applyAlignment="1" applyProtection="1">
      <alignment horizontal="left" vertical="center"/>
      <protection locked="0"/>
    </xf>
    <xf numFmtId="49" fontId="14" fillId="0" borderId="0" xfId="1" applyNumberFormat="1" applyFont="1" applyAlignment="1" applyProtection="1">
      <alignment horizontal="left" vertical="center"/>
      <protection locked="0"/>
    </xf>
    <xf numFmtId="3" fontId="9" fillId="0" borderId="6" xfId="1" applyNumberFormat="1" applyFont="1" applyBorder="1" applyAlignment="1" applyProtection="1">
      <alignment horizontal="right" vertical="center"/>
      <protection locked="0"/>
    </xf>
    <xf numFmtId="3" fontId="9" fillId="0" borderId="0" xfId="1" quotePrefix="1" applyNumberFormat="1" applyFont="1" applyAlignment="1" applyProtection="1">
      <alignment horizontal="right" vertical="center"/>
      <protection locked="0"/>
    </xf>
    <xf numFmtId="49" fontId="9" fillId="0" borderId="4" xfId="1" applyNumberFormat="1" applyFont="1" applyBorder="1" applyAlignment="1">
      <alignment horizontal="left" vertical="center"/>
    </xf>
    <xf numFmtId="49" fontId="9" fillId="0" borderId="4" xfId="1" applyNumberFormat="1" applyFont="1" applyBorder="1" applyAlignment="1" applyProtection="1">
      <alignment horizontal="left" vertical="center" indent="1"/>
      <protection locked="0"/>
    </xf>
    <xf numFmtId="49" fontId="9" fillId="0" borderId="9" xfId="1" applyNumberFormat="1" applyFont="1" applyBorder="1" applyAlignment="1">
      <alignment horizontal="left" vertical="center"/>
    </xf>
    <xf numFmtId="49" fontId="9" fillId="0" borderId="9" xfId="1" applyNumberFormat="1" applyFont="1" applyBorder="1" applyAlignment="1" applyProtection="1">
      <alignment horizontal="left" vertical="center" indent="1"/>
      <protection locked="0"/>
    </xf>
    <xf numFmtId="49" fontId="2" fillId="0" borderId="0" xfId="1" quotePrefix="1" applyNumberFormat="1" applyFont="1" applyAlignment="1" applyProtection="1">
      <alignment horizontal="left" vertical="center" indent="1"/>
      <protection locked="0"/>
    </xf>
    <xf numFmtId="49" fontId="3" fillId="0" borderId="7" xfId="1" applyNumberFormat="1" applyFont="1" applyBorder="1" applyAlignment="1">
      <alignment horizontal="left" vertical="center"/>
    </xf>
    <xf numFmtId="49" fontId="2" fillId="0" borderId="7" xfId="1" applyNumberFormat="1" applyFont="1" applyBorder="1" applyAlignment="1" applyProtection="1">
      <alignment horizontal="left" vertical="center" indent="1"/>
      <protection locked="0"/>
    </xf>
    <xf numFmtId="3" fontId="3" fillId="0" borderId="0" xfId="1" applyNumberFormat="1" applyFont="1" applyAlignment="1" applyProtection="1">
      <alignment horizontal="right" vertical="center"/>
      <protection locked="0"/>
    </xf>
    <xf numFmtId="3" fontId="4" fillId="0" borderId="0" xfId="1" applyNumberFormat="1" applyFont="1" applyAlignment="1" applyProtection="1">
      <alignment horizontal="left" vertical="center"/>
      <protection locked="0"/>
    </xf>
    <xf numFmtId="3" fontId="3" fillId="0" borderId="9" xfId="1" applyNumberFormat="1" applyFont="1" applyBorder="1" applyAlignment="1" applyProtection="1">
      <alignment horizontal="right" vertical="center"/>
      <protection locked="0"/>
    </xf>
    <xf numFmtId="164" fontId="3" fillId="0" borderId="0" xfId="1" applyNumberFormat="1" applyFont="1" applyAlignment="1" applyProtection="1">
      <alignment vertical="center"/>
      <protection locked="0"/>
    </xf>
    <xf numFmtId="49" fontId="3" fillId="0" borderId="8" xfId="1" applyNumberFormat="1" applyFont="1" applyBorder="1" applyAlignment="1" applyProtection="1">
      <alignment horizontal="right" vertical="center"/>
      <protection locked="0"/>
    </xf>
    <xf numFmtId="3" fontId="3" fillId="0" borderId="8" xfId="1" applyNumberFormat="1" applyFont="1" applyBorder="1" applyAlignment="1" applyProtection="1">
      <alignment horizontal="right" vertical="center"/>
      <protection locked="0"/>
    </xf>
    <xf numFmtId="49" fontId="4" fillId="0" borderId="8" xfId="1" applyNumberFormat="1" applyFont="1" applyBorder="1" applyAlignment="1" applyProtection="1">
      <alignment horizontal="left" vertical="center"/>
      <protection locked="0"/>
    </xf>
    <xf numFmtId="49" fontId="14" fillId="0" borderId="0" xfId="1" applyNumberFormat="1" applyFont="1" applyAlignment="1" applyProtection="1">
      <alignment horizontal="left" vertical="center" indent="1"/>
      <protection locked="0"/>
    </xf>
    <xf numFmtId="49" fontId="3" fillId="0" borderId="7" xfId="1" applyNumberFormat="1" applyFont="1" applyBorder="1" applyAlignment="1" applyProtection="1">
      <alignment horizontal="left" vertical="center" indent="1"/>
      <protection locked="0"/>
    </xf>
    <xf numFmtId="3" fontId="3" fillId="0" borderId="6" xfId="1" applyNumberFormat="1" applyFont="1" applyBorder="1" applyAlignment="1" applyProtection="1">
      <alignment horizontal="right" vertical="center"/>
      <protection locked="0"/>
    </xf>
    <xf numFmtId="49" fontId="15" fillId="0" borderId="0" xfId="1" applyNumberFormat="1" applyFont="1"/>
    <xf numFmtId="49" fontId="3" fillId="0" borderId="7" xfId="1" applyNumberFormat="1" applyFont="1" applyBorder="1" applyAlignment="1" applyProtection="1">
      <alignment horizontal="left" vertical="center" indent="2"/>
      <protection locked="0"/>
    </xf>
    <xf numFmtId="49" fontId="3" fillId="0" borderId="0" xfId="1" quotePrefix="1" applyNumberFormat="1" applyFont="1" applyAlignment="1" applyProtection="1">
      <alignment horizontal="right" vertical="center"/>
      <protection locked="0"/>
    </xf>
    <xf numFmtId="49" fontId="9" fillId="0" borderId="7" xfId="1" applyNumberFormat="1" applyFont="1" applyBorder="1" applyAlignment="1" applyProtection="1">
      <alignment horizontal="left" vertical="center" indent="3"/>
      <protection locked="0"/>
    </xf>
    <xf numFmtId="3" fontId="3" fillId="0" borderId="4" xfId="1" applyNumberFormat="1" applyFont="1" applyBorder="1" applyAlignment="1" applyProtection="1">
      <alignment horizontal="right" vertical="center"/>
      <protection locked="0"/>
    </xf>
    <xf numFmtId="49" fontId="4" fillId="0" borderId="4" xfId="1" applyNumberFormat="1" applyFont="1" applyBorder="1" applyAlignment="1" applyProtection="1">
      <alignment horizontal="left" vertical="center"/>
      <protection locked="0"/>
    </xf>
    <xf numFmtId="0" fontId="3" fillId="0" borderId="0" xfId="1" applyFont="1" applyAlignment="1" applyProtection="1">
      <alignment horizontal="left" vertical="center"/>
      <protection locked="0"/>
    </xf>
    <xf numFmtId="3" fontId="3" fillId="0" borderId="10" xfId="1" applyNumberFormat="1" applyFont="1" applyBorder="1" applyAlignment="1" applyProtection="1">
      <alignment horizontal="right" vertical="center"/>
      <protection locked="0"/>
    </xf>
    <xf numFmtId="49" fontId="4" fillId="0" borderId="10" xfId="1" applyNumberFormat="1" applyFont="1" applyBorder="1" applyAlignment="1" applyProtection="1">
      <alignment horizontal="left" vertical="center"/>
      <protection locked="0"/>
    </xf>
    <xf numFmtId="49" fontId="3" fillId="0" borderId="0" xfId="1" applyNumberFormat="1" applyFont="1" applyAlignment="1">
      <alignment horizontal="left" vertical="center"/>
    </xf>
    <xf numFmtId="49" fontId="9" fillId="0" borderId="0" xfId="1" applyNumberFormat="1" applyFont="1" applyAlignment="1" applyProtection="1">
      <alignment horizontal="left" vertical="center" indent="2"/>
      <protection locked="0"/>
    </xf>
    <xf numFmtId="0" fontId="3" fillId="0" borderId="9" xfId="1" applyFont="1" applyBorder="1" applyAlignment="1" applyProtection="1">
      <alignment vertical="center"/>
      <protection locked="0"/>
    </xf>
    <xf numFmtId="49" fontId="3" fillId="0" borderId="9" xfId="1" applyNumberFormat="1" applyFont="1" applyBorder="1" applyAlignment="1" applyProtection="1">
      <alignment horizontal="right" vertical="center"/>
      <protection locked="0"/>
    </xf>
    <xf numFmtId="49" fontId="12" fillId="0" borderId="11" xfId="1" applyNumberFormat="1" applyFont="1" applyBorder="1" applyAlignment="1" applyProtection="1">
      <alignment horizontal="left" vertical="center"/>
      <protection locked="0"/>
    </xf>
    <xf numFmtId="164" fontId="3" fillId="0" borderId="9" xfId="1" applyNumberFormat="1" applyFont="1" applyBorder="1" applyAlignment="1" applyProtection="1">
      <alignment vertical="center"/>
      <protection locked="0"/>
    </xf>
    <xf numFmtId="49" fontId="4" fillId="0" borderId="0" xfId="1" applyNumberFormat="1" applyFont="1" applyAlignment="1" applyProtection="1">
      <alignment horizontal="left" vertical="center"/>
      <protection locked="0"/>
    </xf>
    <xf numFmtId="3" fontId="1" fillId="0" borderId="0" xfId="1" applyNumberFormat="1" applyAlignment="1">
      <alignment horizontal="left" vertical="center"/>
    </xf>
    <xf numFmtId="49" fontId="9" fillId="0" borderId="0" xfId="1" applyNumberFormat="1" applyFont="1" applyAlignment="1" applyProtection="1">
      <alignment horizontal="left" vertical="center" indent="3"/>
      <protection locked="0"/>
    </xf>
    <xf numFmtId="49" fontId="9" fillId="0" borderId="4" xfId="1" applyNumberFormat="1" applyFont="1" applyBorder="1" applyAlignment="1" applyProtection="1">
      <alignment horizontal="left" vertical="center" indent="2"/>
      <protection locked="0"/>
    </xf>
    <xf numFmtId="3" fontId="2" fillId="0" borderId="0" xfId="1" applyNumberFormat="1" applyFont="1" applyFill="1" applyAlignment="1" applyProtection="1">
      <alignment horizontal="right" vertical="center"/>
      <protection locked="0"/>
    </xf>
    <xf numFmtId="49" fontId="5" fillId="0" borderId="0" xfId="1" applyNumberFormat="1" applyFont="1" applyFill="1" applyAlignment="1" applyProtection="1">
      <alignment horizontal="left" vertical="center"/>
      <protection locked="0"/>
    </xf>
    <xf numFmtId="2" fontId="1" fillId="0" borderId="0" xfId="1" applyNumberFormat="1"/>
    <xf numFmtId="6" fontId="1" fillId="0" borderId="0" xfId="1" applyNumberFormat="1"/>
    <xf numFmtId="8" fontId="1" fillId="0" borderId="0" xfId="1" applyNumberFormat="1"/>
    <xf numFmtId="0" fontId="22" fillId="0" borderId="0" xfId="1" applyFont="1"/>
    <xf numFmtId="3" fontId="9" fillId="0" borderId="0" xfId="1" applyNumberFormat="1" applyFont="1" applyFill="1" applyAlignment="1" applyProtection="1">
      <alignment horizontal="right" vertical="center"/>
      <protection locked="0"/>
    </xf>
    <xf numFmtId="165" fontId="9" fillId="0" borderId="0" xfId="1" applyNumberFormat="1" applyFont="1" applyFill="1" applyAlignment="1" applyProtection="1">
      <alignment horizontal="right" vertical="center"/>
      <protection locked="0"/>
    </xf>
    <xf numFmtId="3" fontId="5" fillId="0" borderId="0" xfId="1" applyNumberFormat="1" applyFont="1" applyFill="1" applyAlignment="1" applyProtection="1">
      <alignment horizontal="right" vertical="center"/>
      <protection locked="0"/>
    </xf>
    <xf numFmtId="3" fontId="9" fillId="0" borderId="4" xfId="1" applyNumberFormat="1" applyFont="1" applyFill="1" applyBorder="1" applyAlignment="1" applyProtection="1">
      <alignment horizontal="right" vertical="center"/>
      <protection locked="0"/>
    </xf>
    <xf numFmtId="3" fontId="9" fillId="0" borderId="6" xfId="1" applyNumberFormat="1" applyFont="1" applyFill="1" applyBorder="1" applyAlignment="1" applyProtection="1">
      <alignment horizontal="right" vertical="center"/>
      <protection locked="0"/>
    </xf>
    <xf numFmtId="3" fontId="9" fillId="0" borderId="0" xfId="1" quotePrefix="1" applyNumberFormat="1" applyFont="1" applyFill="1" applyAlignment="1" applyProtection="1">
      <alignment horizontal="right" vertical="center"/>
      <protection locked="0"/>
    </xf>
    <xf numFmtId="49" fontId="9" fillId="0" borderId="0" xfId="1" applyNumberFormat="1" applyFont="1" applyFill="1" applyAlignment="1" applyProtection="1">
      <alignment horizontal="right" vertical="center"/>
      <protection locked="0"/>
    </xf>
    <xf numFmtId="3" fontId="21" fillId="0" borderId="0" xfId="1" quotePrefix="1" applyNumberFormat="1" applyFont="1" applyFill="1" applyAlignment="1" applyProtection="1">
      <alignment horizontal="right" vertical="center"/>
      <protection locked="0"/>
    </xf>
    <xf numFmtId="3" fontId="3" fillId="0" borderId="0" xfId="1" applyNumberFormat="1" applyFont="1" applyFill="1" applyAlignment="1" applyProtection="1">
      <alignment horizontal="right" vertical="center"/>
      <protection locked="0"/>
    </xf>
    <xf numFmtId="3" fontId="3" fillId="0" borderId="9" xfId="1" applyNumberFormat="1" applyFont="1" applyFill="1" applyBorder="1" applyAlignment="1" applyProtection="1">
      <alignment horizontal="right" vertical="center"/>
      <protection locked="0"/>
    </xf>
    <xf numFmtId="49" fontId="3" fillId="0" borderId="8" xfId="1" applyNumberFormat="1" applyFont="1" applyFill="1" applyBorder="1" applyAlignment="1" applyProtection="1">
      <alignment horizontal="right" vertical="center"/>
      <protection locked="0"/>
    </xf>
    <xf numFmtId="3" fontId="3" fillId="0" borderId="8" xfId="1" applyNumberFormat="1" applyFont="1" applyFill="1" applyBorder="1" applyAlignment="1" applyProtection="1">
      <alignment horizontal="right" vertical="center"/>
      <protection locked="0"/>
    </xf>
    <xf numFmtId="3" fontId="3" fillId="0" borderId="6" xfId="1" applyNumberFormat="1" applyFont="1" applyFill="1" applyBorder="1" applyAlignment="1" applyProtection="1">
      <alignment horizontal="right" vertical="center"/>
      <protection locked="0"/>
    </xf>
    <xf numFmtId="3" fontId="3" fillId="0" borderId="4" xfId="1" applyNumberFormat="1" applyFont="1" applyFill="1" applyBorder="1" applyAlignment="1" applyProtection="1">
      <alignment horizontal="right" vertical="center"/>
      <protection locked="0"/>
    </xf>
    <xf numFmtId="3" fontId="3" fillId="0" borderId="10" xfId="1" applyNumberFormat="1" applyFont="1" applyFill="1" applyBorder="1" applyAlignment="1" applyProtection="1">
      <alignment horizontal="right" vertical="center"/>
      <protection locked="0"/>
    </xf>
    <xf numFmtId="49" fontId="3" fillId="0" borderId="9" xfId="1" applyNumberFormat="1" applyFont="1" applyFill="1" applyBorder="1" applyAlignment="1" applyProtection="1">
      <alignment horizontal="right" vertical="center"/>
      <protection locked="0"/>
    </xf>
    <xf numFmtId="2" fontId="9" fillId="0" borderId="0" xfId="1" applyNumberFormat="1" applyFont="1" applyFill="1" applyBorder="1" applyAlignment="1">
      <alignment horizontal="right" vertical="center"/>
    </xf>
    <xf numFmtId="2" fontId="12" fillId="0" borderId="0" xfId="1" applyNumberFormat="1" applyFont="1" applyFill="1" applyBorder="1" applyAlignment="1">
      <alignment horizontal="left" vertical="center"/>
    </xf>
    <xf numFmtId="4" fontId="9" fillId="0" borderId="0" xfId="1" applyNumberFormat="1" applyFont="1" applyFill="1" applyBorder="1" applyAlignment="1">
      <alignment horizontal="right" vertical="center"/>
    </xf>
    <xf numFmtId="49" fontId="12" fillId="0" borderId="0" xfId="1" applyNumberFormat="1" applyFont="1" applyFill="1" applyBorder="1" applyAlignment="1">
      <alignment horizontal="left" vertical="center"/>
    </xf>
    <xf numFmtId="49" fontId="20" fillId="0" borderId="10" xfId="4" quotePrefix="1" applyNumberFormat="1" applyFont="1" applyBorder="1" applyAlignment="1">
      <alignment horizontal="right"/>
    </xf>
    <xf numFmtId="49" fontId="9" fillId="0" borderId="0" xfId="1" applyNumberFormat="1" applyFont="1" applyFill="1" applyAlignment="1" applyProtection="1">
      <alignment horizontal="center" vertical="center"/>
      <protection locked="0"/>
    </xf>
    <xf numFmtId="49" fontId="9" fillId="0" borderId="0" xfId="1" applyNumberFormat="1" applyFont="1" applyFill="1" applyBorder="1" applyAlignment="1" applyProtection="1">
      <alignment horizontal="center" vertical="center"/>
      <protection locked="0"/>
    </xf>
    <xf numFmtId="49" fontId="9" fillId="0" borderId="4" xfId="1" applyNumberFormat="1" applyFont="1" applyBorder="1" applyAlignment="1" applyProtection="1">
      <alignment horizontal="left" vertical="center"/>
      <protection locked="0"/>
    </xf>
    <xf numFmtId="49" fontId="12" fillId="0" borderId="0" xfId="1" applyNumberFormat="1" applyFont="1" applyAlignment="1" applyProtection="1">
      <alignment horizontal="left" vertical="center"/>
      <protection locked="0"/>
    </xf>
    <xf numFmtId="49" fontId="2" fillId="0" borderId="0" xfId="5" applyNumberFormat="1" applyAlignment="1" applyProtection="1">
      <alignment horizontal="center" vertical="center"/>
      <protection locked="0"/>
    </xf>
    <xf numFmtId="0" fontId="0" fillId="0" borderId="0" xfId="0" applyAlignment="1">
      <alignment horizontal="center" vertical="center"/>
    </xf>
    <xf numFmtId="49" fontId="9" fillId="0" borderId="0" xfId="1" applyNumberFormat="1" applyFont="1" applyFill="1" applyAlignment="1">
      <alignment horizontal="left" vertical="center"/>
    </xf>
    <xf numFmtId="49" fontId="9" fillId="0" borderId="0" xfId="1" applyNumberFormat="1" applyFont="1" applyFill="1" applyAlignment="1" applyProtection="1">
      <alignment horizontal="left" vertical="center"/>
      <protection locked="0"/>
    </xf>
    <xf numFmtId="49" fontId="2" fillId="0" borderId="0" xfId="1" applyNumberFormat="1" applyFont="1" applyAlignment="1" applyProtection="1">
      <alignment horizontal="left" vertical="center" wrapText="1"/>
      <protection locked="0"/>
    </xf>
    <xf numFmtId="49" fontId="9" fillId="0" borderId="0" xfId="1" applyNumberFormat="1" applyFont="1" applyAlignment="1" applyProtection="1">
      <alignment horizontal="left" vertical="center" wrapText="1"/>
      <protection locked="0"/>
    </xf>
    <xf numFmtId="49" fontId="9" fillId="0" borderId="0" xfId="1" applyNumberFormat="1" applyFont="1" applyAlignment="1" applyProtection="1">
      <alignment horizontal="left" vertical="center"/>
      <protection locked="0"/>
    </xf>
    <xf numFmtId="49" fontId="2" fillId="0" borderId="0" xfId="1" applyNumberFormat="1" applyFont="1" applyAlignment="1" applyProtection="1">
      <alignment horizontal="left" vertical="center"/>
      <protection locked="0"/>
    </xf>
    <xf numFmtId="0" fontId="0" fillId="0" borderId="0" xfId="0" applyAlignment="1">
      <alignment horizontal="left" vertical="center"/>
    </xf>
    <xf numFmtId="49" fontId="2" fillId="0" borderId="4" xfId="1" quotePrefix="1" applyNumberFormat="1" applyFont="1" applyBorder="1" applyAlignment="1">
      <alignment horizontal="left" vertical="center"/>
    </xf>
    <xf numFmtId="49" fontId="0" fillId="0" borderId="4" xfId="0" applyNumberFormat="1" applyBorder="1" applyAlignment="1">
      <alignment horizontal="left" vertical="center"/>
    </xf>
    <xf numFmtId="49" fontId="5" fillId="0" borderId="0" xfId="1" applyNumberFormat="1" applyFont="1" applyAlignment="1">
      <alignment horizontal="left" vertical="center" wrapText="1"/>
    </xf>
    <xf numFmtId="49" fontId="8" fillId="0" borderId="0" xfId="0" applyNumberFormat="1" applyFont="1" applyAlignment="1">
      <alignment horizontal="left" vertical="center" wrapText="1"/>
    </xf>
    <xf numFmtId="49" fontId="5" fillId="0" borderId="0" xfId="1" applyNumberFormat="1" applyFont="1" applyAlignment="1">
      <alignment horizontal="left" vertical="center"/>
    </xf>
    <xf numFmtId="49" fontId="0" fillId="0" borderId="0" xfId="0" applyNumberFormat="1" applyAlignment="1">
      <alignment horizontal="left" vertical="center"/>
    </xf>
    <xf numFmtId="49" fontId="3" fillId="0" borderId="0" xfId="1" applyNumberFormat="1" applyFont="1" applyAlignment="1" applyProtection="1">
      <alignment horizontal="center" vertical="center"/>
      <protection locked="0"/>
    </xf>
    <xf numFmtId="49" fontId="0" fillId="0" borderId="0" xfId="0" applyNumberFormat="1" applyAlignment="1">
      <alignment horizontal="center" vertical="center"/>
    </xf>
    <xf numFmtId="49" fontId="3" fillId="0" borderId="9" xfId="1" applyNumberFormat="1" applyFont="1" applyBorder="1" applyAlignment="1" applyProtection="1">
      <alignment horizontal="center" vertical="center"/>
      <protection locked="0"/>
    </xf>
    <xf numFmtId="0" fontId="0" fillId="0" borderId="9" xfId="0" applyBorder="1" applyAlignment="1">
      <alignment horizontal="center" vertical="center"/>
    </xf>
    <xf numFmtId="49" fontId="3" fillId="0" borderId="0" xfId="1" applyNumberFormat="1" applyFont="1" applyAlignment="1" applyProtection="1">
      <alignment horizontal="left" vertical="center"/>
      <protection locked="0"/>
    </xf>
    <xf numFmtId="49" fontId="3" fillId="0" borderId="4" xfId="1" applyNumberFormat="1" applyFont="1" applyBorder="1" applyAlignment="1" applyProtection="1">
      <alignment horizontal="left" vertical="center"/>
      <protection locked="0"/>
    </xf>
    <xf numFmtId="49" fontId="4" fillId="0" borderId="0" xfId="1" applyNumberFormat="1" applyFont="1" applyAlignment="1" applyProtection="1">
      <alignment horizontal="left" vertical="center"/>
      <protection locked="0"/>
    </xf>
    <xf numFmtId="49" fontId="8" fillId="0" borderId="0" xfId="0" applyNumberFormat="1" applyFont="1" applyAlignment="1">
      <alignment horizontal="left" vertical="center"/>
    </xf>
    <xf numFmtId="49" fontId="3" fillId="0" borderId="0" xfId="1" applyNumberFormat="1" applyFont="1" applyAlignment="1" applyProtection="1">
      <alignment horizontal="left" vertical="center" wrapText="1"/>
      <protection locked="0"/>
    </xf>
    <xf numFmtId="49" fontId="0" fillId="0" borderId="0" xfId="0" applyNumberFormat="1" applyAlignment="1">
      <alignment horizontal="left" vertical="center" wrapText="1"/>
    </xf>
    <xf numFmtId="0" fontId="3" fillId="0" borderId="0" xfId="0" applyFont="1" applyAlignment="1">
      <alignment horizontal="left" vertical="center"/>
    </xf>
    <xf numFmtId="49" fontId="3" fillId="0" borderId="0" xfId="1" applyNumberFormat="1" applyFont="1" applyAlignment="1">
      <alignment horizontal="center" vertical="center"/>
    </xf>
    <xf numFmtId="0" fontId="3" fillId="0" borderId="4" xfId="1" applyFont="1"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49" fontId="3" fillId="0" borderId="2" xfId="1" applyNumberFormat="1" applyFont="1" applyBorder="1" applyAlignment="1" applyProtection="1">
      <alignment horizontal="center" vertical="center"/>
      <protection locked="0"/>
    </xf>
    <xf numFmtId="49" fontId="12" fillId="0" borderId="0" xfId="3" applyNumberFormat="1" applyFont="1" applyAlignment="1">
      <alignment horizontal="left" vertical="center" wrapText="1"/>
    </xf>
    <xf numFmtId="49" fontId="12" fillId="0" borderId="0" xfId="3" applyNumberFormat="1" applyFont="1" applyAlignment="1">
      <alignment horizontal="left" vertical="center"/>
    </xf>
    <xf numFmtId="49" fontId="2" fillId="0" borderId="0" xfId="3" applyNumberFormat="1" applyFont="1" applyAlignment="1">
      <alignment horizontal="left" vertical="center"/>
    </xf>
    <xf numFmtId="0" fontId="16" fillId="0" borderId="0" xfId="3" applyAlignment="1">
      <alignment horizontal="left" vertical="center"/>
    </xf>
    <xf numFmtId="49" fontId="9" fillId="0" borderId="0" xfId="3" applyNumberFormat="1" applyFont="1" applyAlignment="1">
      <alignment horizontal="center" vertical="center"/>
    </xf>
    <xf numFmtId="49" fontId="9" fillId="0" borderId="0" xfId="3" applyNumberFormat="1" applyFont="1" applyAlignment="1">
      <alignment horizontal="right" vertical="center"/>
    </xf>
    <xf numFmtId="49" fontId="9" fillId="0" borderId="9" xfId="3" applyNumberFormat="1" applyFont="1" applyBorder="1" applyAlignment="1">
      <alignment horizontal="center" vertical="center"/>
    </xf>
    <xf numFmtId="49" fontId="12" fillId="0" borderId="4" xfId="3" applyNumberFormat="1" applyFont="1" applyBorder="1" applyAlignment="1">
      <alignment horizontal="left" vertical="center"/>
    </xf>
    <xf numFmtId="0" fontId="24" fillId="0" borderId="0" xfId="6"/>
    <xf numFmtId="0" fontId="25" fillId="2" borderId="12" xfId="7" applyFont="1" applyFill="1" applyBorder="1" applyAlignment="1">
      <alignment horizontal="center"/>
    </xf>
    <xf numFmtId="0" fontId="25" fillId="2" borderId="13" xfId="7" applyFont="1" applyFill="1" applyBorder="1" applyAlignment="1">
      <alignment horizontal="center"/>
    </xf>
    <xf numFmtId="0" fontId="25" fillId="2" borderId="14" xfId="7" applyFont="1" applyFill="1" applyBorder="1" applyAlignment="1">
      <alignment horizontal="center"/>
    </xf>
    <xf numFmtId="0" fontId="26" fillId="2" borderId="15" xfId="7" applyFont="1" applyFill="1" applyBorder="1" applyAlignment="1">
      <alignment horizontal="center"/>
    </xf>
    <xf numFmtId="0" fontId="26" fillId="2" borderId="0" xfId="7" applyFont="1" applyFill="1" applyAlignment="1">
      <alignment horizontal="center"/>
    </xf>
    <xf numFmtId="0" fontId="26" fillId="2" borderId="16" xfId="7" applyFont="1" applyFill="1" applyBorder="1" applyAlignment="1">
      <alignment horizontal="center"/>
    </xf>
    <xf numFmtId="0" fontId="27" fillId="2" borderId="15" xfId="6" applyFont="1" applyFill="1" applyBorder="1" applyAlignment="1">
      <alignment horizontal="center"/>
    </xf>
    <xf numFmtId="0" fontId="27" fillId="2" borderId="0" xfId="6" applyFont="1" applyFill="1" applyAlignment="1">
      <alignment horizontal="center"/>
    </xf>
    <xf numFmtId="0" fontId="27" fillId="2" borderId="16" xfId="6" applyFont="1" applyFill="1" applyBorder="1" applyAlignment="1">
      <alignment horizontal="center"/>
    </xf>
    <xf numFmtId="0" fontId="27" fillId="0" borderId="0" xfId="6" applyFont="1"/>
    <xf numFmtId="0" fontId="27" fillId="2" borderId="15" xfId="6" applyFont="1" applyFill="1" applyBorder="1" applyAlignment="1">
      <alignment horizontal="center"/>
    </xf>
    <xf numFmtId="0" fontId="27" fillId="2" borderId="0" xfId="6" applyFont="1" applyFill="1" applyAlignment="1">
      <alignment horizontal="center"/>
    </xf>
    <xf numFmtId="0" fontId="27" fillId="2" borderId="16" xfId="6" applyFont="1" applyFill="1" applyBorder="1" applyAlignment="1">
      <alignment horizontal="center"/>
    </xf>
    <xf numFmtId="0" fontId="28" fillId="2" borderId="15" xfId="6" applyFont="1" applyFill="1" applyBorder="1" applyAlignment="1">
      <alignment horizontal="center" vertical="center" readingOrder="1"/>
    </xf>
    <xf numFmtId="0" fontId="28" fillId="2" borderId="0" xfId="6" applyFont="1" applyFill="1" applyAlignment="1">
      <alignment horizontal="center" vertical="center" readingOrder="1"/>
    </xf>
    <xf numFmtId="0" fontId="28" fillId="2" borderId="16" xfId="6" applyFont="1" applyFill="1" applyBorder="1" applyAlignment="1">
      <alignment horizontal="center" vertical="center" readingOrder="1"/>
    </xf>
    <xf numFmtId="0" fontId="29" fillId="2" borderId="17" xfId="6" applyFont="1" applyFill="1" applyBorder="1" applyAlignment="1">
      <alignment horizontal="centerContinuous" vertical="center" readingOrder="1"/>
    </xf>
    <xf numFmtId="0" fontId="24" fillId="2" borderId="18" xfId="6" applyFill="1" applyBorder="1" applyAlignment="1">
      <alignment horizontal="centerContinuous"/>
    </xf>
    <xf numFmtId="0" fontId="24" fillId="2" borderId="19" xfId="6" applyFill="1" applyBorder="1" applyAlignment="1">
      <alignment horizontal="centerContinuous"/>
    </xf>
  </cellXfs>
  <cellStyles count="8">
    <cellStyle name="Comma 2" xfId="4" xr:uid="{ECBE749D-07C7-43EE-A4ED-9F18A8302E0D}"/>
    <cellStyle name="Normal" xfId="0" builtinId="0"/>
    <cellStyle name="Normal 2" xfId="1" xr:uid="{00000000-0005-0000-0000-000001000000}"/>
    <cellStyle name="Normal 2 2" xfId="7" xr:uid="{81E0BE7C-667D-44D3-996A-F633E59F47DE}"/>
    <cellStyle name="Normal 27" xfId="2" xr:uid="{00000000-0005-0000-0000-000002000000}"/>
    <cellStyle name="Normal 3" xfId="3" xr:uid="{6735C42F-B513-48D6-9D14-A26663E824F4}"/>
    <cellStyle name="Normal 4" xfId="6" xr:uid="{9C726713-818C-487A-A940-83D9CEFBFF5C}"/>
    <cellStyle name="Normal_02CEM01U" xfId="5" xr:uid="{BE2E845D-E8B5-4A64-A2DA-2B850BB4925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2</xdr:col>
      <xdr:colOff>285874</xdr:colOff>
      <xdr:row>3</xdr:row>
      <xdr:rowOff>34445</xdr:rowOff>
    </xdr:to>
    <xdr:pic>
      <xdr:nvPicPr>
        <xdr:cNvPr id="2" name="Picture 1" title="USGS logo">
          <a:extLst>
            <a:ext uri="{FF2B5EF4-FFF2-40B4-BE49-F238E27FC236}">
              <a16:creationId xmlns:a16="http://schemas.microsoft.com/office/drawing/2014/main" id="{E7087370-24C7-42E9-B4A5-B733428628A5}"/>
            </a:ext>
          </a:extLst>
        </xdr:cNvPr>
        <xdr:cNvPicPr>
          <a:picLocks noChangeAspect="1"/>
        </xdr:cNvPicPr>
      </xdr:nvPicPr>
      <xdr:blipFill>
        <a:blip xmlns:r="http://schemas.openxmlformats.org/officeDocument/2006/relationships" r:embed="rId1"/>
        <a:stretch>
          <a:fillRect/>
        </a:stretch>
      </xdr:blipFill>
      <xdr:spPr>
        <a:xfrm>
          <a:off x="66675" y="57150"/>
          <a:ext cx="1428874" cy="54879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0DE36-11AB-475F-90D6-CF06F785FC36}">
  <sheetPr>
    <tabColor theme="0"/>
  </sheetPr>
  <dimension ref="A4:L14"/>
  <sheetViews>
    <sheetView showGridLines="0" tabSelected="1" workbookViewId="0">
      <selection activeCell="A8" sqref="A8:L8"/>
    </sheetView>
  </sheetViews>
  <sheetFormatPr defaultColWidth="9.140625" defaultRowHeight="15" x14ac:dyDescent="0.25"/>
  <cols>
    <col min="1" max="1" width="9" style="267" customWidth="1"/>
    <col min="2" max="16384" width="9.140625" style="267"/>
  </cols>
  <sheetData>
    <row r="4" spans="1:12" ht="15.75" thickBot="1" x14ac:dyDescent="0.3"/>
    <row r="5" spans="1:12" ht="42.75" customHeight="1" x14ac:dyDescent="0.4">
      <c r="A5" s="268" t="s">
        <v>153</v>
      </c>
      <c r="B5" s="269"/>
      <c r="C5" s="269"/>
      <c r="D5" s="269"/>
      <c r="E5" s="269"/>
      <c r="F5" s="269"/>
      <c r="G5" s="269"/>
      <c r="H5" s="269"/>
      <c r="I5" s="269"/>
      <c r="J5" s="269"/>
      <c r="K5" s="269"/>
      <c r="L5" s="270"/>
    </row>
    <row r="6" spans="1:12" ht="48" customHeight="1" x14ac:dyDescent="0.6">
      <c r="A6" s="271" t="s">
        <v>154</v>
      </c>
      <c r="B6" s="272"/>
      <c r="C6" s="272"/>
      <c r="D6" s="272"/>
      <c r="E6" s="272"/>
      <c r="F6" s="272"/>
      <c r="G6" s="272"/>
      <c r="H6" s="272"/>
      <c r="I6" s="272"/>
      <c r="J6" s="272"/>
      <c r="K6" s="272"/>
      <c r="L6" s="273"/>
    </row>
    <row r="7" spans="1:12" s="277" customFormat="1" ht="23.25" x14ac:dyDescent="0.35">
      <c r="A7" s="274" t="s">
        <v>155</v>
      </c>
      <c r="B7" s="275"/>
      <c r="C7" s="275"/>
      <c r="D7" s="275"/>
      <c r="E7" s="275"/>
      <c r="F7" s="275"/>
      <c r="G7" s="275"/>
      <c r="H7" s="275"/>
      <c r="I7" s="275"/>
      <c r="J7" s="275"/>
      <c r="K7" s="275"/>
      <c r="L7" s="276"/>
    </row>
    <row r="8" spans="1:12" s="277" customFormat="1" ht="23.25" x14ac:dyDescent="0.35">
      <c r="A8" s="274" t="s">
        <v>156</v>
      </c>
      <c r="B8" s="275"/>
      <c r="C8" s="275"/>
      <c r="D8" s="275"/>
      <c r="E8" s="275"/>
      <c r="F8" s="275"/>
      <c r="G8" s="275"/>
      <c r="H8" s="275"/>
      <c r="I8" s="275"/>
      <c r="J8" s="275"/>
      <c r="K8" s="275"/>
      <c r="L8" s="276"/>
    </row>
    <row r="9" spans="1:12" s="277" customFormat="1" ht="23.25" x14ac:dyDescent="0.35">
      <c r="A9" s="274" t="s">
        <v>157</v>
      </c>
      <c r="B9" s="275"/>
      <c r="C9" s="275"/>
      <c r="D9" s="275"/>
      <c r="E9" s="275"/>
      <c r="F9" s="275"/>
      <c r="G9" s="275"/>
      <c r="H9" s="275"/>
      <c r="I9" s="275"/>
      <c r="J9" s="275"/>
      <c r="K9" s="275"/>
      <c r="L9" s="276"/>
    </row>
    <row r="10" spans="1:12" s="277" customFormat="1" ht="23.25" x14ac:dyDescent="0.35">
      <c r="A10" s="274" t="s">
        <v>158</v>
      </c>
      <c r="B10" s="275"/>
      <c r="C10" s="275"/>
      <c r="D10" s="275"/>
      <c r="E10" s="275"/>
      <c r="F10" s="275"/>
      <c r="G10" s="275"/>
      <c r="H10" s="275"/>
      <c r="I10" s="275"/>
      <c r="J10" s="275"/>
      <c r="K10" s="275"/>
      <c r="L10" s="276"/>
    </row>
    <row r="11" spans="1:12" s="277" customFormat="1" ht="23.25" x14ac:dyDescent="0.35">
      <c r="A11" s="274" t="s">
        <v>159</v>
      </c>
      <c r="B11" s="275"/>
      <c r="C11" s="275"/>
      <c r="D11" s="275"/>
      <c r="E11" s="275"/>
      <c r="F11" s="275"/>
      <c r="G11" s="275"/>
      <c r="H11" s="275"/>
      <c r="I11" s="275"/>
      <c r="J11" s="275"/>
      <c r="K11" s="275"/>
      <c r="L11" s="276"/>
    </row>
    <row r="12" spans="1:12" s="277" customFormat="1" ht="23.25" x14ac:dyDescent="0.35">
      <c r="A12" s="278"/>
      <c r="B12" s="279"/>
      <c r="C12" s="279"/>
      <c r="D12" s="279"/>
      <c r="E12" s="279"/>
      <c r="F12" s="279"/>
      <c r="G12" s="279"/>
      <c r="H12" s="279"/>
      <c r="I12" s="279"/>
      <c r="J12" s="279"/>
      <c r="K12" s="279"/>
      <c r="L12" s="280"/>
    </row>
    <row r="13" spans="1:12" ht="22.15" customHeight="1" x14ac:dyDescent="0.25">
      <c r="A13" s="281" t="s">
        <v>160</v>
      </c>
      <c r="B13" s="282"/>
      <c r="C13" s="282"/>
      <c r="D13" s="282"/>
      <c r="E13" s="282"/>
      <c r="F13" s="282"/>
      <c r="G13" s="282"/>
      <c r="H13" s="282"/>
      <c r="I13" s="282"/>
      <c r="J13" s="282"/>
      <c r="K13" s="282"/>
      <c r="L13" s="283"/>
    </row>
    <row r="14" spans="1:12" ht="24" thickBot="1" x14ac:dyDescent="0.3">
      <c r="A14" s="284"/>
      <c r="B14" s="285"/>
      <c r="C14" s="285"/>
      <c r="D14" s="285"/>
      <c r="E14" s="285"/>
      <c r="F14" s="285"/>
      <c r="G14" s="285"/>
      <c r="H14" s="285"/>
      <c r="I14" s="285"/>
      <c r="J14" s="285"/>
      <c r="K14" s="285"/>
      <c r="L14" s="286"/>
    </row>
  </sheetData>
  <mergeCells count="8">
    <mergeCell ref="A11:L11"/>
    <mergeCell ref="A13:L13"/>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F9034-8131-497A-A7DD-ED1CB0086373}">
  <sheetPr codeName="Sheet1"/>
  <dimension ref="A1:N42"/>
  <sheetViews>
    <sheetView showGridLines="0" zoomScaleNormal="100" workbookViewId="0">
      <selection sqref="A1:M1"/>
    </sheetView>
  </sheetViews>
  <sheetFormatPr defaultColWidth="8.42578125" defaultRowHeight="11.25" customHeight="1" x14ac:dyDescent="0.2"/>
  <cols>
    <col min="1" max="1" width="40.7109375" style="1" customWidth="1"/>
    <col min="2" max="2" width="1.5703125" style="1" customWidth="1"/>
    <col min="3" max="3" width="12.85546875" style="1" bestFit="1" customWidth="1"/>
    <col min="4" max="4" width="1.5703125" style="2" customWidth="1"/>
    <col min="5" max="5" width="5.7109375" style="1" customWidth="1"/>
    <col min="6" max="6" width="1.5703125" style="2" customWidth="1"/>
    <col min="7" max="7" width="5.7109375" style="1" customWidth="1"/>
    <col min="8" max="8" width="1.5703125" style="2" customWidth="1"/>
    <col min="9" max="9" width="5.7109375" style="1" customWidth="1"/>
    <col min="10" max="10" width="1.5703125" style="2" customWidth="1"/>
    <col min="11" max="11" width="5.7109375" style="1" customWidth="1"/>
    <col min="12" max="12" width="1.5703125" style="2" customWidth="1"/>
    <col min="13" max="13" width="5.7109375" style="1" customWidth="1"/>
    <col min="14" max="16384" width="8.42578125" style="1"/>
  </cols>
  <sheetData>
    <row r="1" spans="1:13" ht="11.25" customHeight="1" x14ac:dyDescent="0.2">
      <c r="A1" s="224" t="s">
        <v>0</v>
      </c>
      <c r="B1" s="224"/>
      <c r="C1" s="224"/>
      <c r="D1" s="224"/>
      <c r="E1" s="224"/>
      <c r="F1" s="224"/>
      <c r="G1" s="224"/>
      <c r="H1" s="224"/>
      <c r="I1" s="224"/>
      <c r="J1" s="224"/>
      <c r="K1" s="224"/>
      <c r="L1" s="224"/>
      <c r="M1" s="224"/>
    </row>
    <row r="2" spans="1:13" ht="11.25" customHeight="1" x14ac:dyDescent="0.2">
      <c r="A2" s="224" t="s">
        <v>70</v>
      </c>
      <c r="B2" s="224"/>
      <c r="C2" s="224"/>
      <c r="D2" s="224"/>
      <c r="E2" s="224"/>
      <c r="F2" s="224"/>
      <c r="G2" s="224"/>
      <c r="H2" s="224"/>
      <c r="I2" s="224"/>
      <c r="J2" s="224"/>
      <c r="K2" s="224"/>
      <c r="L2" s="224"/>
      <c r="M2" s="224"/>
    </row>
    <row r="3" spans="1:13" ht="11.25" customHeight="1" x14ac:dyDescent="0.2">
      <c r="A3" s="224"/>
      <c r="B3" s="229"/>
      <c r="C3" s="229"/>
      <c r="D3" s="229"/>
      <c r="E3" s="229"/>
      <c r="F3" s="229"/>
      <c r="G3" s="229"/>
      <c r="H3" s="229"/>
      <c r="I3" s="229"/>
      <c r="J3" s="229"/>
      <c r="K3" s="229"/>
      <c r="L3" s="229"/>
      <c r="M3" s="229"/>
    </row>
    <row r="4" spans="1:13" ht="11.25" customHeight="1" x14ac:dyDescent="0.2">
      <c r="A4" s="228" t="s">
        <v>119</v>
      </c>
      <c r="B4" s="229"/>
      <c r="C4" s="229"/>
      <c r="D4" s="229"/>
      <c r="E4" s="229"/>
      <c r="F4" s="229"/>
      <c r="G4" s="229"/>
      <c r="H4" s="229"/>
      <c r="I4" s="229"/>
      <c r="J4" s="229"/>
      <c r="K4" s="229"/>
      <c r="L4" s="229"/>
      <c r="M4" s="229"/>
    </row>
    <row r="5" spans="1:13" ht="11.25" customHeight="1" x14ac:dyDescent="0.2">
      <c r="A5" s="225"/>
      <c r="B5" s="225"/>
      <c r="C5" s="225"/>
      <c r="D5" s="225"/>
      <c r="E5" s="225"/>
      <c r="F5" s="225"/>
      <c r="G5" s="225"/>
      <c r="H5" s="225"/>
      <c r="I5" s="225"/>
      <c r="J5" s="225"/>
      <c r="K5" s="225"/>
      <c r="L5" s="225"/>
      <c r="M5" s="225"/>
    </row>
    <row r="6" spans="1:13" ht="11.25" customHeight="1" x14ac:dyDescent="0.2">
      <c r="A6" s="27"/>
      <c r="B6" s="27"/>
      <c r="C6" s="27"/>
      <c r="D6" s="28"/>
      <c r="E6" s="29" t="s">
        <v>67</v>
      </c>
      <c r="F6" s="30"/>
      <c r="G6" s="29" t="s">
        <v>69</v>
      </c>
      <c r="H6" s="31"/>
      <c r="I6" s="29" t="s">
        <v>72</v>
      </c>
      <c r="J6" s="31"/>
      <c r="K6" s="29" t="s">
        <v>76</v>
      </c>
      <c r="L6" s="31"/>
      <c r="M6" s="29" t="s">
        <v>104</v>
      </c>
    </row>
    <row r="7" spans="1:13" ht="11.25" customHeight="1" x14ac:dyDescent="0.2">
      <c r="A7" s="126" t="s">
        <v>1</v>
      </c>
      <c r="B7" s="32"/>
      <c r="C7" s="33"/>
      <c r="D7" s="32"/>
      <c r="E7" s="34"/>
      <c r="F7" s="35"/>
      <c r="G7" s="34"/>
      <c r="H7" s="35"/>
      <c r="I7" s="34"/>
      <c r="J7" s="36"/>
      <c r="K7" s="34"/>
      <c r="L7" s="36"/>
      <c r="M7" s="34"/>
    </row>
    <row r="8" spans="1:13" ht="11.25" customHeight="1" x14ac:dyDescent="0.2">
      <c r="A8" s="66" t="s">
        <v>32</v>
      </c>
      <c r="B8" s="124"/>
      <c r="C8" s="33"/>
      <c r="D8" s="32"/>
      <c r="E8" s="34"/>
      <c r="F8" s="35"/>
      <c r="G8" s="34"/>
      <c r="H8" s="35"/>
      <c r="I8" s="34"/>
      <c r="J8" s="38"/>
      <c r="K8" s="34"/>
      <c r="L8" s="38"/>
      <c r="M8" s="34"/>
    </row>
    <row r="9" spans="1:13" ht="11.25" customHeight="1" x14ac:dyDescent="0.2">
      <c r="A9" s="116" t="s">
        <v>60</v>
      </c>
      <c r="B9" s="123"/>
      <c r="C9" s="40"/>
      <c r="D9" s="32"/>
      <c r="E9" s="20">
        <v>5</v>
      </c>
      <c r="F9" s="41"/>
      <c r="G9" s="20">
        <v>27</v>
      </c>
      <c r="H9" s="21"/>
      <c r="I9" s="20">
        <v>4</v>
      </c>
      <c r="J9" s="21"/>
      <c r="K9" s="20">
        <v>5</v>
      </c>
      <c r="L9" s="21"/>
      <c r="M9" s="20">
        <v>6</v>
      </c>
    </row>
    <row r="10" spans="1:13" ht="11.25" customHeight="1" x14ac:dyDescent="0.2">
      <c r="A10" s="116" t="s">
        <v>61</v>
      </c>
      <c r="B10" s="39"/>
      <c r="C10" s="42"/>
      <c r="D10" s="35"/>
      <c r="E10" s="20">
        <v>198</v>
      </c>
      <c r="F10" s="41"/>
      <c r="G10" s="20">
        <v>40</v>
      </c>
      <c r="H10" s="21"/>
      <c r="I10" s="20">
        <v>120</v>
      </c>
      <c r="J10" s="21"/>
      <c r="K10" s="20">
        <v>238</v>
      </c>
      <c r="L10" s="21"/>
      <c r="M10" s="20">
        <v>43</v>
      </c>
    </row>
    <row r="11" spans="1:13" ht="11.25" customHeight="1" x14ac:dyDescent="0.2">
      <c r="A11" s="116" t="s">
        <v>62</v>
      </c>
      <c r="B11" s="39"/>
      <c r="C11" s="42"/>
      <c r="D11" s="32"/>
      <c r="E11" s="20">
        <v>48</v>
      </c>
      <c r="F11" s="41"/>
      <c r="G11" s="20">
        <v>28</v>
      </c>
      <c r="H11" s="21"/>
      <c r="I11" s="20">
        <v>10</v>
      </c>
      <c r="J11" s="21"/>
      <c r="K11" s="20">
        <v>180</v>
      </c>
      <c r="L11" s="21"/>
      <c r="M11" s="20">
        <v>2</v>
      </c>
    </row>
    <row r="12" spans="1:13" ht="11.25" customHeight="1" x14ac:dyDescent="0.2">
      <c r="A12" s="116" t="s">
        <v>116</v>
      </c>
      <c r="B12" s="39"/>
      <c r="C12" s="42"/>
      <c r="D12" s="32"/>
      <c r="E12" s="61">
        <v>18</v>
      </c>
      <c r="F12" s="43" t="s">
        <v>77</v>
      </c>
      <c r="G12" s="61">
        <v>10</v>
      </c>
      <c r="H12" s="43" t="s">
        <v>77</v>
      </c>
      <c r="I12" s="61">
        <v>10</v>
      </c>
      <c r="J12" s="43" t="s">
        <v>77</v>
      </c>
      <c r="K12" s="61">
        <v>30</v>
      </c>
      <c r="L12" s="43" t="s">
        <v>77</v>
      </c>
      <c r="M12" s="61">
        <v>4</v>
      </c>
    </row>
    <row r="13" spans="1:13" ht="11.25" customHeight="1" x14ac:dyDescent="0.2">
      <c r="A13" s="116" t="s">
        <v>55</v>
      </c>
      <c r="B13" s="39"/>
      <c r="C13" s="42"/>
      <c r="D13" s="32"/>
      <c r="E13" s="20">
        <v>926</v>
      </c>
      <c r="F13" s="21"/>
      <c r="G13" s="20">
        <v>655</v>
      </c>
      <c r="H13" s="44"/>
      <c r="I13" s="20">
        <v>777</v>
      </c>
      <c r="J13" s="44"/>
      <c r="K13" s="20">
        <v>962</v>
      </c>
      <c r="L13" s="44"/>
      <c r="M13" s="20">
        <v>663</v>
      </c>
    </row>
    <row r="14" spans="1:13" ht="11.25" customHeight="1" x14ac:dyDescent="0.2">
      <c r="A14" s="195" t="s">
        <v>80</v>
      </c>
      <c r="B14" s="39"/>
      <c r="C14" s="42"/>
      <c r="D14" s="32"/>
      <c r="E14" s="46">
        <v>944</v>
      </c>
      <c r="F14" s="49" t="s">
        <v>77</v>
      </c>
      <c r="G14" s="46">
        <v>665</v>
      </c>
      <c r="H14" s="49" t="s">
        <v>77</v>
      </c>
      <c r="I14" s="46">
        <v>787</v>
      </c>
      <c r="J14" s="49" t="s">
        <v>77</v>
      </c>
      <c r="K14" s="46">
        <v>992</v>
      </c>
      <c r="L14" s="49" t="s">
        <v>77</v>
      </c>
      <c r="M14" s="46">
        <v>668</v>
      </c>
    </row>
    <row r="15" spans="1:13" ht="11.25" customHeight="1" x14ac:dyDescent="0.2">
      <c r="A15" s="66" t="s">
        <v>2</v>
      </c>
      <c r="B15" s="58"/>
      <c r="C15" s="47"/>
      <c r="D15" s="32"/>
      <c r="E15" s="22"/>
      <c r="F15" s="23"/>
      <c r="G15" s="22"/>
      <c r="H15" s="38"/>
      <c r="I15" s="20"/>
      <c r="J15" s="38"/>
      <c r="K15" s="20"/>
      <c r="L15" s="38"/>
      <c r="M15" s="20"/>
    </row>
    <row r="16" spans="1:13" ht="11.25" customHeight="1" x14ac:dyDescent="0.2">
      <c r="A16" s="116" t="s">
        <v>60</v>
      </c>
      <c r="B16" s="45"/>
      <c r="C16" s="40"/>
      <c r="D16" s="32"/>
      <c r="E16" s="20">
        <v>31</v>
      </c>
      <c r="F16" s="41"/>
      <c r="G16" s="62">
        <v>3</v>
      </c>
      <c r="H16" s="21"/>
      <c r="I16" s="62">
        <v>4</v>
      </c>
      <c r="J16" s="21"/>
      <c r="K16" s="62">
        <v>1</v>
      </c>
      <c r="L16" s="21"/>
      <c r="M16" s="62">
        <v>1</v>
      </c>
    </row>
    <row r="17" spans="1:13" ht="11.25" customHeight="1" x14ac:dyDescent="0.2">
      <c r="A17" s="116" t="s">
        <v>61</v>
      </c>
      <c r="B17" s="39"/>
      <c r="C17" s="42"/>
      <c r="D17" s="35"/>
      <c r="E17" s="20">
        <v>12</v>
      </c>
      <c r="F17" s="41"/>
      <c r="G17" s="62">
        <v>6</v>
      </c>
      <c r="H17" s="21"/>
      <c r="I17" s="62">
        <v>6</v>
      </c>
      <c r="J17" s="21"/>
      <c r="K17" s="62">
        <v>30</v>
      </c>
      <c r="L17" s="21"/>
      <c r="M17" s="62">
        <v>33</v>
      </c>
    </row>
    <row r="18" spans="1:13" ht="11.25" customHeight="1" x14ac:dyDescent="0.2">
      <c r="A18" s="116" t="s">
        <v>62</v>
      </c>
      <c r="B18" s="39"/>
      <c r="C18" s="42"/>
      <c r="D18" s="32"/>
      <c r="E18" s="62">
        <v>1050</v>
      </c>
      <c r="F18" s="41"/>
      <c r="G18" s="20">
        <v>840</v>
      </c>
      <c r="H18" s="44"/>
      <c r="I18" s="20">
        <v>693</v>
      </c>
      <c r="J18" s="44"/>
      <c r="K18" s="20">
        <v>1300</v>
      </c>
      <c r="L18" s="44"/>
      <c r="M18" s="20">
        <v>1260</v>
      </c>
    </row>
    <row r="19" spans="1:13" ht="11.25" customHeight="1" x14ac:dyDescent="0.2">
      <c r="A19" s="116" t="s">
        <v>116</v>
      </c>
      <c r="B19" s="45"/>
      <c r="C19" s="42"/>
      <c r="D19" s="32"/>
      <c r="E19" s="63">
        <v>80</v>
      </c>
      <c r="F19" s="43" t="s">
        <v>77</v>
      </c>
      <c r="G19" s="61">
        <v>60</v>
      </c>
      <c r="H19" s="43" t="s">
        <v>77</v>
      </c>
      <c r="I19" s="61">
        <v>50</v>
      </c>
      <c r="J19" s="43" t="s">
        <v>77</v>
      </c>
      <c r="K19" s="61">
        <v>93</v>
      </c>
      <c r="L19" s="43" t="s">
        <v>77</v>
      </c>
      <c r="M19" s="61">
        <v>91</v>
      </c>
    </row>
    <row r="20" spans="1:13" ht="11.25" customHeight="1" x14ac:dyDescent="0.2">
      <c r="A20" s="117" t="s">
        <v>117</v>
      </c>
      <c r="B20" s="39"/>
      <c r="C20" s="42"/>
      <c r="D20" s="32"/>
      <c r="E20" s="20">
        <v>1800</v>
      </c>
      <c r="F20" s="44"/>
      <c r="G20" s="20">
        <v>1690</v>
      </c>
      <c r="H20" s="44"/>
      <c r="I20" s="20">
        <v>1220</v>
      </c>
      <c r="J20" s="35"/>
      <c r="K20" s="20">
        <v>1250</v>
      </c>
      <c r="L20" s="35"/>
      <c r="M20" s="20">
        <v>1990</v>
      </c>
    </row>
    <row r="21" spans="1:13" ht="11.25" customHeight="1" x14ac:dyDescent="0.2">
      <c r="A21" s="117" t="s">
        <v>54</v>
      </c>
      <c r="B21" s="39"/>
      <c r="C21" s="42"/>
      <c r="D21" s="32"/>
      <c r="E21" s="20">
        <v>964</v>
      </c>
      <c r="F21" s="21"/>
      <c r="G21" s="20">
        <v>994</v>
      </c>
      <c r="H21" s="44"/>
      <c r="I21" s="20">
        <v>519</v>
      </c>
      <c r="J21" s="44"/>
      <c r="K21" s="20">
        <v>750</v>
      </c>
      <c r="L21" s="44"/>
      <c r="M21" s="20">
        <v>781</v>
      </c>
    </row>
    <row r="22" spans="1:13" ht="11.25" customHeight="1" x14ac:dyDescent="0.2">
      <c r="A22" s="117" t="s">
        <v>55</v>
      </c>
      <c r="B22" s="39"/>
      <c r="C22" s="42"/>
      <c r="D22" s="32"/>
      <c r="E22" s="24">
        <v>8290</v>
      </c>
      <c r="F22" s="48"/>
      <c r="G22" s="24">
        <v>7330</v>
      </c>
      <c r="H22" s="26"/>
      <c r="I22" s="24">
        <v>5380</v>
      </c>
      <c r="J22" s="26"/>
      <c r="K22" s="24">
        <v>6140</v>
      </c>
      <c r="L22" s="26"/>
      <c r="M22" s="24">
        <v>6250</v>
      </c>
    </row>
    <row r="23" spans="1:13" ht="11.25" customHeight="1" x14ac:dyDescent="0.2">
      <c r="A23" s="181" t="s">
        <v>79</v>
      </c>
      <c r="B23" s="39"/>
      <c r="C23" s="42"/>
      <c r="D23" s="32"/>
      <c r="E23" s="20">
        <v>11100</v>
      </c>
      <c r="F23" s="21" t="s">
        <v>77</v>
      </c>
      <c r="G23" s="20">
        <v>10100</v>
      </c>
      <c r="H23" s="49"/>
      <c r="I23" s="20">
        <v>7170</v>
      </c>
      <c r="J23" s="49" t="s">
        <v>77</v>
      </c>
      <c r="K23" s="20">
        <v>8230</v>
      </c>
      <c r="L23" s="49" t="s">
        <v>77</v>
      </c>
      <c r="M23" s="20">
        <v>9110</v>
      </c>
    </row>
    <row r="24" spans="1:13" ht="11.25" customHeight="1" x14ac:dyDescent="0.2">
      <c r="A24" s="66" t="s">
        <v>53</v>
      </c>
      <c r="B24" s="58"/>
      <c r="C24" s="47"/>
      <c r="D24" s="32"/>
      <c r="E24" s="22"/>
      <c r="F24" s="25"/>
      <c r="G24" s="22"/>
      <c r="H24" s="38"/>
      <c r="I24" s="20"/>
      <c r="J24" s="38"/>
      <c r="K24" s="20"/>
      <c r="L24" s="38"/>
      <c r="M24" s="20"/>
    </row>
    <row r="25" spans="1:13" ht="11.25" customHeight="1" x14ac:dyDescent="0.2">
      <c r="A25" s="196" t="s">
        <v>4</v>
      </c>
      <c r="B25" s="45"/>
      <c r="C25" s="40"/>
      <c r="D25" s="32"/>
      <c r="E25" s="64" t="s">
        <v>5</v>
      </c>
      <c r="F25" s="44"/>
      <c r="G25" s="64" t="s">
        <v>5</v>
      </c>
      <c r="H25" s="44"/>
      <c r="I25" s="64" t="s">
        <v>5</v>
      </c>
      <c r="J25" s="44"/>
      <c r="K25" s="64" t="s">
        <v>5</v>
      </c>
      <c r="L25" s="44"/>
      <c r="M25" s="64" t="s">
        <v>5</v>
      </c>
    </row>
    <row r="26" spans="1:13" ht="11.25" customHeight="1" x14ac:dyDescent="0.2">
      <c r="A26" s="117" t="s">
        <v>146</v>
      </c>
      <c r="B26" s="39"/>
      <c r="C26" s="42"/>
      <c r="D26" s="32"/>
      <c r="E26" s="20">
        <v>6860</v>
      </c>
      <c r="F26" s="21" t="s">
        <v>77</v>
      </c>
      <c r="G26" s="20">
        <v>6700</v>
      </c>
      <c r="H26" s="44"/>
      <c r="I26" s="20">
        <v>6190</v>
      </c>
      <c r="J26" s="44"/>
      <c r="K26" s="20">
        <v>6110</v>
      </c>
      <c r="L26" s="44" t="s">
        <v>77</v>
      </c>
      <c r="M26" s="20">
        <v>7230</v>
      </c>
    </row>
    <row r="27" spans="1:13" ht="11.25" customHeight="1" x14ac:dyDescent="0.2">
      <c r="A27" s="66" t="s">
        <v>147</v>
      </c>
      <c r="B27" s="37"/>
      <c r="C27" s="42"/>
      <c r="D27" s="32"/>
      <c r="E27" s="20">
        <v>10100</v>
      </c>
      <c r="F27" s="21"/>
      <c r="G27" s="20">
        <v>9330</v>
      </c>
      <c r="H27" s="44" t="s">
        <v>77</v>
      </c>
      <c r="I27" s="20">
        <v>6300</v>
      </c>
      <c r="J27" s="44" t="s">
        <v>77</v>
      </c>
      <c r="K27" s="20">
        <v>7240</v>
      </c>
      <c r="L27" s="44" t="s">
        <v>77</v>
      </c>
      <c r="M27" s="20">
        <v>8440</v>
      </c>
    </row>
    <row r="28" spans="1:13" ht="11.25" customHeight="1" x14ac:dyDescent="0.2">
      <c r="A28" s="66" t="s">
        <v>148</v>
      </c>
      <c r="B28" s="58"/>
      <c r="C28" s="50"/>
      <c r="D28" s="32"/>
      <c r="E28" s="51"/>
      <c r="F28" s="52"/>
      <c r="G28" s="20"/>
      <c r="H28" s="53"/>
      <c r="I28" s="20"/>
      <c r="J28" s="53"/>
      <c r="K28" s="20"/>
      <c r="L28" s="53"/>
      <c r="M28" s="20"/>
    </row>
    <row r="29" spans="1:13" ht="11.25" customHeight="1" x14ac:dyDescent="0.2">
      <c r="A29" s="117" t="s">
        <v>48</v>
      </c>
      <c r="B29" s="123"/>
      <c r="C29" s="143" t="s">
        <v>151</v>
      </c>
      <c r="D29" s="32"/>
      <c r="E29" s="51">
        <v>15.08</v>
      </c>
      <c r="F29" s="44"/>
      <c r="G29" s="65">
        <v>11.33</v>
      </c>
      <c r="H29" s="54"/>
      <c r="I29" s="65">
        <v>26.62</v>
      </c>
      <c r="J29" s="54"/>
      <c r="K29" s="65">
        <v>35.520000000000003</v>
      </c>
      <c r="L29" s="54"/>
      <c r="M29" s="65">
        <v>29.68</v>
      </c>
    </row>
    <row r="30" spans="1:13" ht="11.25" customHeight="1" x14ac:dyDescent="0.2">
      <c r="A30" s="117" t="s">
        <v>68</v>
      </c>
      <c r="B30" s="39"/>
      <c r="C30" s="42" t="s">
        <v>3</v>
      </c>
      <c r="D30" s="32"/>
      <c r="E30" s="51">
        <v>35.03</v>
      </c>
      <c r="F30" s="52"/>
      <c r="G30" s="65">
        <v>35.42</v>
      </c>
      <c r="H30" s="53"/>
      <c r="I30" s="65">
        <v>33.58</v>
      </c>
      <c r="J30" s="53"/>
      <c r="K30" s="65">
        <v>34.200000000000003</v>
      </c>
      <c r="L30" s="53"/>
      <c r="M30" s="65">
        <v>36</v>
      </c>
    </row>
    <row r="31" spans="1:13" ht="11.25" customHeight="1" x14ac:dyDescent="0.2">
      <c r="A31" s="117" t="s">
        <v>34</v>
      </c>
      <c r="B31" s="39"/>
      <c r="C31" s="42" t="s">
        <v>3</v>
      </c>
      <c r="D31" s="32"/>
      <c r="E31" s="219">
        <v>21.11</v>
      </c>
      <c r="F31" s="220"/>
      <c r="G31" s="221">
        <v>22.71</v>
      </c>
      <c r="H31" s="222"/>
      <c r="I31" s="221">
        <v>20.74</v>
      </c>
      <c r="J31" s="222"/>
      <c r="K31" s="221">
        <v>20.83</v>
      </c>
      <c r="L31" s="222"/>
      <c r="M31" s="221">
        <v>25.07</v>
      </c>
    </row>
    <row r="32" spans="1:13" ht="11.25" customHeight="1" x14ac:dyDescent="0.2">
      <c r="A32" s="86" t="s">
        <v>149</v>
      </c>
      <c r="B32" s="55"/>
      <c r="C32" s="42"/>
      <c r="D32" s="56"/>
      <c r="E32" s="76">
        <v>78600</v>
      </c>
      <c r="F32" s="77" t="s">
        <v>77</v>
      </c>
      <c r="G32" s="76">
        <v>96900</v>
      </c>
      <c r="H32" s="77"/>
      <c r="I32" s="76">
        <v>67500</v>
      </c>
      <c r="J32" s="77"/>
      <c r="K32" s="76">
        <v>87500</v>
      </c>
      <c r="L32" s="77" t="s">
        <v>77</v>
      </c>
      <c r="M32" s="76">
        <v>83700</v>
      </c>
    </row>
    <row r="33" spans="1:14" ht="11.25" customHeight="1" x14ac:dyDescent="0.2">
      <c r="A33" s="226" t="s">
        <v>81</v>
      </c>
      <c r="B33" s="226"/>
      <c r="C33" s="226"/>
      <c r="D33" s="226"/>
      <c r="E33" s="226"/>
      <c r="F33" s="226"/>
      <c r="G33" s="226"/>
      <c r="H33" s="226"/>
      <c r="I33" s="226"/>
      <c r="J33" s="226"/>
      <c r="K33" s="226"/>
      <c r="L33" s="226"/>
      <c r="M33" s="226"/>
    </row>
    <row r="34" spans="1:14" ht="11.25" customHeight="1" x14ac:dyDescent="0.2">
      <c r="A34" s="227" t="s">
        <v>118</v>
      </c>
      <c r="B34" s="227"/>
      <c r="C34" s="227"/>
      <c r="D34" s="227"/>
      <c r="E34" s="227"/>
      <c r="F34" s="227"/>
      <c r="G34" s="227"/>
      <c r="H34" s="227"/>
      <c r="I34" s="227"/>
      <c r="J34" s="227"/>
      <c r="K34" s="227"/>
      <c r="L34" s="227"/>
      <c r="M34" s="227"/>
    </row>
    <row r="35" spans="1:14" ht="22.5" customHeight="1" x14ac:dyDescent="0.2">
      <c r="A35" s="232" t="s">
        <v>152</v>
      </c>
      <c r="B35" s="232"/>
      <c r="C35" s="232"/>
      <c r="D35" s="232"/>
      <c r="E35" s="232"/>
      <c r="F35" s="232"/>
      <c r="G35" s="232"/>
      <c r="H35" s="232"/>
      <c r="I35" s="232"/>
      <c r="J35" s="232"/>
      <c r="K35" s="232"/>
      <c r="L35" s="232"/>
      <c r="M35" s="232"/>
    </row>
    <row r="36" spans="1:14" ht="11.25" customHeight="1" x14ac:dyDescent="0.2">
      <c r="A36" s="234" t="s">
        <v>142</v>
      </c>
      <c r="B36" s="236"/>
      <c r="C36" s="236"/>
      <c r="D36" s="236"/>
      <c r="E36" s="236"/>
      <c r="F36" s="236"/>
      <c r="G36" s="236"/>
      <c r="H36" s="236"/>
      <c r="I36" s="236"/>
      <c r="J36" s="236"/>
      <c r="K36" s="236"/>
      <c r="L36" s="236"/>
      <c r="M36" s="236"/>
      <c r="N36" s="128"/>
    </row>
    <row r="37" spans="1:14" ht="22.5" customHeight="1" x14ac:dyDescent="0.2">
      <c r="A37" s="233" t="s">
        <v>143</v>
      </c>
      <c r="B37" s="233"/>
      <c r="C37" s="233"/>
      <c r="D37" s="233"/>
      <c r="E37" s="233"/>
      <c r="F37" s="233"/>
      <c r="G37" s="233"/>
      <c r="H37" s="233"/>
      <c r="I37" s="233"/>
      <c r="J37" s="233"/>
      <c r="K37" s="233"/>
      <c r="L37" s="233"/>
      <c r="M37" s="233"/>
    </row>
    <row r="38" spans="1:14" ht="11.25" customHeight="1" x14ac:dyDescent="0.2">
      <c r="A38" s="234" t="s">
        <v>144</v>
      </c>
      <c r="B38" s="234"/>
      <c r="C38" s="234"/>
      <c r="D38" s="234"/>
      <c r="E38" s="234"/>
      <c r="F38" s="234"/>
      <c r="G38" s="234"/>
      <c r="H38" s="234"/>
      <c r="I38" s="234"/>
      <c r="J38" s="234"/>
      <c r="K38" s="234"/>
      <c r="L38" s="234"/>
      <c r="M38" s="234"/>
    </row>
    <row r="39" spans="1:14" ht="11.25" customHeight="1" x14ac:dyDescent="0.2">
      <c r="A39" s="235" t="s">
        <v>145</v>
      </c>
      <c r="B39" s="235"/>
      <c r="C39" s="235"/>
      <c r="D39" s="235"/>
      <c r="E39" s="235"/>
      <c r="F39" s="235"/>
      <c r="G39" s="235"/>
      <c r="H39" s="235"/>
      <c r="I39" s="235"/>
      <c r="J39" s="235"/>
      <c r="K39" s="235"/>
      <c r="L39" s="235"/>
      <c r="M39" s="235"/>
    </row>
    <row r="40" spans="1:14" ht="11.25" customHeight="1" x14ac:dyDescent="0.2">
      <c r="A40" s="230"/>
      <c r="B40" s="230"/>
      <c r="C40" s="230"/>
      <c r="D40" s="230"/>
      <c r="E40" s="230"/>
      <c r="F40" s="230"/>
      <c r="G40" s="230"/>
      <c r="H40" s="230"/>
      <c r="I40" s="230"/>
      <c r="J40" s="230"/>
      <c r="K40" s="230"/>
      <c r="L40" s="230"/>
      <c r="M40" s="230"/>
    </row>
    <row r="41" spans="1:14" ht="11.25" customHeight="1" x14ac:dyDescent="0.2">
      <c r="A41" s="231" t="s">
        <v>42</v>
      </c>
      <c r="B41" s="231"/>
      <c r="C41" s="231"/>
      <c r="D41" s="231"/>
      <c r="E41" s="231"/>
      <c r="F41" s="231"/>
      <c r="G41" s="231"/>
      <c r="H41" s="231"/>
      <c r="I41" s="231"/>
      <c r="J41" s="231"/>
      <c r="K41" s="231"/>
      <c r="L41" s="231"/>
      <c r="M41" s="231"/>
    </row>
    <row r="42" spans="1:14" ht="11.25" customHeight="1" x14ac:dyDescent="0.2">
      <c r="E42" s="60"/>
      <c r="F42" s="60"/>
      <c r="G42" s="60"/>
      <c r="H42" s="60"/>
      <c r="I42" s="60"/>
      <c r="K42" s="60"/>
    </row>
  </sheetData>
  <mergeCells count="14">
    <mergeCell ref="A40:M40"/>
    <mergeCell ref="A41:M41"/>
    <mergeCell ref="A35:M35"/>
    <mergeCell ref="A37:M37"/>
    <mergeCell ref="A38:M38"/>
    <mergeCell ref="A39:M39"/>
    <mergeCell ref="A36:M36"/>
    <mergeCell ref="A1:M1"/>
    <mergeCell ref="A2:M2"/>
    <mergeCell ref="A5:M5"/>
    <mergeCell ref="A33:M33"/>
    <mergeCell ref="A34:M34"/>
    <mergeCell ref="A4:M4"/>
    <mergeCell ref="A3:M3"/>
  </mergeCells>
  <pageMargins left="0.5" right="0.5" top="0.5" bottom="0.75" header="0.3" footer="0.3"/>
  <pageSetup fitToHeight="0" orientation="portrait" r:id="rId1"/>
  <ignoredErrors>
    <ignoredError sqref="L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5916B-3D09-42FC-A605-46C9F81A86F6}">
  <dimension ref="A1:E31"/>
  <sheetViews>
    <sheetView zoomScaleNormal="100" workbookViewId="0">
      <selection sqref="A1:E1"/>
    </sheetView>
  </sheetViews>
  <sheetFormatPr defaultColWidth="8.42578125" defaultRowHeight="11.25" customHeight="1" x14ac:dyDescent="0.2"/>
  <cols>
    <col min="1" max="1" width="50.85546875" style="4" customWidth="1"/>
    <col min="2" max="2" width="1.5703125" style="4" customWidth="1"/>
    <col min="3" max="3" width="8.5703125" style="4" customWidth="1"/>
    <col min="4" max="4" width="1.5703125" style="4" customWidth="1"/>
    <col min="5" max="5" width="8.5703125" style="4" customWidth="1"/>
    <col min="6" max="16384" width="8.42578125" style="4"/>
  </cols>
  <sheetData>
    <row r="1" spans="1:5" ht="11.25" customHeight="1" x14ac:dyDescent="0.2">
      <c r="A1" s="243" t="s">
        <v>6</v>
      </c>
      <c r="B1" s="244"/>
      <c r="C1" s="244"/>
      <c r="D1" s="244"/>
      <c r="E1" s="244"/>
    </row>
    <row r="2" spans="1:5" ht="11.25" customHeight="1" x14ac:dyDescent="0.2">
      <c r="A2" s="243" t="s">
        <v>7</v>
      </c>
      <c r="B2" s="244"/>
      <c r="C2" s="244"/>
      <c r="D2" s="244"/>
      <c r="E2" s="244"/>
    </row>
    <row r="3" spans="1:5" ht="11.25" customHeight="1" x14ac:dyDescent="0.2">
      <c r="A3" s="243" t="s">
        <v>8</v>
      </c>
      <c r="B3" s="244"/>
      <c r="C3" s="244"/>
      <c r="D3" s="244"/>
      <c r="E3" s="244"/>
    </row>
    <row r="4" spans="1:5" ht="11.25" customHeight="1" x14ac:dyDescent="0.2">
      <c r="A4" s="243"/>
      <c r="B4" s="229"/>
      <c r="C4" s="229"/>
      <c r="D4" s="229"/>
      <c r="E4" s="229"/>
    </row>
    <row r="5" spans="1:5" ht="11.25" customHeight="1" x14ac:dyDescent="0.2">
      <c r="A5" s="243" t="s">
        <v>65</v>
      </c>
      <c r="B5" s="244"/>
      <c r="C5" s="244"/>
      <c r="D5" s="244"/>
      <c r="E5" s="244"/>
    </row>
    <row r="6" spans="1:5" ht="11.25" customHeight="1" x14ac:dyDescent="0.2">
      <c r="A6" s="245"/>
      <c r="B6" s="246"/>
      <c r="C6" s="246"/>
      <c r="D6" s="246"/>
      <c r="E6" s="246"/>
    </row>
    <row r="7" spans="1:5" ht="11.25" customHeight="1" x14ac:dyDescent="0.2">
      <c r="A7" s="5"/>
      <c r="B7" s="6"/>
      <c r="C7" s="97" t="s">
        <v>76</v>
      </c>
      <c r="D7" s="98"/>
      <c r="E7" s="97" t="s">
        <v>104</v>
      </c>
    </row>
    <row r="8" spans="1:5" ht="11.25" customHeight="1" x14ac:dyDescent="0.2">
      <c r="A8" s="7" t="s">
        <v>9</v>
      </c>
      <c r="B8" s="8"/>
      <c r="C8" s="9"/>
      <c r="D8" s="10"/>
      <c r="E8" s="9"/>
    </row>
    <row r="9" spans="1:5" ht="11.25" customHeight="1" x14ac:dyDescent="0.2">
      <c r="A9" s="11" t="s">
        <v>10</v>
      </c>
      <c r="B9" s="8"/>
      <c r="C9" s="9"/>
      <c r="D9" s="12"/>
      <c r="E9" s="9"/>
    </row>
    <row r="10" spans="1:5" ht="11.25" customHeight="1" x14ac:dyDescent="0.2">
      <c r="A10" s="13" t="s">
        <v>11</v>
      </c>
      <c r="B10" s="8"/>
      <c r="C10" s="99">
        <v>1040</v>
      </c>
      <c r="D10" s="100" t="s">
        <v>77</v>
      </c>
      <c r="E10" s="101" t="s">
        <v>14</v>
      </c>
    </row>
    <row r="11" spans="1:5" ht="11.25" customHeight="1" x14ac:dyDescent="0.2">
      <c r="A11" s="13" t="s">
        <v>12</v>
      </c>
      <c r="B11" s="8"/>
      <c r="C11" s="103">
        <v>348</v>
      </c>
      <c r="D11" s="119" t="s">
        <v>77</v>
      </c>
      <c r="E11" s="103">
        <v>286</v>
      </c>
    </row>
    <row r="12" spans="1:5" ht="11.25" customHeight="1" x14ac:dyDescent="0.2">
      <c r="A12" s="13" t="s">
        <v>13</v>
      </c>
      <c r="B12" s="8"/>
      <c r="C12" s="103">
        <v>284</v>
      </c>
      <c r="D12" s="100" t="s">
        <v>77</v>
      </c>
      <c r="E12" s="103">
        <v>321</v>
      </c>
    </row>
    <row r="13" spans="1:5" ht="11.25" customHeight="1" x14ac:dyDescent="0.2">
      <c r="A13" s="13" t="s">
        <v>15</v>
      </c>
      <c r="B13" s="8"/>
      <c r="C13" s="101" t="s">
        <v>14</v>
      </c>
      <c r="D13" s="100"/>
      <c r="E13" s="101" t="s">
        <v>14</v>
      </c>
    </row>
    <row r="14" spans="1:5" ht="11.25" customHeight="1" x14ac:dyDescent="0.2">
      <c r="A14" s="13" t="s">
        <v>16</v>
      </c>
      <c r="B14" s="8"/>
      <c r="C14" s="101" t="s">
        <v>14</v>
      </c>
      <c r="D14" s="100"/>
      <c r="E14" s="101" t="s">
        <v>14</v>
      </c>
    </row>
    <row r="15" spans="1:5" ht="11.25" customHeight="1" x14ac:dyDescent="0.2">
      <c r="A15" s="13" t="s">
        <v>17</v>
      </c>
      <c r="B15" s="8"/>
      <c r="C15" s="101" t="s">
        <v>14</v>
      </c>
      <c r="D15" s="100"/>
      <c r="E15" s="101" t="s">
        <v>14</v>
      </c>
    </row>
    <row r="16" spans="1:5" ht="11.25" customHeight="1" x14ac:dyDescent="0.2">
      <c r="A16" s="13" t="s">
        <v>18</v>
      </c>
      <c r="B16" s="8"/>
      <c r="C16" s="197">
        <v>2570</v>
      </c>
      <c r="D16" s="198" t="s">
        <v>77</v>
      </c>
      <c r="E16" s="197">
        <v>2740</v>
      </c>
    </row>
    <row r="17" spans="1:5" ht="11.25" customHeight="1" x14ac:dyDescent="0.2">
      <c r="A17" s="14" t="s">
        <v>19</v>
      </c>
      <c r="B17" s="8"/>
      <c r="C17" s="104">
        <v>4560</v>
      </c>
      <c r="D17" s="105" t="s">
        <v>77</v>
      </c>
      <c r="E17" s="104">
        <v>5680</v>
      </c>
    </row>
    <row r="18" spans="1:5" ht="11.25" customHeight="1" x14ac:dyDescent="0.2">
      <c r="A18" s="11" t="s">
        <v>20</v>
      </c>
      <c r="B18" s="8"/>
      <c r="C18" s="102">
        <v>1530</v>
      </c>
      <c r="D18" s="119" t="s">
        <v>77</v>
      </c>
      <c r="E18" s="102">
        <v>1540</v>
      </c>
    </row>
    <row r="19" spans="1:5" ht="11.25" customHeight="1" x14ac:dyDescent="0.2">
      <c r="A19" s="11" t="s">
        <v>21</v>
      </c>
      <c r="B19" s="8"/>
      <c r="C19" s="107">
        <v>17</v>
      </c>
      <c r="D19" s="106" t="s">
        <v>77</v>
      </c>
      <c r="E19" s="107">
        <v>17</v>
      </c>
    </row>
    <row r="20" spans="1:5" ht="11.25" customHeight="1" x14ac:dyDescent="0.2">
      <c r="A20" s="13" t="s">
        <v>22</v>
      </c>
      <c r="B20" s="8"/>
      <c r="C20" s="108">
        <v>6110</v>
      </c>
      <c r="D20" s="109" t="s">
        <v>77</v>
      </c>
      <c r="E20" s="108">
        <v>7230</v>
      </c>
    </row>
    <row r="21" spans="1:5" ht="11.25" customHeight="1" x14ac:dyDescent="0.2">
      <c r="A21" s="15" t="s">
        <v>23</v>
      </c>
      <c r="B21" s="16"/>
      <c r="C21" s="110"/>
      <c r="D21" s="111"/>
      <c r="E21" s="110"/>
    </row>
    <row r="22" spans="1:5" ht="11.25" customHeight="1" x14ac:dyDescent="0.2">
      <c r="A22" s="11" t="s">
        <v>24</v>
      </c>
      <c r="B22" s="8"/>
      <c r="C22" s="102">
        <v>566</v>
      </c>
      <c r="D22" s="119"/>
      <c r="E22" s="103">
        <v>351</v>
      </c>
    </row>
    <row r="23" spans="1:5" ht="11.25" customHeight="1" x14ac:dyDescent="0.2">
      <c r="A23" s="11" t="s">
        <v>56</v>
      </c>
      <c r="B23" s="8"/>
      <c r="C23" s="112" t="s">
        <v>5</v>
      </c>
      <c r="D23" s="118"/>
      <c r="E23" s="112" t="s">
        <v>5</v>
      </c>
    </row>
    <row r="24" spans="1:5" ht="11.25" customHeight="1" x14ac:dyDescent="0.2">
      <c r="A24" s="13" t="s">
        <v>25</v>
      </c>
      <c r="B24" s="8"/>
      <c r="C24" s="113">
        <v>566</v>
      </c>
      <c r="D24" s="114"/>
      <c r="E24" s="115">
        <v>351</v>
      </c>
    </row>
    <row r="25" spans="1:5" ht="11.25" customHeight="1" x14ac:dyDescent="0.2">
      <c r="A25" s="237" t="s">
        <v>75</v>
      </c>
      <c r="B25" s="238"/>
      <c r="C25" s="238"/>
      <c r="D25" s="238"/>
      <c r="E25" s="238"/>
    </row>
    <row r="26" spans="1:5" ht="22.5" customHeight="1" x14ac:dyDescent="0.2">
      <c r="A26" s="239" t="s">
        <v>126</v>
      </c>
      <c r="B26" s="240"/>
      <c r="C26" s="240"/>
      <c r="D26" s="240"/>
      <c r="E26" s="240"/>
    </row>
    <row r="27" spans="1:5" ht="11.25" customHeight="1" x14ac:dyDescent="0.2">
      <c r="A27" s="241" t="s">
        <v>74</v>
      </c>
      <c r="B27" s="242"/>
      <c r="C27" s="242"/>
      <c r="D27" s="242"/>
      <c r="E27" s="242"/>
    </row>
    <row r="28" spans="1:5" ht="11.25" customHeight="1" x14ac:dyDescent="0.2">
      <c r="A28" s="241" t="s">
        <v>26</v>
      </c>
      <c r="B28" s="242"/>
      <c r="C28" s="242"/>
      <c r="D28" s="242"/>
      <c r="E28" s="242"/>
    </row>
    <row r="29" spans="1:5" ht="11.25" customHeight="1" x14ac:dyDescent="0.2">
      <c r="A29" s="3"/>
      <c r="B29" s="17"/>
      <c r="C29" s="91"/>
      <c r="D29" s="17"/>
      <c r="E29" s="91"/>
    </row>
    <row r="30" spans="1:5" ht="11.25" customHeight="1" x14ac:dyDescent="0.2">
      <c r="A30" s="17"/>
      <c r="B30" s="17"/>
      <c r="C30" s="17"/>
      <c r="D30" s="17"/>
      <c r="E30" s="17"/>
    </row>
    <row r="31" spans="1:5" ht="11.25" customHeight="1" x14ac:dyDescent="0.2">
      <c r="A31" s="17"/>
      <c r="B31" s="17"/>
      <c r="C31" s="17"/>
      <c r="D31" s="17"/>
      <c r="E31" s="17"/>
    </row>
  </sheetData>
  <mergeCells count="10">
    <mergeCell ref="A25:E25"/>
    <mergeCell ref="A26:E26"/>
    <mergeCell ref="A27:E27"/>
    <mergeCell ref="A28:E28"/>
    <mergeCell ref="A1:E1"/>
    <mergeCell ref="A2:E2"/>
    <mergeCell ref="A3:E3"/>
    <mergeCell ref="A4:E4"/>
    <mergeCell ref="A5:E5"/>
    <mergeCell ref="A6:E6"/>
  </mergeCells>
  <pageMargins left="0.5" right="0.5" top="0.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42BC1-4296-45E1-8C76-0D5ADBCE77AE}">
  <dimension ref="A1:P38"/>
  <sheetViews>
    <sheetView zoomScaleNormal="100" workbookViewId="0">
      <selection sqref="A1:M1"/>
    </sheetView>
  </sheetViews>
  <sheetFormatPr defaultColWidth="8.42578125" defaultRowHeight="11.25" customHeight="1" x14ac:dyDescent="0.2"/>
  <cols>
    <col min="1" max="1" width="9.7109375" style="4" customWidth="1"/>
    <col min="2" max="2" width="1.42578125" style="4" customWidth="1"/>
    <col min="3" max="3" width="25.7109375" style="4" customWidth="1"/>
    <col min="4" max="4" width="1.5703125" style="4" customWidth="1"/>
    <col min="5" max="5" width="8.7109375" style="4" customWidth="1"/>
    <col min="6" max="6" width="1.5703125" style="4" customWidth="1"/>
    <col min="7" max="7" width="7.7109375" style="4" customWidth="1"/>
    <col min="8" max="8" width="1.5703125" style="4" customWidth="1"/>
    <col min="9" max="9" width="9.28515625" style="4" bestFit="1" customWidth="1"/>
    <col min="10" max="10" width="1.5703125" style="4" customWidth="1"/>
    <col min="11" max="11" width="8.140625" style="4" bestFit="1" customWidth="1"/>
    <col min="12" max="12" width="1.5703125" style="4" customWidth="1"/>
    <col min="13" max="13" width="47.28515625" style="4" bestFit="1" customWidth="1"/>
    <col min="14" max="16384" width="8.42578125" style="4"/>
  </cols>
  <sheetData>
    <row r="1" spans="1:14" ht="11.25" customHeight="1" x14ac:dyDescent="0.2">
      <c r="A1" s="254" t="s">
        <v>27</v>
      </c>
      <c r="B1" s="254"/>
      <c r="C1" s="244"/>
      <c r="D1" s="244"/>
      <c r="E1" s="244"/>
      <c r="F1" s="244"/>
      <c r="G1" s="244"/>
      <c r="H1" s="244"/>
      <c r="I1" s="244"/>
      <c r="J1" s="244"/>
      <c r="K1" s="244"/>
      <c r="L1" s="244"/>
      <c r="M1" s="244"/>
    </row>
    <row r="2" spans="1:14" ht="11.25" customHeight="1" x14ac:dyDescent="0.2">
      <c r="A2" s="254" t="s">
        <v>57</v>
      </c>
      <c r="B2" s="254"/>
      <c r="C2" s="244"/>
      <c r="D2" s="244"/>
      <c r="E2" s="244"/>
      <c r="F2" s="244"/>
      <c r="G2" s="244"/>
      <c r="H2" s="244"/>
      <c r="I2" s="244"/>
      <c r="J2" s="244"/>
      <c r="K2" s="244"/>
      <c r="L2" s="244"/>
      <c r="M2" s="244"/>
    </row>
    <row r="3" spans="1:14" ht="11.25" customHeight="1" x14ac:dyDescent="0.2">
      <c r="A3" s="254" t="s">
        <v>28</v>
      </c>
      <c r="B3" s="254"/>
      <c r="C3" s="229"/>
      <c r="D3" s="229"/>
      <c r="E3" s="229"/>
      <c r="F3" s="229"/>
      <c r="G3" s="229"/>
      <c r="H3" s="229"/>
      <c r="I3" s="229"/>
      <c r="J3" s="229"/>
      <c r="K3" s="229"/>
      <c r="L3" s="229"/>
      <c r="M3" s="229"/>
    </row>
    <row r="4" spans="1:14" ht="11.25" customHeight="1" x14ac:dyDescent="0.2">
      <c r="A4" s="255" t="s">
        <v>127</v>
      </c>
      <c r="B4" s="130"/>
      <c r="C4" s="131"/>
      <c r="D4" s="132"/>
      <c r="E4" s="258" t="s">
        <v>76</v>
      </c>
      <c r="F4" s="258"/>
      <c r="G4" s="258"/>
      <c r="H4" s="133" t="s">
        <v>29</v>
      </c>
      <c r="I4" s="258" t="s">
        <v>104</v>
      </c>
      <c r="J4" s="258"/>
      <c r="K4" s="258"/>
      <c r="L4" s="134"/>
      <c r="M4" s="135"/>
    </row>
    <row r="5" spans="1:14" ht="11.25" customHeight="1" x14ac:dyDescent="0.2">
      <c r="A5" s="256"/>
      <c r="B5" s="136"/>
      <c r="C5" s="137"/>
      <c r="D5" s="138"/>
      <c r="E5" s="139" t="s">
        <v>63</v>
      </c>
      <c r="F5" s="140"/>
      <c r="G5" s="139" t="s">
        <v>30</v>
      </c>
      <c r="H5" s="140"/>
      <c r="I5" s="139" t="s">
        <v>63</v>
      </c>
      <c r="J5" s="140"/>
      <c r="K5" s="139" t="s">
        <v>30</v>
      </c>
      <c r="L5" s="140"/>
      <c r="M5" s="139" t="s">
        <v>105</v>
      </c>
    </row>
    <row r="6" spans="1:14" ht="11.25" customHeight="1" x14ac:dyDescent="0.2">
      <c r="A6" s="257"/>
      <c r="B6" s="141"/>
      <c r="C6" s="57" t="s">
        <v>31</v>
      </c>
      <c r="D6" s="142"/>
      <c r="E6" s="57" t="s">
        <v>128</v>
      </c>
      <c r="F6" s="143"/>
      <c r="G6" s="57" t="s">
        <v>71</v>
      </c>
      <c r="H6" s="143"/>
      <c r="I6" s="57" t="s">
        <v>128</v>
      </c>
      <c r="J6" s="143"/>
      <c r="K6" s="57" t="s">
        <v>71</v>
      </c>
      <c r="L6" s="143"/>
      <c r="M6" s="57" t="s">
        <v>129</v>
      </c>
    </row>
    <row r="7" spans="1:14" ht="11.25" customHeight="1" x14ac:dyDescent="0.2">
      <c r="A7" s="144"/>
      <c r="B7" s="144"/>
      <c r="C7" s="126" t="s">
        <v>32</v>
      </c>
      <c r="D7" s="138"/>
      <c r="E7" s="138"/>
      <c r="F7" s="138"/>
      <c r="G7" s="138"/>
      <c r="H7" s="138"/>
      <c r="I7" s="138"/>
      <c r="J7" s="138"/>
      <c r="K7" s="138"/>
      <c r="L7" s="138"/>
      <c r="M7" s="138"/>
    </row>
    <row r="8" spans="1:14" ht="11.25" customHeight="1" x14ac:dyDescent="0.25">
      <c r="A8" s="145" t="s">
        <v>45</v>
      </c>
      <c r="B8" s="146"/>
      <c r="C8" s="66" t="s">
        <v>46</v>
      </c>
      <c r="D8" s="147"/>
      <c r="E8" s="148">
        <v>238</v>
      </c>
      <c r="F8" s="148"/>
      <c r="G8" s="149">
        <v>2700</v>
      </c>
      <c r="H8" s="150"/>
      <c r="I8" s="203">
        <v>43</v>
      </c>
      <c r="J8" s="203"/>
      <c r="K8" s="204">
        <v>130</v>
      </c>
      <c r="L8" s="151"/>
      <c r="M8" s="127" t="s">
        <v>130</v>
      </c>
      <c r="N8" s="18"/>
    </row>
    <row r="9" spans="1:14" ht="11.25" customHeight="1" x14ac:dyDescent="0.2">
      <c r="A9" s="145" t="s">
        <v>47</v>
      </c>
      <c r="B9" s="146"/>
      <c r="C9" s="66" t="s">
        <v>48</v>
      </c>
      <c r="D9" s="138"/>
      <c r="E9" s="148">
        <v>5</v>
      </c>
      <c r="F9" s="148"/>
      <c r="G9" s="148">
        <v>149</v>
      </c>
      <c r="H9" s="148"/>
      <c r="I9" s="203">
        <v>6</v>
      </c>
      <c r="J9" s="203"/>
      <c r="K9" s="203">
        <v>166</v>
      </c>
      <c r="L9" s="152"/>
      <c r="M9" s="127" t="s">
        <v>131</v>
      </c>
    </row>
    <row r="10" spans="1:14" ht="11.25" customHeight="1" x14ac:dyDescent="0.25">
      <c r="A10" s="145" t="s">
        <v>44</v>
      </c>
      <c r="B10" s="146"/>
      <c r="C10" s="66" t="s">
        <v>59</v>
      </c>
      <c r="D10" s="147"/>
      <c r="E10" s="148">
        <v>180</v>
      </c>
      <c r="F10" s="148"/>
      <c r="G10" s="148">
        <v>8160</v>
      </c>
      <c r="H10" s="150"/>
      <c r="I10" s="203">
        <v>2</v>
      </c>
      <c r="J10" s="203"/>
      <c r="K10" s="203">
        <v>144</v>
      </c>
      <c r="L10" s="151"/>
      <c r="M10" s="127" t="s">
        <v>132</v>
      </c>
      <c r="N10" s="18"/>
    </row>
    <row r="11" spans="1:14" ht="11.25" customHeight="1" x14ac:dyDescent="0.2">
      <c r="A11" s="145" t="s">
        <v>33</v>
      </c>
      <c r="B11" s="146"/>
      <c r="C11" s="66" t="s">
        <v>34</v>
      </c>
      <c r="D11" s="138"/>
      <c r="E11" s="102">
        <v>1480</v>
      </c>
      <c r="F11" s="153"/>
      <c r="G11" s="102">
        <v>15700</v>
      </c>
      <c r="H11" s="154"/>
      <c r="I11" s="197">
        <v>1020</v>
      </c>
      <c r="J11" s="205"/>
      <c r="K11" s="197">
        <v>11100</v>
      </c>
      <c r="L11" s="152"/>
      <c r="M11" s="127" t="s">
        <v>137</v>
      </c>
    </row>
    <row r="12" spans="1:14" ht="11.25" customHeight="1" x14ac:dyDescent="0.2">
      <c r="A12" s="145"/>
      <c r="B12" s="146"/>
      <c r="C12" s="117" t="s">
        <v>49</v>
      </c>
      <c r="D12" s="138"/>
      <c r="E12" s="155" t="s">
        <v>43</v>
      </c>
      <c r="F12" s="156"/>
      <c r="G12" s="156">
        <v>26700</v>
      </c>
      <c r="H12" s="157"/>
      <c r="I12" s="50" t="s">
        <v>43</v>
      </c>
      <c r="J12" s="206"/>
      <c r="K12" s="206">
        <v>11600</v>
      </c>
      <c r="L12" s="152"/>
      <c r="M12" s="158"/>
    </row>
    <row r="13" spans="1:14" ht="11.25" customHeight="1" x14ac:dyDescent="0.2">
      <c r="A13" s="145"/>
      <c r="B13" s="146"/>
      <c r="C13" s="86" t="s">
        <v>2</v>
      </c>
      <c r="D13" s="138"/>
      <c r="E13" s="159"/>
      <c r="F13" s="159"/>
      <c r="G13" s="159"/>
      <c r="H13" s="159"/>
      <c r="I13" s="207"/>
      <c r="J13" s="207"/>
      <c r="K13" s="207"/>
      <c r="L13" s="152"/>
      <c r="M13" s="158"/>
    </row>
    <row r="14" spans="1:14" ht="11.25" customHeight="1" x14ac:dyDescent="0.2">
      <c r="A14" s="145" t="s">
        <v>45</v>
      </c>
      <c r="B14" s="146"/>
      <c r="C14" s="66" t="s">
        <v>46</v>
      </c>
      <c r="D14" s="138"/>
      <c r="E14" s="160">
        <v>30</v>
      </c>
      <c r="F14" s="140"/>
      <c r="G14" s="148">
        <v>931</v>
      </c>
      <c r="H14" s="148"/>
      <c r="I14" s="208">
        <v>33</v>
      </c>
      <c r="J14" s="209"/>
      <c r="K14" s="203">
        <v>903</v>
      </c>
      <c r="L14" s="148"/>
      <c r="M14" s="127" t="s">
        <v>133</v>
      </c>
    </row>
    <row r="15" spans="1:14" ht="11.25" customHeight="1" x14ac:dyDescent="0.2">
      <c r="A15" s="145" t="s">
        <v>47</v>
      </c>
      <c r="B15" s="146"/>
      <c r="C15" s="66" t="s">
        <v>48</v>
      </c>
      <c r="D15" s="138"/>
      <c r="E15" s="160">
        <v>1</v>
      </c>
      <c r="F15" s="148"/>
      <c r="G15" s="160">
        <v>85</v>
      </c>
      <c r="H15" s="148"/>
      <c r="I15" s="208">
        <v>1</v>
      </c>
      <c r="J15" s="203"/>
      <c r="K15" s="208">
        <v>43</v>
      </c>
      <c r="L15" s="152"/>
      <c r="M15" s="127" t="s">
        <v>134</v>
      </c>
    </row>
    <row r="16" spans="1:14" ht="11.25" customHeight="1" x14ac:dyDescent="0.2">
      <c r="A16" s="145" t="s">
        <v>44</v>
      </c>
      <c r="B16" s="161"/>
      <c r="C16" s="162" t="s">
        <v>59</v>
      </c>
      <c r="D16" s="138"/>
      <c r="E16" s="160">
        <v>1300</v>
      </c>
      <c r="F16" s="148"/>
      <c r="G16" s="160">
        <v>62700</v>
      </c>
      <c r="H16" s="125"/>
      <c r="I16" s="208">
        <v>1260</v>
      </c>
      <c r="J16" s="203"/>
      <c r="K16" s="208">
        <v>78200</v>
      </c>
      <c r="L16" s="152"/>
      <c r="M16" s="127" t="s">
        <v>138</v>
      </c>
    </row>
    <row r="17" spans="1:16" ht="11.25" customHeight="1" x14ac:dyDescent="0.2">
      <c r="A17" s="145"/>
      <c r="B17" s="163"/>
      <c r="C17" s="164"/>
      <c r="D17" s="138"/>
      <c r="E17" s="160"/>
      <c r="F17" s="148"/>
      <c r="G17" s="160"/>
      <c r="H17" s="125"/>
      <c r="I17" s="210"/>
      <c r="J17" s="203"/>
      <c r="K17" s="208"/>
      <c r="L17" s="152"/>
      <c r="M17" s="165" t="s">
        <v>139</v>
      </c>
    </row>
    <row r="18" spans="1:16" ht="11.25" customHeight="1" x14ac:dyDescent="0.2">
      <c r="A18" s="129" t="s">
        <v>35</v>
      </c>
      <c r="B18" s="166"/>
      <c r="C18" s="167" t="s">
        <v>68</v>
      </c>
      <c r="D18" s="12"/>
      <c r="E18" s="168">
        <v>1070</v>
      </c>
      <c r="F18" s="168"/>
      <c r="G18" s="168">
        <v>36700</v>
      </c>
      <c r="H18" s="169"/>
      <c r="I18" s="211">
        <v>1120</v>
      </c>
      <c r="J18" s="211"/>
      <c r="K18" s="212">
        <v>40200</v>
      </c>
      <c r="L18" s="171"/>
      <c r="M18" s="127" t="s">
        <v>140</v>
      </c>
      <c r="P18" s="59"/>
    </row>
    <row r="19" spans="1:16" ht="11.25" customHeight="1" x14ac:dyDescent="0.2">
      <c r="A19" s="129"/>
      <c r="B19" s="166"/>
      <c r="C19" s="117" t="s">
        <v>50</v>
      </c>
      <c r="D19" s="12"/>
      <c r="E19" s="172" t="s">
        <v>43</v>
      </c>
      <c r="F19" s="173"/>
      <c r="G19" s="156">
        <v>100000</v>
      </c>
      <c r="H19" s="174"/>
      <c r="I19" s="213" t="s">
        <v>43</v>
      </c>
      <c r="J19" s="214"/>
      <c r="K19" s="211">
        <v>119000</v>
      </c>
      <c r="L19" s="171"/>
      <c r="M19" s="175"/>
    </row>
    <row r="20" spans="1:16" ht="11.25" customHeight="1" x14ac:dyDescent="0.2">
      <c r="A20" s="129"/>
      <c r="B20" s="166"/>
      <c r="C20" s="176" t="s">
        <v>36</v>
      </c>
      <c r="D20" s="12"/>
      <c r="E20" s="168"/>
      <c r="F20" s="168"/>
      <c r="G20" s="177"/>
      <c r="H20" s="168"/>
      <c r="I20" s="211"/>
      <c r="J20" s="211"/>
      <c r="K20" s="215"/>
      <c r="L20" s="171"/>
      <c r="M20" s="178"/>
    </row>
    <row r="21" spans="1:16" ht="11.25" customHeight="1" x14ac:dyDescent="0.2">
      <c r="A21" s="129" t="s">
        <v>37</v>
      </c>
      <c r="B21" s="166"/>
      <c r="C21" s="179" t="s">
        <v>38</v>
      </c>
      <c r="D21" s="12"/>
      <c r="E21" s="180" t="s">
        <v>78</v>
      </c>
      <c r="F21" s="168"/>
      <c r="G21" s="180" t="s">
        <v>78</v>
      </c>
      <c r="H21" s="193"/>
      <c r="I21" s="203">
        <v>58</v>
      </c>
      <c r="J21" s="211"/>
      <c r="K21" s="203">
        <v>940</v>
      </c>
      <c r="L21" s="171"/>
      <c r="M21" s="127" t="s">
        <v>135</v>
      </c>
      <c r="O21" s="199"/>
    </row>
    <row r="22" spans="1:16" ht="11.25" customHeight="1" x14ac:dyDescent="0.2">
      <c r="A22" s="129" t="s">
        <v>39</v>
      </c>
      <c r="B22" s="166"/>
      <c r="C22" s="179" t="s">
        <v>40</v>
      </c>
      <c r="D22" s="12"/>
      <c r="E22" s="168">
        <v>9450</v>
      </c>
      <c r="F22" s="168"/>
      <c r="G22" s="168">
        <v>212000</v>
      </c>
      <c r="H22" s="193"/>
      <c r="I22" s="211">
        <v>9550</v>
      </c>
      <c r="J22" s="211"/>
      <c r="K22" s="211">
        <v>254000</v>
      </c>
      <c r="L22" s="171"/>
      <c r="M22" s="127" t="s">
        <v>141</v>
      </c>
      <c r="O22" s="199"/>
    </row>
    <row r="23" spans="1:16" ht="11.25" customHeight="1" x14ac:dyDescent="0.2">
      <c r="A23" s="129"/>
      <c r="B23" s="166"/>
      <c r="C23" s="181" t="s">
        <v>51</v>
      </c>
      <c r="D23" s="12"/>
      <c r="E23" s="182">
        <v>9450</v>
      </c>
      <c r="F23" s="182"/>
      <c r="G23" s="182">
        <v>212000</v>
      </c>
      <c r="H23" s="183"/>
      <c r="I23" s="216">
        <v>9610</v>
      </c>
      <c r="J23" s="216"/>
      <c r="K23" s="216">
        <v>255000</v>
      </c>
      <c r="L23" s="171"/>
      <c r="M23" s="158"/>
    </row>
    <row r="24" spans="1:16" s="19" customFormat="1" ht="11.25" customHeight="1" x14ac:dyDescent="0.25">
      <c r="A24" s="129" t="s">
        <v>41</v>
      </c>
      <c r="B24" s="166"/>
      <c r="C24" s="176" t="s">
        <v>58</v>
      </c>
      <c r="D24" s="184"/>
      <c r="E24" s="185">
        <v>1250</v>
      </c>
      <c r="F24" s="185"/>
      <c r="G24" s="185">
        <v>56700</v>
      </c>
      <c r="H24" s="186"/>
      <c r="I24" s="217">
        <v>1990</v>
      </c>
      <c r="J24" s="217"/>
      <c r="K24" s="217">
        <v>94200</v>
      </c>
      <c r="L24" s="184"/>
      <c r="M24" s="127" t="s">
        <v>150</v>
      </c>
    </row>
    <row r="25" spans="1:16" ht="11.25" customHeight="1" x14ac:dyDescent="0.2">
      <c r="A25" s="187"/>
      <c r="B25" s="187"/>
      <c r="C25" s="188" t="s">
        <v>52</v>
      </c>
      <c r="D25" s="189"/>
      <c r="E25" s="190" t="s">
        <v>43</v>
      </c>
      <c r="F25" s="170"/>
      <c r="G25" s="170">
        <v>369000</v>
      </c>
      <c r="H25" s="191"/>
      <c r="I25" s="218" t="s">
        <v>43</v>
      </c>
      <c r="J25" s="212"/>
      <c r="K25" s="212">
        <v>469000</v>
      </c>
      <c r="L25" s="192"/>
      <c r="M25" s="165"/>
    </row>
    <row r="26" spans="1:16" ht="11.25" customHeight="1" x14ac:dyDescent="0.2">
      <c r="A26" s="248" t="s">
        <v>106</v>
      </c>
      <c r="B26" s="248"/>
      <c r="C26" s="238"/>
      <c r="D26" s="238"/>
      <c r="E26" s="242"/>
      <c r="F26" s="242"/>
      <c r="G26" s="242"/>
      <c r="H26" s="242"/>
      <c r="I26" s="242"/>
      <c r="J26" s="242"/>
      <c r="K26" s="242"/>
      <c r="L26" s="238"/>
      <c r="M26" s="238"/>
    </row>
    <row r="27" spans="1:16" ht="11.25" customHeight="1" x14ac:dyDescent="0.2">
      <c r="A27" s="249" t="s">
        <v>108</v>
      </c>
      <c r="B27" s="249"/>
      <c r="C27" s="242"/>
      <c r="D27" s="242"/>
      <c r="E27" s="242"/>
      <c r="F27" s="242"/>
      <c r="G27" s="242"/>
      <c r="H27" s="242"/>
      <c r="I27" s="242"/>
      <c r="J27" s="242"/>
      <c r="K27" s="242"/>
      <c r="L27" s="242"/>
      <c r="M27" s="242"/>
    </row>
    <row r="28" spans="1:16" ht="11.25" customHeight="1" x14ac:dyDescent="0.2">
      <c r="A28" s="249" t="s">
        <v>66</v>
      </c>
      <c r="B28" s="249"/>
      <c r="C28" s="242"/>
      <c r="D28" s="242"/>
      <c r="E28" s="242"/>
      <c r="F28" s="242"/>
      <c r="G28" s="242"/>
      <c r="H28" s="242"/>
      <c r="I28" s="242"/>
      <c r="J28" s="242"/>
      <c r="K28" s="242"/>
      <c r="L28" s="242"/>
      <c r="M28" s="242"/>
    </row>
    <row r="29" spans="1:16" ht="11.25" customHeight="1" x14ac:dyDescent="0.2">
      <c r="A29" s="235" t="s">
        <v>73</v>
      </c>
      <c r="B29" s="235"/>
      <c r="C29" s="250"/>
      <c r="D29" s="250"/>
      <c r="E29" s="250"/>
      <c r="F29" s="250"/>
      <c r="G29" s="250"/>
      <c r="H29" s="250"/>
      <c r="I29" s="250"/>
      <c r="J29" s="250"/>
      <c r="K29" s="250"/>
      <c r="L29" s="250"/>
      <c r="M29" s="250"/>
    </row>
    <row r="30" spans="1:16" ht="11.25" customHeight="1" x14ac:dyDescent="0.2">
      <c r="A30" s="251" t="s">
        <v>64</v>
      </c>
      <c r="B30" s="251"/>
      <c r="C30" s="252"/>
      <c r="D30" s="252"/>
      <c r="E30" s="252"/>
      <c r="F30" s="252"/>
      <c r="G30" s="252"/>
      <c r="H30" s="252"/>
      <c r="I30" s="252"/>
      <c r="J30" s="252"/>
      <c r="K30" s="252"/>
      <c r="L30" s="252"/>
      <c r="M30" s="252"/>
    </row>
    <row r="31" spans="1:16" ht="11.25" customHeight="1" x14ac:dyDescent="0.2">
      <c r="A31" s="247"/>
      <c r="B31" s="247"/>
      <c r="C31" s="253"/>
      <c r="D31" s="253"/>
      <c r="E31" s="253"/>
      <c r="F31" s="253"/>
      <c r="G31" s="253"/>
      <c r="H31" s="253"/>
      <c r="I31" s="253"/>
      <c r="J31" s="253"/>
      <c r="K31" s="253"/>
      <c r="L31" s="253"/>
      <c r="M31" s="253"/>
    </row>
    <row r="32" spans="1:16" ht="11.25" customHeight="1" x14ac:dyDescent="0.2">
      <c r="A32" s="247" t="s">
        <v>136</v>
      </c>
      <c r="B32" s="247"/>
      <c r="C32" s="242"/>
      <c r="D32" s="242"/>
      <c r="E32" s="242"/>
      <c r="F32" s="242"/>
      <c r="G32" s="242"/>
      <c r="H32" s="242"/>
      <c r="I32" s="242"/>
      <c r="J32" s="242"/>
      <c r="K32" s="242"/>
      <c r="L32" s="242"/>
      <c r="M32" s="242"/>
    </row>
    <row r="33" spans="1:16" ht="11.25" customHeight="1" x14ac:dyDescent="0.2">
      <c r="A33" s="19"/>
      <c r="B33" s="19"/>
      <c r="C33" s="19"/>
      <c r="D33" s="19"/>
      <c r="E33" s="19"/>
      <c r="F33" s="19"/>
      <c r="G33" s="194"/>
      <c r="H33" s="19"/>
      <c r="I33" s="19"/>
      <c r="K33" s="194"/>
      <c r="M33" s="1"/>
    </row>
    <row r="36" spans="1:16" ht="11.25" customHeight="1" x14ac:dyDescent="0.2">
      <c r="P36" s="200"/>
    </row>
    <row r="37" spans="1:16" ht="11.25" customHeight="1" x14ac:dyDescent="0.2">
      <c r="P37" s="201"/>
    </row>
    <row r="38" spans="1:16" ht="11.25" customHeight="1" x14ac:dyDescent="0.2">
      <c r="O38" s="202"/>
      <c r="P38" s="202"/>
    </row>
  </sheetData>
  <mergeCells count="13">
    <mergeCell ref="A1:M1"/>
    <mergeCell ref="A2:M2"/>
    <mergeCell ref="A3:M3"/>
    <mergeCell ref="A4:A6"/>
    <mergeCell ref="E4:G4"/>
    <mergeCell ref="I4:K4"/>
    <mergeCell ref="A32:M32"/>
    <mergeCell ref="A26:M26"/>
    <mergeCell ref="A27:M27"/>
    <mergeCell ref="A28:M28"/>
    <mergeCell ref="A29:M29"/>
    <mergeCell ref="A30:M30"/>
    <mergeCell ref="A31:M31"/>
  </mergeCells>
  <pageMargins left="0.5" right="0.5" top="0.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55DD6-50FA-4BBD-98BA-C34337E133A7}">
  <dimension ref="A1:Z32"/>
  <sheetViews>
    <sheetView workbookViewId="0">
      <selection sqref="A1:L1"/>
    </sheetView>
  </sheetViews>
  <sheetFormatPr defaultColWidth="8.7109375" defaultRowHeight="11.25" x14ac:dyDescent="0.2"/>
  <cols>
    <col min="1" max="1" width="29.42578125" style="83" customWidth="1"/>
    <col min="2" max="2" width="1.7109375" style="121" customWidth="1"/>
    <col min="3" max="3" width="8.28515625" style="84" customWidth="1"/>
    <col min="4" max="4" width="2.85546875" style="121" customWidth="1"/>
    <col min="5" max="5" width="8.28515625" style="84" customWidth="1"/>
    <col min="6" max="6" width="1.7109375" style="121" customWidth="1"/>
    <col min="7" max="7" width="8.28515625" style="84" customWidth="1"/>
    <col min="8" max="8" width="1.7109375" style="121" customWidth="1"/>
    <col min="9" max="9" width="8.28515625" style="84" customWidth="1"/>
    <col min="10" max="10" width="2.85546875" style="121" customWidth="1"/>
    <col min="11" max="11" width="8.28515625" style="84" customWidth="1"/>
    <col min="12" max="12" width="1.7109375" style="121" customWidth="1"/>
    <col min="13" max="16384" width="8.7109375" style="68"/>
  </cols>
  <sheetData>
    <row r="1" spans="1:13" ht="11.25" customHeight="1" x14ac:dyDescent="0.2">
      <c r="A1" s="263" t="s">
        <v>82</v>
      </c>
      <c r="B1" s="263"/>
      <c r="C1" s="263"/>
      <c r="D1" s="263"/>
      <c r="E1" s="263"/>
      <c r="F1" s="263"/>
      <c r="G1" s="263"/>
      <c r="H1" s="263"/>
      <c r="I1" s="263"/>
      <c r="J1" s="263"/>
      <c r="K1" s="263"/>
      <c r="L1" s="263"/>
      <c r="M1" s="67"/>
    </row>
    <row r="2" spans="1:13" ht="11.25" customHeight="1" x14ac:dyDescent="0.2">
      <c r="A2" s="263" t="s">
        <v>115</v>
      </c>
      <c r="B2" s="263"/>
      <c r="C2" s="263"/>
      <c r="D2" s="263"/>
      <c r="E2" s="263"/>
      <c r="F2" s="263"/>
      <c r="G2" s="263"/>
      <c r="H2" s="263"/>
      <c r="I2" s="263"/>
      <c r="J2" s="263"/>
      <c r="K2" s="263"/>
      <c r="L2" s="263"/>
      <c r="M2" s="67"/>
    </row>
    <row r="3" spans="1:13" ht="11.25" customHeight="1" x14ac:dyDescent="0.2">
      <c r="A3" s="264"/>
      <c r="B3" s="264"/>
      <c r="C3" s="264"/>
      <c r="D3" s="264"/>
      <c r="E3" s="264"/>
      <c r="F3" s="264"/>
      <c r="G3" s="264"/>
      <c r="H3" s="264"/>
      <c r="I3" s="264"/>
      <c r="J3" s="264"/>
      <c r="K3" s="264"/>
      <c r="L3" s="264"/>
      <c r="M3" s="67"/>
    </row>
    <row r="4" spans="1:13" ht="11.25" customHeight="1" x14ac:dyDescent="0.2">
      <c r="A4" s="263" t="s">
        <v>65</v>
      </c>
      <c r="B4" s="263"/>
      <c r="C4" s="263"/>
      <c r="D4" s="263"/>
      <c r="E4" s="263"/>
      <c r="F4" s="263"/>
      <c r="G4" s="263"/>
      <c r="H4" s="263"/>
      <c r="I4" s="263"/>
      <c r="J4" s="263"/>
      <c r="K4" s="263"/>
      <c r="L4" s="263"/>
      <c r="M4" s="67"/>
    </row>
    <row r="5" spans="1:13" ht="11.25" customHeight="1" x14ac:dyDescent="0.2">
      <c r="A5" s="265"/>
      <c r="B5" s="265"/>
      <c r="C5" s="265"/>
      <c r="D5" s="265"/>
      <c r="E5" s="265"/>
      <c r="F5" s="265"/>
      <c r="G5" s="265"/>
      <c r="H5" s="265"/>
      <c r="I5" s="265"/>
      <c r="J5" s="265"/>
      <c r="K5" s="265"/>
      <c r="L5" s="265"/>
      <c r="M5" s="67"/>
    </row>
    <row r="6" spans="1:13" ht="11.25" customHeight="1" x14ac:dyDescent="0.2">
      <c r="A6" s="92" t="s">
        <v>83</v>
      </c>
      <c r="B6" s="85"/>
      <c r="C6" s="69">
        <v>2018</v>
      </c>
      <c r="D6" s="70"/>
      <c r="E6" s="69">
        <v>2019</v>
      </c>
      <c r="F6" s="70"/>
      <c r="G6" s="69">
        <v>2020</v>
      </c>
      <c r="H6" s="70"/>
      <c r="I6" s="69">
        <v>2021</v>
      </c>
      <c r="J6" s="70"/>
      <c r="K6" s="69">
        <v>2022</v>
      </c>
      <c r="L6" s="70"/>
      <c r="M6" s="67"/>
    </row>
    <row r="7" spans="1:13" ht="11.25" customHeight="1" x14ac:dyDescent="0.2">
      <c r="A7" s="71" t="s">
        <v>120</v>
      </c>
      <c r="B7" s="67"/>
      <c r="C7" s="72"/>
      <c r="E7" s="72"/>
      <c r="G7" s="72"/>
      <c r="I7" s="72"/>
      <c r="K7" s="72"/>
      <c r="M7" s="67"/>
    </row>
    <row r="8" spans="1:13" ht="11.25" customHeight="1" x14ac:dyDescent="0.2">
      <c r="A8" s="73" t="s">
        <v>84</v>
      </c>
      <c r="C8" s="74">
        <v>2682</v>
      </c>
      <c r="E8" s="74">
        <v>2559</v>
      </c>
      <c r="G8" s="74">
        <v>2495</v>
      </c>
      <c r="I8" s="74">
        <v>2655</v>
      </c>
      <c r="K8" s="74">
        <v>2600</v>
      </c>
      <c r="L8" s="121" t="s">
        <v>87</v>
      </c>
      <c r="M8" s="67"/>
    </row>
    <row r="9" spans="1:13" ht="11.25" customHeight="1" x14ac:dyDescent="0.2">
      <c r="A9" s="75" t="s">
        <v>85</v>
      </c>
      <c r="C9" s="74">
        <v>66910</v>
      </c>
      <c r="E9" s="74">
        <v>86374</v>
      </c>
      <c r="G9" s="74">
        <v>57324</v>
      </c>
      <c r="I9" s="74">
        <v>76075</v>
      </c>
      <c r="K9" s="74">
        <v>73000</v>
      </c>
      <c r="L9" s="121" t="s">
        <v>87</v>
      </c>
      <c r="M9" s="67"/>
    </row>
    <row r="10" spans="1:13" ht="11.25" customHeight="1" x14ac:dyDescent="0.2">
      <c r="A10" s="78" t="s">
        <v>19</v>
      </c>
      <c r="C10" s="93">
        <f>SUM(C8:C9)</f>
        <v>69592</v>
      </c>
      <c r="D10" s="122"/>
      <c r="E10" s="93">
        <f>SUM(E8:E9)</f>
        <v>88933</v>
      </c>
      <c r="F10" s="122"/>
      <c r="G10" s="93">
        <f>SUM(G8:G9)</f>
        <v>59819</v>
      </c>
      <c r="H10" s="122"/>
      <c r="I10" s="93">
        <f>SUM(I8:I9)</f>
        <v>78730</v>
      </c>
      <c r="J10" s="122"/>
      <c r="K10" s="93">
        <f>SUM(K8:K9)</f>
        <v>75600</v>
      </c>
      <c r="L10" s="122"/>
      <c r="M10" s="67"/>
    </row>
    <row r="11" spans="1:13" ht="11.25" customHeight="1" x14ac:dyDescent="0.2">
      <c r="A11" s="79" t="s">
        <v>86</v>
      </c>
      <c r="C11" s="74">
        <v>43</v>
      </c>
      <c r="E11" s="74">
        <v>38</v>
      </c>
      <c r="G11" s="74">
        <v>30</v>
      </c>
      <c r="I11" s="74">
        <v>46</v>
      </c>
      <c r="J11" s="121" t="s">
        <v>77</v>
      </c>
      <c r="K11" s="74">
        <v>29</v>
      </c>
      <c r="M11" s="67"/>
    </row>
    <row r="12" spans="1:13" ht="11.25" customHeight="1" x14ac:dyDescent="0.2">
      <c r="A12" s="79" t="s">
        <v>109</v>
      </c>
      <c r="C12" s="74">
        <v>7600</v>
      </c>
      <c r="E12" s="74">
        <v>6800</v>
      </c>
      <c r="G12" s="74">
        <v>6400</v>
      </c>
      <c r="I12" s="74">
        <v>7500</v>
      </c>
      <c r="K12" s="74">
        <v>6700</v>
      </c>
      <c r="M12" s="67"/>
    </row>
    <row r="13" spans="1:13" ht="11.25" customHeight="1" x14ac:dyDescent="0.2">
      <c r="A13" s="79" t="s">
        <v>88</v>
      </c>
      <c r="C13" s="94">
        <v>45</v>
      </c>
      <c r="E13" s="94">
        <v>45</v>
      </c>
      <c r="F13" s="121" t="s">
        <v>87</v>
      </c>
      <c r="G13" s="94">
        <v>44</v>
      </c>
      <c r="I13" s="94">
        <v>45</v>
      </c>
      <c r="J13" s="121" t="s">
        <v>87</v>
      </c>
      <c r="K13" s="94">
        <v>45</v>
      </c>
      <c r="L13" s="81" t="s">
        <v>87</v>
      </c>
      <c r="M13" s="67"/>
    </row>
    <row r="14" spans="1:13" ht="11.25" customHeight="1" x14ac:dyDescent="0.2">
      <c r="A14" s="79" t="s">
        <v>121</v>
      </c>
      <c r="C14" s="95"/>
      <c r="D14" s="96"/>
      <c r="E14" s="95"/>
      <c r="F14" s="96"/>
      <c r="G14" s="95"/>
      <c r="H14" s="96"/>
      <c r="I14" s="95"/>
      <c r="J14" s="96"/>
      <c r="K14" s="95"/>
      <c r="L14" s="96"/>
      <c r="M14" s="67"/>
    </row>
    <row r="15" spans="1:13" ht="11.25" customHeight="1" x14ac:dyDescent="0.2">
      <c r="A15" s="75" t="s">
        <v>89</v>
      </c>
      <c r="C15" s="74">
        <v>160</v>
      </c>
      <c r="E15" s="74">
        <v>180</v>
      </c>
      <c r="G15" s="74">
        <v>260</v>
      </c>
      <c r="I15" s="74">
        <v>280</v>
      </c>
      <c r="J15" s="121" t="s">
        <v>77</v>
      </c>
      <c r="K15" s="74">
        <v>320</v>
      </c>
      <c r="M15" s="67"/>
    </row>
    <row r="16" spans="1:13" ht="11.25" customHeight="1" x14ac:dyDescent="0.2">
      <c r="A16" s="75" t="s">
        <v>90</v>
      </c>
      <c r="C16" s="76">
        <v>320</v>
      </c>
      <c r="D16" s="77" t="s">
        <v>77</v>
      </c>
      <c r="E16" s="76">
        <v>230</v>
      </c>
      <c r="F16" s="77"/>
      <c r="G16" s="76">
        <v>300</v>
      </c>
      <c r="H16" s="77"/>
      <c r="I16" s="76">
        <v>250</v>
      </c>
      <c r="J16" s="77" t="s">
        <v>77</v>
      </c>
      <c r="K16" s="76">
        <v>390</v>
      </c>
      <c r="L16" s="77"/>
      <c r="M16" s="67"/>
    </row>
    <row r="17" spans="1:26" ht="11.25" customHeight="1" x14ac:dyDescent="0.2">
      <c r="A17" s="78" t="s">
        <v>19</v>
      </c>
      <c r="C17" s="74">
        <f>SUM(C15:C16)</f>
        <v>480</v>
      </c>
      <c r="D17" s="121" t="s">
        <v>77</v>
      </c>
      <c r="E17" s="74">
        <f>SUM(E15:E16)</f>
        <v>410</v>
      </c>
      <c r="G17" s="74">
        <f>SUM(G15:G16)</f>
        <v>560</v>
      </c>
      <c r="I17" s="74">
        <f>SUM(I15:I16)</f>
        <v>530</v>
      </c>
      <c r="J17" s="121" t="s">
        <v>77</v>
      </c>
      <c r="K17" s="74">
        <f>SUM(K15:K16)</f>
        <v>710</v>
      </c>
      <c r="M17" s="67"/>
    </row>
    <row r="18" spans="1:26" ht="11.25" customHeight="1" x14ac:dyDescent="0.2">
      <c r="A18" s="79" t="s">
        <v>91</v>
      </c>
      <c r="C18" s="74">
        <v>26</v>
      </c>
      <c r="E18" s="74">
        <v>7</v>
      </c>
      <c r="G18" s="74">
        <v>6.9</v>
      </c>
      <c r="I18" s="74">
        <v>12</v>
      </c>
      <c r="K18" s="74">
        <v>11</v>
      </c>
      <c r="M18" s="67"/>
    </row>
    <row r="19" spans="1:26" ht="11.25" customHeight="1" x14ac:dyDescent="0.2">
      <c r="A19" s="79" t="s">
        <v>92</v>
      </c>
      <c r="C19" s="74">
        <v>5</v>
      </c>
      <c r="D19" s="121" t="s">
        <v>87</v>
      </c>
      <c r="E19" s="74">
        <v>6</v>
      </c>
      <c r="F19" s="121" t="s">
        <v>87</v>
      </c>
      <c r="G19" s="74">
        <v>9.1</v>
      </c>
      <c r="I19" s="74">
        <v>7.8</v>
      </c>
      <c r="J19" s="121" t="s">
        <v>87</v>
      </c>
      <c r="K19" s="74">
        <v>5.2</v>
      </c>
      <c r="L19" s="121" t="s">
        <v>87</v>
      </c>
      <c r="M19" s="67"/>
    </row>
    <row r="20" spans="1:26" ht="11.25" customHeight="1" x14ac:dyDescent="0.2">
      <c r="A20" s="79" t="s">
        <v>93</v>
      </c>
      <c r="C20" s="74">
        <v>89</v>
      </c>
      <c r="E20" s="74">
        <v>40</v>
      </c>
      <c r="G20" s="74">
        <v>35</v>
      </c>
      <c r="H20" s="121" t="s">
        <v>77</v>
      </c>
      <c r="I20" s="74">
        <v>35</v>
      </c>
      <c r="J20" s="121" t="s">
        <v>77</v>
      </c>
      <c r="K20" s="74">
        <v>35</v>
      </c>
      <c r="M20" s="67"/>
    </row>
    <row r="21" spans="1:26" ht="11.25" customHeight="1" x14ac:dyDescent="0.2">
      <c r="A21" s="79" t="s">
        <v>122</v>
      </c>
      <c r="C21" s="80">
        <v>467</v>
      </c>
      <c r="D21" s="81"/>
      <c r="E21" s="80">
        <v>461</v>
      </c>
      <c r="F21" s="81"/>
      <c r="G21" s="80">
        <v>432</v>
      </c>
      <c r="H21" s="81"/>
      <c r="I21" s="80">
        <v>453</v>
      </c>
      <c r="J21" s="81" t="s">
        <v>77</v>
      </c>
      <c r="K21" s="80">
        <v>381</v>
      </c>
      <c r="L21" s="81" t="s">
        <v>87</v>
      </c>
      <c r="M21" s="67"/>
    </row>
    <row r="22" spans="1:26" ht="11.25" customHeight="1" x14ac:dyDescent="0.2">
      <c r="A22" s="79" t="s">
        <v>110</v>
      </c>
      <c r="C22" s="74"/>
      <c r="E22" s="74"/>
      <c r="G22" s="74"/>
      <c r="I22" s="74"/>
      <c r="K22" s="74"/>
      <c r="M22" s="67"/>
    </row>
    <row r="23" spans="1:26" ht="11.25" customHeight="1" x14ac:dyDescent="0.2">
      <c r="A23" s="75" t="s">
        <v>111</v>
      </c>
      <c r="C23" s="74">
        <v>43</v>
      </c>
      <c r="E23" s="74">
        <v>35</v>
      </c>
      <c r="G23" s="74">
        <v>26</v>
      </c>
      <c r="I23" s="74">
        <v>28</v>
      </c>
      <c r="K23" s="74">
        <v>39</v>
      </c>
      <c r="M23" s="67"/>
    </row>
    <row r="24" spans="1:26" ht="11.25" customHeight="1" x14ac:dyDescent="0.2">
      <c r="A24" s="75" t="s">
        <v>112</v>
      </c>
      <c r="C24" s="74">
        <v>210</v>
      </c>
      <c r="E24" s="74">
        <v>170</v>
      </c>
      <c r="G24" s="74">
        <v>130</v>
      </c>
      <c r="I24" s="74">
        <v>130</v>
      </c>
      <c r="K24" s="74">
        <v>160</v>
      </c>
      <c r="M24" s="67"/>
    </row>
    <row r="25" spans="1:26" ht="11.25" customHeight="1" x14ac:dyDescent="0.2">
      <c r="A25" s="78" t="s">
        <v>19</v>
      </c>
      <c r="C25" s="93">
        <f>SUM(C23:C24)</f>
        <v>253</v>
      </c>
      <c r="D25" s="122"/>
      <c r="E25" s="93">
        <f>SUM(E23:E24)</f>
        <v>205</v>
      </c>
      <c r="F25" s="122"/>
      <c r="G25" s="93">
        <f>SUM(G23:G24)</f>
        <v>156</v>
      </c>
      <c r="H25" s="122"/>
      <c r="I25" s="93">
        <f>SUM(I23:I24)</f>
        <v>158</v>
      </c>
      <c r="J25" s="122"/>
      <c r="K25" s="93">
        <f>SUM(K23:K24)</f>
        <v>199</v>
      </c>
      <c r="L25" s="122"/>
      <c r="M25" s="67"/>
    </row>
    <row r="26" spans="1:26" ht="11.25" customHeight="1" x14ac:dyDescent="0.2">
      <c r="A26" s="79" t="s">
        <v>123</v>
      </c>
      <c r="C26" s="223" t="s">
        <v>124</v>
      </c>
      <c r="D26" s="81" t="s">
        <v>77</v>
      </c>
      <c r="E26" s="223" t="s">
        <v>124</v>
      </c>
      <c r="F26" s="81" t="s">
        <v>77</v>
      </c>
      <c r="G26" s="80">
        <v>7.2</v>
      </c>
      <c r="H26" s="81"/>
      <c r="I26" s="80">
        <v>1.3</v>
      </c>
      <c r="J26" s="81" t="s">
        <v>77</v>
      </c>
      <c r="K26" s="80">
        <v>1.3</v>
      </c>
      <c r="L26" s="81"/>
      <c r="M26" s="67"/>
    </row>
    <row r="27" spans="1:26" ht="11.25" customHeight="1" x14ac:dyDescent="0.2">
      <c r="A27" s="75" t="s">
        <v>22</v>
      </c>
      <c r="C27" s="76">
        <v>78600</v>
      </c>
      <c r="D27" s="77" t="s">
        <v>77</v>
      </c>
      <c r="E27" s="76">
        <v>96900</v>
      </c>
      <c r="F27" s="77"/>
      <c r="G27" s="76">
        <v>67500</v>
      </c>
      <c r="H27" s="77"/>
      <c r="I27" s="76">
        <v>87500</v>
      </c>
      <c r="J27" s="77" t="s">
        <v>77</v>
      </c>
      <c r="K27" s="76">
        <v>83700</v>
      </c>
      <c r="L27" s="77"/>
      <c r="M27" s="67"/>
    </row>
    <row r="28" spans="1:26" ht="11.25" customHeight="1" x14ac:dyDescent="0.2">
      <c r="A28" s="266" t="s">
        <v>94</v>
      </c>
      <c r="B28" s="266"/>
      <c r="C28" s="266"/>
      <c r="D28" s="266"/>
      <c r="E28" s="266"/>
      <c r="F28" s="266"/>
      <c r="G28" s="266"/>
      <c r="H28" s="266"/>
      <c r="I28" s="266"/>
      <c r="J28" s="266"/>
      <c r="K28" s="266"/>
      <c r="L28" s="266"/>
      <c r="M28" s="82"/>
      <c r="N28" s="82"/>
    </row>
    <row r="29" spans="1:26" ht="22.5" customHeight="1" x14ac:dyDescent="0.2">
      <c r="A29" s="259" t="s">
        <v>113</v>
      </c>
      <c r="B29" s="259"/>
      <c r="C29" s="259"/>
      <c r="D29" s="259"/>
      <c r="E29" s="259"/>
      <c r="F29" s="259"/>
      <c r="G29" s="259"/>
      <c r="H29" s="259"/>
      <c r="I29" s="259"/>
      <c r="J29" s="259"/>
      <c r="K29" s="259"/>
      <c r="L29" s="259"/>
      <c r="M29" s="82"/>
      <c r="N29" s="82"/>
    </row>
    <row r="30" spans="1:26" ht="11.25" customHeight="1" x14ac:dyDescent="0.2">
      <c r="A30" s="260" t="s">
        <v>114</v>
      </c>
      <c r="B30" s="260"/>
      <c r="C30" s="260"/>
      <c r="D30" s="260"/>
      <c r="E30" s="260"/>
      <c r="F30" s="260"/>
      <c r="G30" s="260"/>
      <c r="H30" s="260"/>
      <c r="I30" s="260"/>
      <c r="J30" s="260"/>
      <c r="K30" s="260"/>
      <c r="L30" s="260"/>
      <c r="M30" s="82"/>
      <c r="N30" s="82"/>
    </row>
    <row r="31" spans="1:26" ht="22.5" customHeight="1" x14ac:dyDescent="0.2">
      <c r="A31" s="259" t="s">
        <v>95</v>
      </c>
      <c r="B31" s="259"/>
      <c r="C31" s="259"/>
      <c r="D31" s="259"/>
      <c r="E31" s="259"/>
      <c r="F31" s="259"/>
      <c r="G31" s="259"/>
      <c r="H31" s="259"/>
      <c r="I31" s="259"/>
      <c r="J31" s="259"/>
      <c r="K31" s="259"/>
      <c r="L31" s="259"/>
      <c r="M31" s="82"/>
      <c r="N31" s="82"/>
    </row>
    <row r="32" spans="1:26" ht="11.25" customHeight="1" x14ac:dyDescent="0.2">
      <c r="A32" s="261" t="s">
        <v>125</v>
      </c>
      <c r="B32" s="262"/>
      <c r="C32" s="262"/>
      <c r="D32" s="262"/>
      <c r="E32" s="262"/>
      <c r="F32" s="262"/>
      <c r="G32" s="262"/>
      <c r="H32" s="262"/>
      <c r="I32" s="262"/>
      <c r="J32" s="262"/>
      <c r="K32" s="262"/>
      <c r="L32" s="262"/>
      <c r="M32" s="120"/>
      <c r="N32" s="120"/>
      <c r="O32" s="120"/>
      <c r="P32" s="120"/>
      <c r="Q32" s="120"/>
      <c r="R32" s="120"/>
      <c r="S32" s="120"/>
      <c r="T32" s="120"/>
      <c r="U32" s="120"/>
      <c r="V32" s="120"/>
      <c r="W32" s="120"/>
      <c r="X32" s="120"/>
      <c r="Y32" s="120"/>
      <c r="Z32" s="120"/>
    </row>
  </sheetData>
  <mergeCells count="10">
    <mergeCell ref="A29:L29"/>
    <mergeCell ref="A30:L30"/>
    <mergeCell ref="A31:L31"/>
    <mergeCell ref="A32:L32"/>
    <mergeCell ref="A1:L1"/>
    <mergeCell ref="A2:L2"/>
    <mergeCell ref="A3:L3"/>
    <mergeCell ref="A4:L4"/>
    <mergeCell ref="A5:L5"/>
    <mergeCell ref="A28:L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C58B0-AF8D-4E56-940D-7FDFDAB24838}">
  <dimension ref="A1:N13"/>
  <sheetViews>
    <sheetView zoomScaleNormal="100" workbookViewId="0">
      <selection sqref="A1:L1"/>
    </sheetView>
  </sheetViews>
  <sheetFormatPr defaultColWidth="8.7109375" defaultRowHeight="11.25" x14ac:dyDescent="0.25"/>
  <cols>
    <col min="1" max="1" width="15.85546875" style="83" customWidth="1"/>
    <col min="2" max="2" width="1.7109375" style="121" customWidth="1"/>
    <col min="3" max="3" width="8.28515625" style="90" customWidth="1"/>
    <col min="4" max="4" width="1.7109375" style="121" customWidth="1"/>
    <col min="5" max="5" width="8.28515625" style="90" customWidth="1"/>
    <col min="6" max="6" width="1.7109375" style="121" customWidth="1"/>
    <col min="7" max="7" width="8.28515625" style="90" customWidth="1"/>
    <col min="8" max="8" width="1.7109375" style="121" customWidth="1"/>
    <col min="9" max="9" width="8.28515625" style="90" customWidth="1"/>
    <col min="10" max="10" width="1.7109375" style="121" customWidth="1"/>
    <col min="11" max="11" width="8.28515625" style="90" customWidth="1"/>
    <col min="12" max="12" width="1.7109375" style="121" customWidth="1"/>
    <col min="13" max="16384" width="8.7109375" style="67"/>
  </cols>
  <sheetData>
    <row r="1" spans="1:14" ht="11.25" customHeight="1" x14ac:dyDescent="0.25">
      <c r="A1" s="263" t="s">
        <v>96</v>
      </c>
      <c r="B1" s="263"/>
      <c r="C1" s="263"/>
      <c r="D1" s="263"/>
      <c r="E1" s="263"/>
      <c r="F1" s="263"/>
      <c r="G1" s="263"/>
      <c r="H1" s="263"/>
      <c r="I1" s="263"/>
      <c r="J1" s="263"/>
      <c r="K1" s="263"/>
      <c r="L1" s="263"/>
    </row>
    <row r="2" spans="1:14" ht="11.25" customHeight="1" x14ac:dyDescent="0.25">
      <c r="A2" s="263" t="s">
        <v>97</v>
      </c>
      <c r="B2" s="263"/>
      <c r="C2" s="263"/>
      <c r="D2" s="263"/>
      <c r="E2" s="263"/>
      <c r="F2" s="263"/>
      <c r="G2" s="263"/>
      <c r="H2" s="263"/>
      <c r="I2" s="263"/>
      <c r="J2" s="263"/>
      <c r="K2" s="263"/>
      <c r="L2" s="263"/>
    </row>
    <row r="3" spans="1:14" ht="11.25" customHeight="1" x14ac:dyDescent="0.25">
      <c r="A3" s="264"/>
      <c r="B3" s="264"/>
      <c r="C3" s="264"/>
      <c r="D3" s="264"/>
      <c r="E3" s="264"/>
      <c r="F3" s="264"/>
      <c r="G3" s="264"/>
      <c r="H3" s="264"/>
      <c r="I3" s="264"/>
      <c r="J3" s="264"/>
      <c r="K3" s="264"/>
      <c r="L3" s="264"/>
    </row>
    <row r="4" spans="1:14" ht="11.25" customHeight="1" x14ac:dyDescent="0.25">
      <c r="A4" s="263" t="s">
        <v>65</v>
      </c>
      <c r="B4" s="263"/>
      <c r="C4" s="263"/>
      <c r="D4" s="263"/>
      <c r="E4" s="263"/>
      <c r="F4" s="263"/>
      <c r="G4" s="263"/>
      <c r="H4" s="263"/>
      <c r="I4" s="263"/>
      <c r="J4" s="263"/>
      <c r="K4" s="263"/>
      <c r="L4" s="263"/>
    </row>
    <row r="5" spans="1:14" ht="11.25" customHeight="1" x14ac:dyDescent="0.25">
      <c r="A5" s="265"/>
      <c r="B5" s="265"/>
      <c r="C5" s="265"/>
      <c r="D5" s="265"/>
      <c r="E5" s="265"/>
      <c r="F5" s="265"/>
      <c r="G5" s="265"/>
      <c r="H5" s="265"/>
      <c r="I5" s="265"/>
      <c r="J5" s="265"/>
      <c r="K5" s="265"/>
      <c r="L5" s="265"/>
    </row>
    <row r="6" spans="1:14" ht="11.25" customHeight="1" x14ac:dyDescent="0.25">
      <c r="A6" s="92" t="s">
        <v>98</v>
      </c>
      <c r="B6" s="85"/>
      <c r="C6" s="87">
        <v>2018</v>
      </c>
      <c r="D6" s="70" t="s">
        <v>87</v>
      </c>
      <c r="E6" s="87">
        <v>2019</v>
      </c>
      <c r="F6" s="70" t="s">
        <v>87</v>
      </c>
      <c r="G6" s="87">
        <v>2020</v>
      </c>
      <c r="H6" s="70" t="s">
        <v>87</v>
      </c>
      <c r="I6" s="87">
        <v>2021</v>
      </c>
      <c r="J6" s="70" t="s">
        <v>87</v>
      </c>
      <c r="K6" s="87">
        <v>2022</v>
      </c>
      <c r="L6" s="70" t="s">
        <v>87</v>
      </c>
    </row>
    <row r="7" spans="1:14" ht="11.25" customHeight="1" x14ac:dyDescent="0.25">
      <c r="A7" s="71" t="s">
        <v>99</v>
      </c>
      <c r="C7" s="88">
        <v>59000</v>
      </c>
      <c r="E7" s="88">
        <v>60000</v>
      </c>
      <c r="G7" s="88">
        <v>58300</v>
      </c>
      <c r="I7" s="88">
        <v>67000</v>
      </c>
      <c r="K7" s="88">
        <v>63000</v>
      </c>
    </row>
    <row r="8" spans="1:14" ht="11.25" customHeight="1" x14ac:dyDescent="0.25">
      <c r="A8" s="79" t="s">
        <v>100</v>
      </c>
      <c r="C8" s="88">
        <v>7400</v>
      </c>
      <c r="E8" s="88">
        <v>6600</v>
      </c>
      <c r="G8" s="88">
        <v>6200</v>
      </c>
      <c r="I8" s="88">
        <v>7400</v>
      </c>
      <c r="K8" s="88">
        <v>6600</v>
      </c>
    </row>
    <row r="9" spans="1:14" ht="11.25" customHeight="1" x14ac:dyDescent="0.25">
      <c r="A9" s="79" t="s">
        <v>101</v>
      </c>
      <c r="C9" s="88">
        <v>290</v>
      </c>
      <c r="E9" s="88">
        <v>400</v>
      </c>
      <c r="G9" s="88">
        <v>370</v>
      </c>
      <c r="I9" s="88">
        <v>350</v>
      </c>
      <c r="K9" s="88">
        <v>360</v>
      </c>
    </row>
    <row r="10" spans="1:14" ht="11.25" customHeight="1" x14ac:dyDescent="0.25">
      <c r="A10" s="75" t="s">
        <v>19</v>
      </c>
      <c r="C10" s="89">
        <v>66700</v>
      </c>
      <c r="D10" s="70"/>
      <c r="E10" s="89">
        <v>67000</v>
      </c>
      <c r="F10" s="70"/>
      <c r="G10" s="89">
        <v>64900</v>
      </c>
      <c r="H10" s="70"/>
      <c r="I10" s="89">
        <v>74800</v>
      </c>
      <c r="J10" s="70"/>
      <c r="K10" s="89">
        <v>70000</v>
      </c>
      <c r="L10" s="70"/>
    </row>
    <row r="11" spans="1:14" ht="11.25" customHeight="1" x14ac:dyDescent="0.25">
      <c r="A11" s="266" t="s">
        <v>102</v>
      </c>
      <c r="B11" s="266"/>
      <c r="C11" s="266"/>
      <c r="D11" s="266"/>
      <c r="E11" s="266"/>
      <c r="F11" s="266"/>
      <c r="G11" s="266"/>
      <c r="H11" s="266"/>
      <c r="I11" s="266"/>
      <c r="J11" s="266"/>
      <c r="K11" s="266"/>
      <c r="L11" s="266"/>
      <c r="M11" s="82"/>
      <c r="N11" s="82"/>
    </row>
    <row r="12" spans="1:14" ht="22.5" customHeight="1" x14ac:dyDescent="0.25">
      <c r="A12" s="259" t="s">
        <v>107</v>
      </c>
      <c r="B12" s="259"/>
      <c r="C12" s="259"/>
      <c r="D12" s="259"/>
      <c r="E12" s="259"/>
      <c r="F12" s="259"/>
      <c r="G12" s="259"/>
      <c r="H12" s="259"/>
      <c r="I12" s="259"/>
      <c r="J12" s="259"/>
      <c r="K12" s="259"/>
      <c r="L12" s="259"/>
      <c r="M12" s="82"/>
      <c r="N12" s="82"/>
    </row>
    <row r="13" spans="1:14" ht="22.5" customHeight="1" x14ac:dyDescent="0.25">
      <c r="A13" s="259" t="s">
        <v>103</v>
      </c>
      <c r="B13" s="259"/>
      <c r="C13" s="259"/>
      <c r="D13" s="259"/>
      <c r="E13" s="259"/>
      <c r="F13" s="259"/>
      <c r="G13" s="259"/>
      <c r="H13" s="259"/>
      <c r="I13" s="259"/>
      <c r="J13" s="259"/>
      <c r="K13" s="259"/>
      <c r="L13" s="259"/>
      <c r="M13" s="82"/>
      <c r="N13" s="82"/>
    </row>
  </sheetData>
  <mergeCells count="8">
    <mergeCell ref="A12:L12"/>
    <mergeCell ref="A13:L13"/>
    <mergeCell ref="A1:L1"/>
    <mergeCell ref="A2:L2"/>
    <mergeCell ref="A3:L3"/>
    <mergeCell ref="A4:L4"/>
    <mergeCell ref="A5:L5"/>
    <mergeCell ref="A11:L11"/>
  </mergeCells>
  <pageMargins left="0.25" right="0.25" top="0.2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Note</vt:lpstr>
      <vt:lpstr>T1</vt:lpstr>
      <vt:lpstr>T2</vt:lpstr>
      <vt:lpstr>T3</vt:lpstr>
      <vt:lpstr>T4</vt:lpstr>
      <vt:lpstr>T5</vt:lpstr>
      <vt:lpstr>'T2'!Print_Area</vt:lpstr>
    </vt:vector>
  </TitlesOfParts>
  <Company>U.S. Geological Survey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Niobium in 2022</dc:title>
  <dc:subject>USGS Minerals Yearbook</dc:subject>
  <dc:creator>USGS National Minerals Information Center</dc:creator>
  <cp:keywords>Niobium Statistics</cp:keywords>
  <cp:lastModifiedBy>Hakim, Samir</cp:lastModifiedBy>
  <cp:lastPrinted>2024-11-12T19:30:34Z</cp:lastPrinted>
  <dcterms:created xsi:type="dcterms:W3CDTF">2016-06-14T19:30:24Z</dcterms:created>
  <dcterms:modified xsi:type="dcterms:W3CDTF">2025-01-21T16:37:55Z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ies>
</file>