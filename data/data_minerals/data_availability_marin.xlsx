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minerals/"/>
    </mc:Choice>
  </mc:AlternateContent>
  <xr:revisionPtr revIDLastSave="2440" documentId="13_ncr:1_{3B0093C0-0E66-4485-936E-AE5475C25BEF}" xr6:coauthVersionLast="47" xr6:coauthVersionMax="47" xr10:uidLastSave="{AFE3B620-6845-46C1-B4CD-9FCABA397A71}"/>
  <bookViews>
    <workbookView xWindow="-108" yWindow="-108" windowWidth="23256" windowHeight="12456" activeTab="1" xr2:uid="{00000000-000D-0000-FFFF-FFFF00000000}"/>
  </bookViews>
  <sheets>
    <sheet name="README" sheetId="7" r:id="rId1"/>
    <sheet name="for_pandas" sheetId="24" r:id="rId2"/>
    <sheet name="for_pandas_sec" sheetId="25" state="hidden" r:id="rId3"/>
    <sheet name="CALCULATION" sheetId="19" r:id="rId4"/>
    <sheet name="data_availability" sheetId="1" r:id="rId5"/>
    <sheet name="IEA_secondary_prod" sheetId="21" r:id="rId6"/>
    <sheet name="CP_enduse" sheetId="14" state="hidden" r:id="rId7"/>
    <sheet name="MCS" sheetId="20" r:id="rId8"/>
    <sheet name="MYB" sheetId="8" r:id="rId9"/>
    <sheet name="MCS25_raw" sheetId="10" state="hidden" r:id="rId10"/>
    <sheet name="WMD_2022_raw" sheetId="15" state="hidden" r:id="rId11"/>
    <sheet name="data_min_commodities" sheetId="9" state="hidden" r:id="rId12"/>
    <sheet name="Lundaev" sheetId="17" r:id="rId13"/>
    <sheet name="ChartierPoncelet" sheetId="18" r:id="rId14"/>
    <sheet name="Additional_resources" sheetId="22" r:id="rId15"/>
  </sheets>
  <definedNames>
    <definedName name="_xlnm._FilterDatabase" localSheetId="13" hidden="1">ChartierPoncelet!$A$1:$AY$1</definedName>
    <definedName name="_xlnm._FilterDatabase" localSheetId="4" hidden="1">data_availability!$A$1:$N$1</definedName>
    <definedName name="_xlnm._FilterDatabase" localSheetId="11" hidden="1">data_min_commodities!$A$1:$G$41</definedName>
    <definedName name="_xlnm._FilterDatabase" localSheetId="7" hidden="1">MCS!$A$1:$H$235</definedName>
    <definedName name="_xlnm._FilterDatabase" localSheetId="9" hidden="1">MCS25_raw!$A$1:$M$1251</definedName>
    <definedName name="_xlnm._FilterDatabase" localSheetId="8" hidden="1">MYB!$A$1:$I$1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24" l="1"/>
  <c r="E22" i="24"/>
  <c r="F22" i="24"/>
  <c r="G22" i="24"/>
  <c r="H22" i="24"/>
  <c r="A22" i="24"/>
  <c r="B22" i="24"/>
  <c r="C22" i="24"/>
  <c r="I25" i="19"/>
  <c r="F25" i="19"/>
  <c r="J25" i="19" s="1"/>
  <c r="K25" i="19" s="1"/>
  <c r="E35" i="24"/>
  <c r="G35" i="24"/>
  <c r="H35" i="24"/>
  <c r="A35" i="24"/>
  <c r="B35" i="24"/>
  <c r="C35" i="24"/>
  <c r="E32" i="24"/>
  <c r="G32" i="24"/>
  <c r="H32" i="24"/>
  <c r="E33" i="24"/>
  <c r="G33" i="24"/>
  <c r="H33" i="24"/>
  <c r="A32" i="24"/>
  <c r="B32" i="24"/>
  <c r="C32" i="24"/>
  <c r="A33" i="24"/>
  <c r="B33" i="24"/>
  <c r="C33" i="24"/>
  <c r="E28" i="24"/>
  <c r="G28" i="24"/>
  <c r="H28" i="24"/>
  <c r="A28" i="24"/>
  <c r="B28" i="24"/>
  <c r="C28" i="24"/>
  <c r="E17" i="24"/>
  <c r="G17" i="24"/>
  <c r="H17" i="24"/>
  <c r="A17" i="24"/>
  <c r="B17" i="24"/>
  <c r="C17" i="24"/>
  <c r="H14" i="24"/>
  <c r="G14" i="24"/>
  <c r="E14" i="24"/>
  <c r="B14" i="24"/>
  <c r="C14" i="24"/>
  <c r="B13" i="24"/>
  <c r="C13" i="24"/>
  <c r="E13" i="24"/>
  <c r="G13" i="24"/>
  <c r="H13" i="24"/>
  <c r="A14" i="24"/>
  <c r="I38" i="19"/>
  <c r="I36" i="19"/>
  <c r="F36" i="19"/>
  <c r="F35" i="19"/>
  <c r="J35" i="19" s="1"/>
  <c r="D32" i="24" s="1"/>
  <c r="I31" i="19"/>
  <c r="F31" i="19"/>
  <c r="I26" i="19"/>
  <c r="F26" i="19"/>
  <c r="I16" i="19"/>
  <c r="I17" i="19"/>
  <c r="F20" i="19"/>
  <c r="J20" i="19" s="1"/>
  <c r="F16" i="19"/>
  <c r="F17" i="19"/>
  <c r="F38" i="19"/>
  <c r="H39" i="19"/>
  <c r="E36" i="24" s="1"/>
  <c r="E3" i="24"/>
  <c r="E4" i="24"/>
  <c r="E5" i="24"/>
  <c r="E6" i="24"/>
  <c r="E9" i="24"/>
  <c r="E10" i="24"/>
  <c r="E11" i="24"/>
  <c r="E12" i="24"/>
  <c r="E18" i="24"/>
  <c r="E19" i="24"/>
  <c r="E20" i="24"/>
  <c r="E23" i="24"/>
  <c r="E24" i="24"/>
  <c r="E25" i="24"/>
  <c r="E26" i="24"/>
  <c r="E27" i="24"/>
  <c r="E29" i="24"/>
  <c r="E30" i="24"/>
  <c r="E31" i="24"/>
  <c r="E34" i="24"/>
  <c r="E37" i="24"/>
  <c r="F4" i="19"/>
  <c r="A2" i="24"/>
  <c r="B2" i="24"/>
  <c r="C2" i="24"/>
  <c r="A3" i="24"/>
  <c r="B3" i="24"/>
  <c r="C3" i="24"/>
  <c r="A4" i="24"/>
  <c r="B4" i="24"/>
  <c r="C4" i="24"/>
  <c r="A5" i="24"/>
  <c r="B5" i="24"/>
  <c r="C5" i="24"/>
  <c r="A6" i="24"/>
  <c r="B6" i="24"/>
  <c r="C6" i="24"/>
  <c r="A7" i="24"/>
  <c r="B7" i="24"/>
  <c r="C7" i="24"/>
  <c r="A8" i="24"/>
  <c r="B8" i="24"/>
  <c r="C8" i="24"/>
  <c r="A9" i="24"/>
  <c r="B9" i="24"/>
  <c r="C9" i="24"/>
  <c r="A10" i="24"/>
  <c r="B10" i="24"/>
  <c r="C10" i="24"/>
  <c r="A11" i="24"/>
  <c r="C11" i="24"/>
  <c r="A12" i="24"/>
  <c r="B12" i="24"/>
  <c r="C12" i="24"/>
  <c r="A13" i="24"/>
  <c r="A15" i="24"/>
  <c r="B15" i="24"/>
  <c r="C15" i="24"/>
  <c r="A16" i="24"/>
  <c r="B16" i="24"/>
  <c r="C16" i="24"/>
  <c r="A18" i="24"/>
  <c r="B18" i="24"/>
  <c r="C18" i="24"/>
  <c r="A19" i="24"/>
  <c r="B19" i="24"/>
  <c r="C19" i="24"/>
  <c r="A20" i="24"/>
  <c r="B20" i="24"/>
  <c r="C20" i="24"/>
  <c r="A21" i="24"/>
  <c r="B21" i="24"/>
  <c r="C21" i="24"/>
  <c r="A23" i="24"/>
  <c r="B23" i="24"/>
  <c r="C23" i="24"/>
  <c r="A24" i="24"/>
  <c r="B24" i="24"/>
  <c r="C24" i="24"/>
  <c r="A25" i="24"/>
  <c r="B25" i="24"/>
  <c r="C25" i="24"/>
  <c r="A26" i="24"/>
  <c r="B26" i="24"/>
  <c r="C26" i="24"/>
  <c r="A27" i="24"/>
  <c r="B27" i="24"/>
  <c r="C27" i="24"/>
  <c r="A29" i="24"/>
  <c r="B29" i="24"/>
  <c r="C29" i="24"/>
  <c r="A30" i="24"/>
  <c r="B30" i="24"/>
  <c r="C30" i="24"/>
  <c r="A31" i="24"/>
  <c r="B31" i="24"/>
  <c r="C31" i="24"/>
  <c r="A34" i="24"/>
  <c r="B34" i="24"/>
  <c r="C34" i="24"/>
  <c r="A36" i="24"/>
  <c r="B36" i="24"/>
  <c r="C36" i="24"/>
  <c r="A37" i="24"/>
  <c r="B37" i="24"/>
  <c r="C37" i="24"/>
  <c r="B1" i="24"/>
  <c r="C1" i="24"/>
  <c r="G2" i="24"/>
  <c r="H2" i="24"/>
  <c r="G3" i="24"/>
  <c r="H3" i="24"/>
  <c r="G4" i="24"/>
  <c r="H4" i="24"/>
  <c r="G5" i="24"/>
  <c r="H5" i="24"/>
  <c r="G6" i="24"/>
  <c r="H6" i="24"/>
  <c r="G7" i="24"/>
  <c r="H7" i="24"/>
  <c r="G8" i="24"/>
  <c r="H8" i="24"/>
  <c r="G9" i="24"/>
  <c r="H9" i="24"/>
  <c r="G10" i="24"/>
  <c r="H10" i="24"/>
  <c r="G11" i="24"/>
  <c r="H11" i="24"/>
  <c r="G12" i="24"/>
  <c r="H12" i="24"/>
  <c r="G15" i="24"/>
  <c r="H15" i="24"/>
  <c r="G16" i="24"/>
  <c r="H16" i="24"/>
  <c r="G18" i="24"/>
  <c r="H18" i="24"/>
  <c r="G19" i="24"/>
  <c r="H19" i="24"/>
  <c r="G20" i="24"/>
  <c r="H20" i="24"/>
  <c r="G21" i="24"/>
  <c r="H21" i="24"/>
  <c r="G23" i="24"/>
  <c r="H23" i="24"/>
  <c r="G24" i="24"/>
  <c r="H24" i="24"/>
  <c r="G25" i="24"/>
  <c r="H25" i="24"/>
  <c r="G26" i="24"/>
  <c r="H26" i="24"/>
  <c r="G27" i="24"/>
  <c r="H27" i="24"/>
  <c r="G29" i="24"/>
  <c r="H29" i="24"/>
  <c r="G30" i="24"/>
  <c r="H30" i="24"/>
  <c r="G31" i="24"/>
  <c r="H31" i="24"/>
  <c r="G34" i="24"/>
  <c r="H34" i="24"/>
  <c r="G36" i="24"/>
  <c r="H36" i="24"/>
  <c r="G37" i="24"/>
  <c r="H37" i="24"/>
  <c r="G1" i="24"/>
  <c r="H1" i="24"/>
  <c r="F1" i="24"/>
  <c r="A1" i="24"/>
  <c r="I30" i="19"/>
  <c r="J38" i="19" l="1"/>
  <c r="J17" i="19"/>
  <c r="K17" i="19" s="1"/>
  <c r="F14" i="24" s="1"/>
  <c r="J36" i="19"/>
  <c r="D33" i="24" s="1"/>
  <c r="J31" i="19"/>
  <c r="K31" i="19" s="1"/>
  <c r="F28" i="24" s="1"/>
  <c r="K35" i="19"/>
  <c r="F32" i="24" s="1"/>
  <c r="J26" i="19"/>
  <c r="D28" i="24"/>
  <c r="D14" i="24"/>
  <c r="D17" i="24"/>
  <c r="K20" i="19"/>
  <c r="F17" i="24" s="1"/>
  <c r="D35" i="24"/>
  <c r="K38" i="19"/>
  <c r="F35" i="24" s="1"/>
  <c r="K36" i="19"/>
  <c r="F33" i="24" s="1"/>
  <c r="F39" i="19"/>
  <c r="J39" i="19" s="1"/>
  <c r="F11" i="19"/>
  <c r="H18" i="19"/>
  <c r="F18" i="19"/>
  <c r="J18" i="19" s="1"/>
  <c r="D15" i="24" s="1"/>
  <c r="F24" i="19"/>
  <c r="B2" i="22"/>
  <c r="I173" i="20"/>
  <c r="F33" i="19"/>
  <c r="F27" i="19"/>
  <c r="F23" i="19"/>
  <c r="F9" i="19"/>
  <c r="I40" i="19"/>
  <c r="I37" i="19"/>
  <c r="I34" i="19"/>
  <c r="I33" i="19"/>
  <c r="I27" i="19"/>
  <c r="I23" i="19"/>
  <c r="I22" i="19"/>
  <c r="I21" i="19"/>
  <c r="I19" i="19"/>
  <c r="I9" i="19"/>
  <c r="I4" i="19"/>
  <c r="F10" i="19"/>
  <c r="H8" i="19"/>
  <c r="F8" i="19"/>
  <c r="J8" i="19" s="1"/>
  <c r="D8" i="24" s="1"/>
  <c r="J24" i="19" l="1"/>
  <c r="D21" i="24" s="1"/>
  <c r="H24" i="19"/>
  <c r="K18" i="19"/>
  <c r="F15" i="24" s="1"/>
  <c r="K8" i="19"/>
  <c r="K39" i="19"/>
  <c r="F36" i="24" s="1"/>
  <c r="D36" i="24"/>
  <c r="J23" i="19"/>
  <c r="J10" i="19"/>
  <c r="J33" i="19"/>
  <c r="J4" i="19"/>
  <c r="J9" i="19"/>
  <c r="E15" i="24"/>
  <c r="J11" i="19"/>
  <c r="E8" i="24"/>
  <c r="F8" i="24"/>
  <c r="J27" i="19"/>
  <c r="F21" i="19"/>
  <c r="F19" i="19"/>
  <c r="J19" i="19" s="1"/>
  <c r="D16" i="24" s="1"/>
  <c r="F12" i="19"/>
  <c r="F2" i="19"/>
  <c r="F7" i="19"/>
  <c r="J7" i="19" s="1"/>
  <c r="D7" i="24" s="1"/>
  <c r="F6" i="19"/>
  <c r="F40" i="19"/>
  <c r="F37" i="19"/>
  <c r="F34" i="19"/>
  <c r="F32" i="19"/>
  <c r="F30" i="19"/>
  <c r="F29" i="19"/>
  <c r="F28" i="19"/>
  <c r="F22" i="19"/>
  <c r="F15" i="19"/>
  <c r="F13" i="19"/>
  <c r="F5" i="19"/>
  <c r="F3" i="19"/>
  <c r="C43" i="17"/>
  <c r="C42" i="17"/>
  <c r="C35" i="17"/>
  <c r="C34" i="17"/>
  <c r="B29" i="17"/>
  <c r="C41" i="17" s="1"/>
  <c r="C28" i="17"/>
  <c r="C27" i="17"/>
  <c r="B22" i="17"/>
  <c r="C26" i="17" s="1"/>
  <c r="K23" i="19" l="1"/>
  <c r="F20" i="24" s="1"/>
  <c r="D20" i="24"/>
  <c r="K10" i="19"/>
  <c r="K27" i="19"/>
  <c r="F24" i="24" s="1"/>
  <c r="D24" i="24"/>
  <c r="K11" i="19"/>
  <c r="K9" i="19"/>
  <c r="F9" i="24" s="1"/>
  <c r="D9" i="24"/>
  <c r="K4" i="19"/>
  <c r="F4" i="24" s="1"/>
  <c r="D4" i="24"/>
  <c r="K24" i="19"/>
  <c r="K33" i="19"/>
  <c r="F30" i="24" s="1"/>
  <c r="D30" i="24"/>
  <c r="J3" i="19"/>
  <c r="J32" i="19"/>
  <c r="J5" i="19"/>
  <c r="J34" i="19"/>
  <c r="J21" i="19"/>
  <c r="J13" i="19"/>
  <c r="J15" i="19"/>
  <c r="J22" i="19"/>
  <c r="J6" i="19"/>
  <c r="J37" i="19"/>
  <c r="J16" i="19"/>
  <c r="D13" i="24" s="1"/>
  <c r="J40" i="19"/>
  <c r="J28" i="19"/>
  <c r="J29" i="19"/>
  <c r="H2" i="19"/>
  <c r="J2" i="19"/>
  <c r="D2" i="24" s="1"/>
  <c r="J30" i="19"/>
  <c r="J12" i="19"/>
  <c r="H19" i="19"/>
  <c r="H7" i="19"/>
  <c r="K7" i="19" s="1"/>
  <c r="C36" i="17"/>
  <c r="C44" i="17"/>
  <c r="C29" i="17"/>
  <c r="C37" i="17"/>
  <c r="C23" i="17"/>
  <c r="C30" i="17"/>
  <c r="C38" i="17"/>
  <c r="C24" i="17"/>
  <c r="C31" i="17"/>
  <c r="C39" i="17"/>
  <c r="C25" i="17"/>
  <c r="C32" i="17"/>
  <c r="C40" i="17"/>
  <c r="C33" i="17"/>
  <c r="K26" i="19" l="1"/>
  <c r="F23" i="24" s="1"/>
  <c r="D23" i="24"/>
  <c r="K40" i="19"/>
  <c r="F37" i="24" s="1"/>
  <c r="D37" i="24"/>
  <c r="K16" i="19"/>
  <c r="F13" i="24" s="1"/>
  <c r="K37" i="19"/>
  <c r="F34" i="24" s="1"/>
  <c r="D34" i="24"/>
  <c r="K3" i="19"/>
  <c r="F3" i="24" s="1"/>
  <c r="D3" i="24"/>
  <c r="K22" i="19"/>
  <c r="F19" i="24" s="1"/>
  <c r="D19" i="24"/>
  <c r="K29" i="19"/>
  <c r="F26" i="24" s="1"/>
  <c r="D26" i="24"/>
  <c r="K15" i="19"/>
  <c r="F12" i="24" s="1"/>
  <c r="D12" i="24"/>
  <c r="E16" i="24"/>
  <c r="K19" i="19"/>
  <c r="F16" i="24" s="1"/>
  <c r="K34" i="19"/>
  <c r="F31" i="24" s="1"/>
  <c r="D31" i="24"/>
  <c r="K12" i="19"/>
  <c r="F10" i="24" s="1"/>
  <c r="D10" i="24"/>
  <c r="K5" i="19"/>
  <c r="F5" i="24" s="1"/>
  <c r="D5" i="24"/>
  <c r="D27" i="24"/>
  <c r="K30" i="19"/>
  <c r="F27" i="24" s="1"/>
  <c r="D29" i="24"/>
  <c r="K32" i="19"/>
  <c r="F29" i="24" s="1"/>
  <c r="K6" i="19"/>
  <c r="F6" i="24" s="1"/>
  <c r="D6" i="24"/>
  <c r="K2" i="19"/>
  <c r="F2" i="24" s="1"/>
  <c r="K28" i="19"/>
  <c r="F25" i="24" s="1"/>
  <c r="D25" i="24"/>
  <c r="K13" i="19"/>
  <c r="F11" i="24" s="1"/>
  <c r="D11" i="24"/>
  <c r="D18" i="24"/>
  <c r="K21" i="19"/>
  <c r="F18" i="24" s="1"/>
  <c r="E2" i="24"/>
  <c r="E7" i="24"/>
  <c r="F7" i="24"/>
  <c r="F21" i="24"/>
  <c r="E21" i="24"/>
  <c r="C22" i="17"/>
  <c r="BJ43" i="14" l="1"/>
  <c r="BI43" i="14"/>
  <c r="BH43" i="14"/>
  <c r="BG43" i="14"/>
  <c r="BF43" i="14"/>
  <c r="BE43" i="14"/>
  <c r="BD43" i="14"/>
  <c r="BC43" i="14"/>
  <c r="BB43" i="14"/>
  <c r="BA43" i="14"/>
  <c r="AZ43" i="14"/>
  <c r="AY43" i="14"/>
  <c r="AX43" i="14"/>
  <c r="AW43" i="14"/>
  <c r="AV43" i="14"/>
  <c r="AU43" i="14"/>
  <c r="AT43" i="14"/>
  <c r="AS43" i="14"/>
  <c r="AR43" i="14"/>
  <c r="AQ43" i="14"/>
  <c r="AP43" i="14"/>
  <c r="AO43" i="14"/>
  <c r="AN43" i="14"/>
  <c r="AM43" i="14"/>
  <c r="AL43" i="14"/>
  <c r="AK43" i="14"/>
  <c r="AJ43" i="14"/>
  <c r="AI43" i="14"/>
  <c r="AH43" i="14"/>
  <c r="AG43" i="14"/>
  <c r="AF43" i="14"/>
  <c r="AE43" i="14"/>
  <c r="AD43" i="14"/>
  <c r="AC43" i="14"/>
  <c r="AB43" i="14"/>
  <c r="AA43"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alcChain>
</file>

<file path=xl/sharedStrings.xml><?xml version="1.0" encoding="utf-8"?>
<sst xmlns="http://schemas.openxmlformats.org/spreadsheetml/2006/main" count="10410" uniqueCount="1119">
  <si>
    <t>Mineral</t>
  </si>
  <si>
    <t>Aluminium</t>
  </si>
  <si>
    <t>Arsenic</t>
  </si>
  <si>
    <t>Boron</t>
  </si>
  <si>
    <t>Cadmium</t>
  </si>
  <si>
    <t>Chromium</t>
  </si>
  <si>
    <t>Cobalt</t>
  </si>
  <si>
    <t>Copper</t>
  </si>
  <si>
    <t>Dysprosium</t>
  </si>
  <si>
    <t>Ferromanganese</t>
  </si>
  <si>
    <t>Ferronickel</t>
  </si>
  <si>
    <t>Gallium</t>
  </si>
  <si>
    <t>Graphite</t>
  </si>
  <si>
    <t>Indium</t>
  </si>
  <si>
    <t>Iridium</t>
  </si>
  <si>
    <t>Lead</t>
  </si>
  <si>
    <t>Lithium</t>
  </si>
  <si>
    <t>Manganese</t>
  </si>
  <si>
    <t>Molybdenum</t>
  </si>
  <si>
    <t>Neodymium</t>
  </si>
  <si>
    <t>Nickel</t>
  </si>
  <si>
    <t>Platinum</t>
  </si>
  <si>
    <t>Praseodymium</t>
  </si>
  <si>
    <t>Selenium</t>
  </si>
  <si>
    <t>Silicon</t>
  </si>
  <si>
    <t>Silver</t>
  </si>
  <si>
    <t>Tellurium</t>
  </si>
  <si>
    <t>Terbium</t>
  </si>
  <si>
    <t>Tin</t>
  </si>
  <si>
    <t>Vanadium</t>
  </si>
  <si>
    <t>Zinc</t>
  </si>
  <si>
    <t>Zirconium</t>
  </si>
  <si>
    <t>Mine production, smelter, refinery</t>
  </si>
  <si>
    <t>Secondary production is included</t>
  </si>
  <si>
    <t>Smelter production</t>
  </si>
  <si>
    <t>Mine and refinery production</t>
  </si>
  <si>
    <t>Plant production, arsenic trioxide or calculated equivalent.</t>
  </si>
  <si>
    <t>Refinery production</t>
  </si>
  <si>
    <t>Mine production, gross weight, marketable chromite ore</t>
  </si>
  <si>
    <t>Mine production, metric tons of contained cobalt</t>
  </si>
  <si>
    <t>Mine (recoverable copper content) and refinery production</t>
  </si>
  <si>
    <t>-</t>
  </si>
  <si>
    <t>Primary production</t>
  </si>
  <si>
    <t>Mine production</t>
  </si>
  <si>
    <t>Mine production ( zinc content of concentrates and direct shipping ores)</t>
  </si>
  <si>
    <t>Mine production (Zirconium ores and zircon concentrates)</t>
  </si>
  <si>
    <t>Arsenic trioxide production</t>
  </si>
  <si>
    <t>Boron minerals production</t>
  </si>
  <si>
    <t>Aggregated in REEs (mine production)</t>
  </si>
  <si>
    <t>Production (no type specified)</t>
  </si>
  <si>
    <t>Part of the nickel file</t>
  </si>
  <si>
    <t>Part of the manganese file</t>
  </si>
  <si>
    <t>Natural graphite production</t>
  </si>
  <si>
    <t>Aggregated in PGMs (refinery production)</t>
  </si>
  <si>
    <t>Not sure if it is included, we have palladium and platinum for sure</t>
  </si>
  <si>
    <t>Gross weight, lithium content and lithium-carbonate equivalent</t>
  </si>
  <si>
    <t>Difference between different types per country (carbonate, chloride, spodumene, concentrate…)</t>
  </si>
  <si>
    <t>Mine production and primary production</t>
  </si>
  <si>
    <t>For primary production difference between chemicals, ferronickel, metal, oxide sinter and unspecified</t>
  </si>
  <si>
    <t>Part of the selenium file</t>
  </si>
  <si>
    <t>Ferrosilicon and silicon metal production</t>
  </si>
  <si>
    <t>Mine and smelter production</t>
  </si>
  <si>
    <t>Production from coproduct steel slag and primary ores only</t>
  </si>
  <si>
    <t>tons, copper content</t>
  </si>
  <si>
    <t>Total</t>
  </si>
  <si>
    <t>Total|Concentrates</t>
  </si>
  <si>
    <t>Total|Leaching, electrowon</t>
  </si>
  <si>
    <t>Total|Primary</t>
  </si>
  <si>
    <t>Total|Secondary</t>
  </si>
  <si>
    <t>tons</t>
  </si>
  <si>
    <t>Total|Primary|Leaching, electrowon</t>
  </si>
  <si>
    <t>Total|Primary|Other</t>
  </si>
  <si>
    <t>Primary aluminum is defined as “The weight of liquid aluminum as tapped from pots, excluding the weight of any alloying materials as well as that of any metal produced from either returned scrap of remelted material.” International reporting practices vary from country to country, some nations conforming to the foregoing definition and others using different definitions. For those countries for which a different definition is given specifically in the source publication, the definition is provided in a footnote.</t>
  </si>
  <si>
    <t>Primary</t>
  </si>
  <si>
    <t>Total|Ferronickel</t>
  </si>
  <si>
    <t>Total|Chemicals</t>
  </si>
  <si>
    <t>Total|Metal</t>
  </si>
  <si>
    <t>Total|Oxide sinter</t>
  </si>
  <si>
    <t>Total|Unspecified</t>
  </si>
  <si>
    <t>tons, nickel content</t>
  </si>
  <si>
    <t>Total|Amorphous</t>
  </si>
  <si>
    <t>Total|Crystalline flake</t>
  </si>
  <si>
    <t>Total|Vein or lump</t>
  </si>
  <si>
    <t>tons, gross weight</t>
  </si>
  <si>
    <t>Total|Ferrosilicon</t>
  </si>
  <si>
    <t>Total|Silicon metal</t>
  </si>
  <si>
    <r>
      <rPr>
        <b/>
        <sz val="11"/>
        <color theme="1"/>
        <rFont val="Calibri"/>
        <family val="2"/>
        <scheme val="minor"/>
      </rPr>
      <t>Affiliations</t>
    </r>
    <r>
      <rPr>
        <sz val="11"/>
        <color theme="1"/>
        <rFont val="Calibri"/>
        <family val="2"/>
        <scheme val="minor"/>
      </rPr>
      <t xml:space="preserve">: </t>
    </r>
  </si>
  <si>
    <t>TAB_NAME</t>
  </si>
  <si>
    <t>DESCRIPTION</t>
  </si>
  <si>
    <t>SOURCE</t>
  </si>
  <si>
    <r>
      <rPr>
        <b/>
        <sz val="11"/>
        <color theme="1"/>
        <rFont val="Calibri"/>
        <family val="2"/>
        <scheme val="minor"/>
      </rPr>
      <t>Title of the article</t>
    </r>
    <r>
      <rPr>
        <sz val="11"/>
        <color theme="1"/>
        <rFont val="Calibri"/>
        <family val="2"/>
        <scheme val="minor"/>
      </rPr>
      <t>:  "Metals for the Energy Transition: A Heavy Environmental Burden to Life?"</t>
    </r>
  </si>
  <si>
    <r>
      <rPr>
        <b/>
        <sz val="11"/>
        <color theme="1"/>
        <rFont val="Calibri"/>
        <family val="2"/>
        <scheme val="minor"/>
      </rPr>
      <t>Authors</t>
    </r>
    <r>
      <rPr>
        <sz val="11"/>
        <color theme="1"/>
        <rFont val="Calibri"/>
        <family val="2"/>
        <scheme val="minor"/>
      </rPr>
      <t>: Anne de Bortoli, Marin Pellan, Marguerite Fauroux</t>
    </r>
  </si>
  <si>
    <r>
      <rPr>
        <b/>
        <sz val="11"/>
        <color theme="1"/>
        <rFont val="Calibri"/>
        <family val="2"/>
        <scheme val="minor"/>
      </rPr>
      <t>Journal</t>
    </r>
    <r>
      <rPr>
        <sz val="11"/>
        <color theme="1"/>
        <rFont val="Calibri"/>
        <family val="2"/>
        <scheme val="minor"/>
      </rPr>
      <t>: Joule</t>
    </r>
  </si>
  <si>
    <t>https://www.usgs.gov/centers/national-minerals-information-center/minerals-yearbook-metals-and-minerals</t>
  </si>
  <si>
    <t>Manual collection of data for the relevant metals, for the latest year available</t>
  </si>
  <si>
    <t>Recap of data availability for USGS (Mineral Commodities Summary and Mineral Yearbook) and World Mining Data. See the 'Minerals_data' notebook for data treatment.</t>
  </si>
  <si>
    <t>Aluminum</t>
  </si>
  <si>
    <t>TYPE</t>
  </si>
  <si>
    <t>COMMODITY</t>
  </si>
  <si>
    <t>YEAR</t>
  </si>
  <si>
    <t>UNIT</t>
  </si>
  <si>
    <t>VALUE</t>
  </si>
  <si>
    <t>COMMENT</t>
  </si>
  <si>
    <t>SUBTYPE</t>
  </si>
  <si>
    <t>Mineral yearbook</t>
  </si>
  <si>
    <t>COUNTRY</t>
  </si>
  <si>
    <t>MCS2025</t>
  </si>
  <si>
    <t>Smelter production, aluminum</t>
  </si>
  <si>
    <t xml:space="preserve">Copper </t>
  </si>
  <si>
    <t>Mine production, recoverable copper content</t>
  </si>
  <si>
    <t>Refinery production, copper</t>
  </si>
  <si>
    <t>Mine production, nickel content</t>
  </si>
  <si>
    <t xml:space="preserve">Plant production, Ferosilicon, silicon content </t>
  </si>
  <si>
    <t>Plant production, silicon metal</t>
  </si>
  <si>
    <t>Plant production, silicon content of combined totals for ferrosilicon and silicon metal production</t>
  </si>
  <si>
    <t>MCS2023</t>
  </si>
  <si>
    <t>Manual collection of data for the relevant metals from MCS2022 to MCS2025. Note: for silicon, MCS2023 and MCS2023 only provide the combined totals for ferrosilicon and silicon metal.</t>
  </si>
  <si>
    <t>https://www.usgs.gov/centers/national-minerals-information-center/mineral-commodity-summaries</t>
  </si>
  <si>
    <t>World</t>
  </si>
  <si>
    <t>tons, nickel content. Primary nickel refers to a nickel product ready for use by downstream consuming industries such as nickel chemicals and salts, ferronickel, nickel metal in various forms, nickel oxide sinter, and nickel pig iron. The USGS does not use the terms class I and class II nickel as defined by the International Nickel Study Group (INSG). However, nickel metal reported here is generally equivalent to Class I nickel which is defined by INSG as nickel with a mininum nickel content of 99% in the form of briquets, cathodes (i.e., electrolytic nickel), flakes or powders, granules, pellets, and rondelles. Ferronickel, nickel oxide sinter, and nickel pig iron are classified by INSG as Class II. Chemicals, although typically produced at refineries, are differentiated from production of metal when feasible. Several countries produced nickel-containing matte and other intermediates, but output of nickel in such materials has been excluded from this table to avoid double counting</t>
  </si>
  <si>
    <t>kt</t>
  </si>
  <si>
    <t>t</t>
  </si>
  <si>
    <t>MCS2022</t>
  </si>
  <si>
    <t>MCS2024</t>
  </si>
  <si>
    <t>UNIT_MEAS</t>
  </si>
  <si>
    <t>PROD_2023</t>
  </si>
  <si>
    <t>PROD_EST_ 2024</t>
  </si>
  <si>
    <t>PROD_NOTES</t>
  </si>
  <si>
    <t>CAP_2023</t>
  </si>
  <si>
    <t>CAP_EST_ 2024</t>
  </si>
  <si>
    <t>CAP_NOTES</t>
  </si>
  <si>
    <t>RESERVES_2024</t>
  </si>
  <si>
    <t>RESERVE_NOTES</t>
  </si>
  <si>
    <t>Abrasives</t>
  </si>
  <si>
    <t>United States</t>
  </si>
  <si>
    <t>Plant capacity, fused aluminum oxide</t>
  </si>
  <si>
    <t>metric tons</t>
  </si>
  <si>
    <t>estimated for 2023</t>
  </si>
  <si>
    <t>United States and Canada</t>
  </si>
  <si>
    <t xml:space="preserve"> </t>
  </si>
  <si>
    <t>Australia</t>
  </si>
  <si>
    <t>Austria</t>
  </si>
  <si>
    <t>Brazil</t>
  </si>
  <si>
    <t>China</t>
  </si>
  <si>
    <t>France</t>
  </si>
  <si>
    <t>Germany</t>
  </si>
  <si>
    <t>India</t>
  </si>
  <si>
    <t>Japan</t>
  </si>
  <si>
    <t>Mexico</t>
  </si>
  <si>
    <t>Norway</t>
  </si>
  <si>
    <t>Venezuela</t>
  </si>
  <si>
    <t>Other Countries</t>
  </si>
  <si>
    <t>World total (rounded)</t>
  </si>
  <si>
    <t>Plant capacity, silicon carbide</t>
  </si>
  <si>
    <t>thousand metric tons</t>
  </si>
  <si>
    <t>Bahrain</t>
  </si>
  <si>
    <t xml:space="preserve">Canada </t>
  </si>
  <si>
    <t>estimated 2023</t>
  </si>
  <si>
    <t>Iceland</t>
  </si>
  <si>
    <t>Malaysia</t>
  </si>
  <si>
    <t xml:space="preserve">Russia </t>
  </si>
  <si>
    <t>United Arab Emirates</t>
  </si>
  <si>
    <t>Antimony</t>
  </si>
  <si>
    <t>Mine production, antimony content</t>
  </si>
  <si>
    <t>Company-reported probable reserves for Stibnite Gold Project in Idaho</t>
  </si>
  <si>
    <t>For Australia, Joint Ore Reserves Committee-compliant or equivalent reserves were 20,000 tons.</t>
  </si>
  <si>
    <t>Bolivia</t>
  </si>
  <si>
    <t>Burma</t>
  </si>
  <si>
    <t>Guatemala</t>
  </si>
  <si>
    <t>NA</t>
  </si>
  <si>
    <t>Iran</t>
  </si>
  <si>
    <t>Kazakhstan</t>
  </si>
  <si>
    <t>Kyrgyzstan</t>
  </si>
  <si>
    <t>Laos</t>
  </si>
  <si>
    <t>Pakistan</t>
  </si>
  <si>
    <t>Tajikistan</t>
  </si>
  <si>
    <t>Turkey</t>
  </si>
  <si>
    <t>Vietnam</t>
  </si>
  <si>
    <t>World total (rounded) 10</t>
  </si>
  <si>
    <t>&gt;2000000</t>
  </si>
  <si>
    <t>Belgium</t>
  </si>
  <si>
    <t>Morocco</t>
  </si>
  <si>
    <t>Peru</t>
  </si>
  <si>
    <t>Asbestos</t>
  </si>
  <si>
    <t>Mine production, asbestos</t>
  </si>
  <si>
    <t>Small</t>
  </si>
  <si>
    <t>Export sales reported by the only producer of asbestos in Brazil. In February 2023, the Supreme Federal Court of Brazil confirmed a 2017 judgment that the extraction, sale, and use of asbestos were unconstitutional. Despite the ruling, a company in Brazil continued to mine asbestos, citing the authority of a State law that authorized extraction and processing for export purposes.</t>
  </si>
  <si>
    <t>Large</t>
  </si>
  <si>
    <t xml:space="preserve">Barite  </t>
  </si>
  <si>
    <t>Mine production, barite, estimated</t>
  </si>
  <si>
    <t>W for 23-24</t>
  </si>
  <si>
    <t>Reported.</t>
  </si>
  <si>
    <t>excludes U.S. production</t>
  </si>
  <si>
    <t>Bauxite</t>
  </si>
  <si>
    <t>Refinery production, alumina - calcined equivalent weights</t>
  </si>
  <si>
    <t>thousand metric dry tons</t>
  </si>
  <si>
    <t>Greece</t>
  </si>
  <si>
    <t>Guinea</t>
  </si>
  <si>
    <t>Indonesia</t>
  </si>
  <si>
    <t>Ireland</t>
  </si>
  <si>
    <t>Jamaica</t>
  </si>
  <si>
    <t>Saudi Arabia</t>
  </si>
  <si>
    <t>Spain</t>
  </si>
  <si>
    <t>Mine production, bauxite, dry tons</t>
  </si>
  <si>
    <t>For Australia, Joint Ore Reserves Committee-compliant or equivalent reserves were 1.6 billion tons.</t>
  </si>
  <si>
    <t>Excludes U.S. production.</t>
  </si>
  <si>
    <t xml:space="preserve">Beryllium  </t>
  </si>
  <si>
    <t>Mine production, beryllium content</t>
  </si>
  <si>
    <t>Madagascar</t>
  </si>
  <si>
    <t>Mozambique</t>
  </si>
  <si>
    <t>Rwanda</t>
  </si>
  <si>
    <t>Uganda</t>
  </si>
  <si>
    <t>Bismuth</t>
  </si>
  <si>
    <t>Bulgaria</t>
  </si>
  <si>
    <t>Korea, Republic of</t>
  </si>
  <si>
    <t>reported</t>
  </si>
  <si>
    <t xml:space="preserve">Boron </t>
  </si>
  <si>
    <t>Boron all types</t>
  </si>
  <si>
    <t>Argentina</t>
  </si>
  <si>
    <t>Crude ore</t>
  </si>
  <si>
    <t>Ulexite</t>
  </si>
  <si>
    <t>Chile</t>
  </si>
  <si>
    <t>boric oxide equivalent</t>
  </si>
  <si>
    <t>compounds</t>
  </si>
  <si>
    <t>crude borates</t>
  </si>
  <si>
    <t>Russia</t>
  </si>
  <si>
    <t>datolite ore</t>
  </si>
  <si>
    <t>refined borates</t>
  </si>
  <si>
    <t>World total</t>
  </si>
  <si>
    <t>xx</t>
  </si>
  <si>
    <t xml:space="preserve">Bromine </t>
  </si>
  <si>
    <t>Production, bromine content, estimated</t>
  </si>
  <si>
    <t>Reported</t>
  </si>
  <si>
    <t>Israel</t>
  </si>
  <si>
    <t>Jordan</t>
  </si>
  <si>
    <t>Ukraine</t>
  </si>
  <si>
    <t>Excludes U.S. production</t>
  </si>
  <si>
    <t xml:space="preserve">Cadmium </t>
  </si>
  <si>
    <t>Refinery production, estimated</t>
  </si>
  <si>
    <t>Quantitative estimates of reserves were not available. The cadmium content of typical zinc ores averages about 0.03%. See the Zinc chapter for zinc reserves.</t>
  </si>
  <si>
    <t>Netherlands</t>
  </si>
  <si>
    <t>Poland</t>
  </si>
  <si>
    <t>Uzbekistan</t>
  </si>
  <si>
    <t>Cement</t>
  </si>
  <si>
    <t>United States (includes Puerto Rico)</t>
  </si>
  <si>
    <t>Cement production, estimated</t>
  </si>
  <si>
    <t>Egypt</t>
  </si>
  <si>
    <t>Other countries (rounded)</t>
  </si>
  <si>
    <t>Clinker capacity, estimated</t>
  </si>
  <si>
    <t>Mine production, grosss weight, marketable chromite ore</t>
  </si>
  <si>
    <t>Shipping grade</t>
  </si>
  <si>
    <t>Finland</t>
  </si>
  <si>
    <t xml:space="preserve">South Africa </t>
  </si>
  <si>
    <t>Zimbabwe</t>
  </si>
  <si>
    <t>&gt;1200000</t>
  </si>
  <si>
    <t>Clays</t>
  </si>
  <si>
    <t>Mine poduction, Bentonite</t>
  </si>
  <si>
    <t>Brazil (beneficiated)</t>
  </si>
  <si>
    <t>Czechia</t>
  </si>
  <si>
    <t xml:space="preserve">Denmark </t>
  </si>
  <si>
    <t>Includes production of crude ore</t>
  </si>
  <si>
    <t>Senegal</t>
  </si>
  <si>
    <t>Mine poduction, Fuller's earth</t>
  </si>
  <si>
    <t>Does not include U.S. production of attapulgite</t>
  </si>
  <si>
    <t>Mine poduction, Kaolin</t>
  </si>
  <si>
    <t>estimated, Includes production of crude ore</t>
  </si>
  <si>
    <t>Mine production, estimated</t>
  </si>
  <si>
    <t>Mine production, cobalt content, estimated</t>
  </si>
  <si>
    <t>For Australia, Joint Ore Reserves Committee-compliant or equivalent reserves were 610,000 tons.</t>
  </si>
  <si>
    <t>Congo (Kinshasa)</t>
  </si>
  <si>
    <t>Cuba</t>
  </si>
  <si>
    <t>New Caledonia</t>
  </si>
  <si>
    <t>Papua New Guinea</t>
  </si>
  <si>
    <t>Philippines</t>
  </si>
  <si>
    <t>For Australia, Joint Ore Reserves Committee-compliant or equivalent reserves were 27 million tons.</t>
  </si>
  <si>
    <t>Zambia</t>
  </si>
  <si>
    <t>Diamond (industrial)</t>
  </si>
  <si>
    <t>Mine production, industrial diamond</t>
  </si>
  <si>
    <t>million carats</t>
  </si>
  <si>
    <t>Angola</t>
  </si>
  <si>
    <t>Botswana</t>
  </si>
  <si>
    <t>Diatomite</t>
  </si>
  <si>
    <t>Denmark (processed)</t>
  </si>
  <si>
    <t>Feldspar</t>
  </si>
  <si>
    <t>Brazil (beneficiated, marketable)</t>
  </si>
  <si>
    <t>Italy</t>
  </si>
  <si>
    <t>Spain (includes pegmatites)</t>
  </si>
  <si>
    <t>Thailand</t>
  </si>
  <si>
    <t>Fluorspar</t>
  </si>
  <si>
    <t>Mongolia</t>
  </si>
  <si>
    <t xml:space="preserve">Gallium </t>
  </si>
  <si>
    <t>kilograms</t>
  </si>
  <si>
    <t xml:space="preserve">Estimated from China Nonferrous Metals Industry Association article. Source: Argus Media Group, Argus Non-Ferrous Markets. </t>
  </si>
  <si>
    <t>Other countries estimated to still have primary low-purity gallium production capacity include Germany, Hungary, Kazakhstan, and Ukraine.</t>
  </si>
  <si>
    <t>estimated</t>
  </si>
  <si>
    <t>Garnet (industrial)</t>
  </si>
  <si>
    <t>Moderate to Large</t>
  </si>
  <si>
    <t>Gemstones</t>
  </si>
  <si>
    <t>Mine production, thousand carats of gem-quality diamond</t>
  </si>
  <si>
    <t>thousand carats</t>
  </si>
  <si>
    <t>Ghana</t>
  </si>
  <si>
    <t>Lesotho</t>
  </si>
  <si>
    <t>Namibia</t>
  </si>
  <si>
    <t>Sierra Leone</t>
  </si>
  <si>
    <t>Tanzania</t>
  </si>
  <si>
    <t>Gemanium</t>
  </si>
  <si>
    <t>Primary and secondary refinery production</t>
  </si>
  <si>
    <t xml:space="preserve">Gold </t>
  </si>
  <si>
    <t>mine production, gold content</t>
  </si>
  <si>
    <t>For Australia, Joint Ore Reserves Committee-compliant or equivalent reserves were 4,600 tons.</t>
  </si>
  <si>
    <t>Burkina Faso</t>
  </si>
  <si>
    <t>Colombia</t>
  </si>
  <si>
    <t>Mali</t>
  </si>
  <si>
    <t>Included in World total</t>
  </si>
  <si>
    <t>Korea, North</t>
  </si>
  <si>
    <t>Sri Lanka</t>
  </si>
  <si>
    <t>Gypsum</t>
  </si>
  <si>
    <t>Algeria</t>
  </si>
  <si>
    <t>Oman</t>
  </si>
  <si>
    <t>Helium</t>
  </si>
  <si>
    <t>United States (extracted from natural gas)</t>
  </si>
  <si>
    <t>Production, helium gas content</t>
  </si>
  <si>
    <t>million cubic meters</t>
  </si>
  <si>
    <t>United States (from Cliffside Field)</t>
  </si>
  <si>
    <t>Qatar</t>
  </si>
  <si>
    <t>Less than 1/2 unit</t>
  </si>
  <si>
    <t>Iodine</t>
  </si>
  <si>
    <t>Mine production, elemental iodine</t>
  </si>
  <si>
    <t>Azerbaijan</t>
  </si>
  <si>
    <t>Turkmenistan</t>
  </si>
  <si>
    <t>Excludes U.S. Production</t>
  </si>
  <si>
    <t>Iron and Steel</t>
  </si>
  <si>
    <t>Pig iron</t>
  </si>
  <si>
    <t>million metric tons</t>
  </si>
  <si>
    <t>Taiwan</t>
  </si>
  <si>
    <t>Raw steel</t>
  </si>
  <si>
    <t xml:space="preserve">Iron Ore  </t>
  </si>
  <si>
    <t>Mine production, usable ore</t>
  </si>
  <si>
    <t>Crude Ore, million metric tons</t>
  </si>
  <si>
    <t xml:space="preserve">NA  </t>
  </si>
  <si>
    <t>Mauritania</t>
  </si>
  <si>
    <t>Sweden</t>
  </si>
  <si>
    <t>Mine production, iron content</t>
  </si>
  <si>
    <t>Iron Content, million metric tons</t>
  </si>
  <si>
    <t>Iron oxide pigments</t>
  </si>
  <si>
    <t xml:space="preserve">Moderate  </t>
  </si>
  <si>
    <t>Cyprus</t>
  </si>
  <si>
    <t>Kyanite and Related Minerals</t>
  </si>
  <si>
    <t>United States (kyanite)</t>
  </si>
  <si>
    <t>China (andalusite, crude ore)</t>
  </si>
  <si>
    <t>France (andalusite)</t>
  </si>
  <si>
    <t>India (kyanite and sillimanite)</t>
  </si>
  <si>
    <t>Peru (andalusite)</t>
  </si>
  <si>
    <t>South Africa (andalusite)</t>
  </si>
  <si>
    <t>XX</t>
  </si>
  <si>
    <t>Mine production, lead content</t>
  </si>
  <si>
    <t>For Australia, Joint Ore Reserves Committee-compliant or equivalent reserves were 10 million tons.</t>
  </si>
  <si>
    <t>Lime</t>
  </si>
  <si>
    <t>Plant production, lime</t>
  </si>
  <si>
    <t>Canada (shipments)</t>
  </si>
  <si>
    <t>Japan (quicklime only)</t>
  </si>
  <si>
    <t>Poland (hydrated and quicklime)</t>
  </si>
  <si>
    <t>Russia (industrial and construction)</t>
  </si>
  <si>
    <t>United Kingdom</t>
  </si>
  <si>
    <t xml:space="preserve">Lithium </t>
  </si>
  <si>
    <t>Mine production, lithium content</t>
  </si>
  <si>
    <t>For Australia, Joint Ore Reserves Committee-compliant or equivalent reserves were 4.8 million tons.</t>
  </si>
  <si>
    <t>Portugal</t>
  </si>
  <si>
    <t>Other countries with reported reserves include Austria, Congo (Kinshasa), Czechia, Finland, Germany, Ghana, Mali, Mexico, Serbia, and Spain.</t>
  </si>
  <si>
    <t>Magnesium Compounds</t>
  </si>
  <si>
    <t>Mine production, magnesite - gross weight</t>
  </si>
  <si>
    <t>Slovakia</t>
  </si>
  <si>
    <t>Magnesium metal</t>
  </si>
  <si>
    <t>Magnesium smelter production</t>
  </si>
  <si>
    <t>Moved to capacity column not a reserve</t>
  </si>
  <si>
    <t>Mine production, manganese content</t>
  </si>
  <si>
    <t>Gross weight for reserves data</t>
  </si>
  <si>
    <t>For Australia, Joint Ore Reserves Committee-compliant or equivalent reserves were 110 million tons.</t>
  </si>
  <si>
    <t>Côte d’Ivoire</t>
  </si>
  <si>
    <t>Gabon</t>
  </si>
  <si>
    <t>Mercury</t>
  </si>
  <si>
    <t>Mine production, mercury content</t>
  </si>
  <si>
    <t>na</t>
  </si>
  <si>
    <t>Peru (exports)</t>
  </si>
  <si>
    <t>na for 2023</t>
  </si>
  <si>
    <t>Mica (Natural)</t>
  </si>
  <si>
    <t>Mine production, mica scrap and flake</t>
  </si>
  <si>
    <t>Mine production, mica sheet</t>
  </si>
  <si>
    <t>Very small</t>
  </si>
  <si>
    <t xml:space="preserve">Molybdenum </t>
  </si>
  <si>
    <t>Mine production, molybdenum content</t>
  </si>
  <si>
    <t xml:space="preserve"> (Reserve data is thousand metric tons).</t>
  </si>
  <si>
    <t>Armenia</t>
  </si>
  <si>
    <t>For Australia, Joint Ore Reserves Committee-compliant or equivalent reserves were 250,000 tons.</t>
  </si>
  <si>
    <t>NA (Reserve data is thousand metric tons).</t>
  </si>
  <si>
    <t>Includes reserve data for three projects. An additional three domestic projects have defined resources but have not yet defined reserves.</t>
  </si>
  <si>
    <t>For Australia, Joint Ore Reserves Committee-compliant or equivalent reserves were 8.6 million tons.</t>
  </si>
  <si>
    <t>&gt;130000000</t>
  </si>
  <si>
    <t>Niobium</t>
  </si>
  <si>
    <t>Mine production, niobium content</t>
  </si>
  <si>
    <t>&gt;17,000,000</t>
  </si>
  <si>
    <t>Nitrogen(fixed) - Ammonia</t>
  </si>
  <si>
    <t>Plant production, nitrogen content</t>
  </si>
  <si>
    <t>Nigeria</t>
  </si>
  <si>
    <t>Trinidad and Tobago</t>
  </si>
  <si>
    <t xml:space="preserve">Peat </t>
  </si>
  <si>
    <t>Belarus</t>
  </si>
  <si>
    <t>Estonia</t>
  </si>
  <si>
    <t>Included with Other countries</t>
  </si>
  <si>
    <t>Latvia</t>
  </si>
  <si>
    <t>Lithuania</t>
  </si>
  <si>
    <t>Perlite</t>
  </si>
  <si>
    <t>Processed ore sold and used by producers, reported</t>
  </si>
  <si>
    <t>Georgia</t>
  </si>
  <si>
    <t>Hungary</t>
  </si>
  <si>
    <t>crude ore</t>
  </si>
  <si>
    <t>New Zealand</t>
  </si>
  <si>
    <t>South Africa</t>
  </si>
  <si>
    <t xml:space="preserve">Phosphate rock </t>
  </si>
  <si>
    <t>Mine production, marketable phosphate rock</t>
  </si>
  <si>
    <t>Syria</t>
  </si>
  <si>
    <t>Togo</t>
  </si>
  <si>
    <t>Tunisia</t>
  </si>
  <si>
    <t>Platinum-Group metals</t>
  </si>
  <si>
    <t>Mine production, Palladium content</t>
  </si>
  <si>
    <t>Reserves for Russia are based on the Russian Classification system A+B+C1+C2, where C2 are deposits that are being developed or prepared for development.</t>
  </si>
  <si>
    <t>Mine production, Platinum content</t>
  </si>
  <si>
    <t xml:space="preserve">Potash  </t>
  </si>
  <si>
    <t>Mine production, potassium oxide (K2O) equivalent</t>
  </si>
  <si>
    <t>Reserves, recoverable ore</t>
  </si>
  <si>
    <t>&gt;10000000</t>
  </si>
  <si>
    <t xml:space="preserve">Pumice &amp; Pumicite </t>
  </si>
  <si>
    <t>Quantity sold and used by producers</t>
  </si>
  <si>
    <t>includes pozzolan and (or) volcanic tuff</t>
  </si>
  <si>
    <t>Cameroon</t>
  </si>
  <si>
    <t>Ecuador</t>
  </si>
  <si>
    <t>Ethiopia</t>
  </si>
  <si>
    <t>Rare earths</t>
  </si>
  <si>
    <t>Mine production, rare-earth-oxide equivalent</t>
  </si>
  <si>
    <t>Estimated based on reported import data for China. Source: Zen Innovations, Global Trade Tracker.</t>
  </si>
  <si>
    <t>For Australia, Joint Ore Reserves Committee-compliant or equivalent reserves were 3.3 million tons.</t>
  </si>
  <si>
    <t>Production quota; does not include undocumented production.</t>
  </si>
  <si>
    <t>Greenland</t>
  </si>
  <si>
    <t>&gt;90000000</t>
  </si>
  <si>
    <t>Rhenium</t>
  </si>
  <si>
    <t>Mine production, rhenium content</t>
  </si>
  <si>
    <t>Estimated rhenium recovered from roaster residues from Belgium, Chile, Mexico, and Peru.</t>
  </si>
  <si>
    <t xml:space="preserve">Salt </t>
  </si>
  <si>
    <t>Sand and gravel (industrial)</t>
  </si>
  <si>
    <t>Refinery production, selenium content</t>
  </si>
  <si>
    <t>reproted</t>
  </si>
  <si>
    <t>Serbia</t>
  </si>
  <si>
    <t>Bhutan</t>
  </si>
  <si>
    <t>Mine production, silver content</t>
  </si>
  <si>
    <t>For Australia, Joint Ore Reserves Committee-compliant or equivalent reserves were 27,000 tons.</t>
  </si>
  <si>
    <t>Soda ash</t>
  </si>
  <si>
    <t>Soda ash, natural, mine production</t>
  </si>
  <si>
    <t>Mine production, natural</t>
  </si>
  <si>
    <t>Kenya</t>
  </si>
  <si>
    <t>World total (rounded), natural</t>
  </si>
  <si>
    <t>World total (rounded), synthetic</t>
  </si>
  <si>
    <t>Production, Synthetic</t>
  </si>
  <si>
    <t>Soda ash, total natural and synthetic</t>
  </si>
  <si>
    <t>Strontium</t>
  </si>
  <si>
    <t>Mine production, strontium content</t>
  </si>
  <si>
    <t>Sulfur</t>
  </si>
  <si>
    <t>Production, all forms, sulfur content</t>
  </si>
  <si>
    <t>Kuwait</t>
  </si>
  <si>
    <t>Talc and Pyrophyllite</t>
  </si>
  <si>
    <t>United States (crude)</t>
  </si>
  <si>
    <t>Talc, crude</t>
  </si>
  <si>
    <t>Afghanistan</t>
  </si>
  <si>
    <t>Brazil (crude and beneficiated)</t>
  </si>
  <si>
    <t>Canada (unspecified minerals)</t>
  </si>
  <si>
    <t>China (unspecified minerals)</t>
  </si>
  <si>
    <t>France (crude)</t>
  </si>
  <si>
    <t>Italy (includes steatite)</t>
  </si>
  <si>
    <t>Other countries (includes crude)</t>
  </si>
  <si>
    <t>Tantalum</t>
  </si>
  <si>
    <t>Mine production, tantalum content</t>
  </si>
  <si>
    <t>For Australia, Joint Ore Reserves Committee-compliant or equivalent reserves were 28,000 tons.</t>
  </si>
  <si>
    <t>Burundi</t>
  </si>
  <si>
    <t>Refinery production, tellurium content</t>
  </si>
  <si>
    <t>Mine production, tin content</t>
  </si>
  <si>
    <t>Titanium Mineral Concentrates</t>
  </si>
  <si>
    <t>Mine production, ilmentite, titanium dioxide (TiO2) content</t>
  </si>
  <si>
    <t>Mine production, rutile, titanium dioxide (TiO2) content</t>
  </si>
  <si>
    <t>United States rutile production and reserves data are included with ilmenite.</t>
  </si>
  <si>
    <t>For Australia, Joint Ore Reserves Committee-compliant or equivalent reserves were estimated to be 43 million tons for ilmenite and 11 million tons for rutile, respectively, TiO2 content.</t>
  </si>
  <si>
    <t>Mine production of titaniferous magnetite is primarily used to produce titaniferous slag.</t>
  </si>
  <si>
    <t>World total (ilmenite, rounded)</t>
  </si>
  <si>
    <t>World total (rutile, rounded)</t>
  </si>
  <si>
    <t>World total (ilmenite and rutile, rounded)</t>
  </si>
  <si>
    <t>Titanium &amp; titanium dioxide</t>
  </si>
  <si>
    <t>Sponge Metal Production</t>
  </si>
  <si>
    <t>Pigment Capacity</t>
  </si>
  <si>
    <t xml:space="preserve">Tungsten </t>
  </si>
  <si>
    <t>Mine production, tungsten content</t>
  </si>
  <si>
    <t>For Australia, Joint Ore Reserves Committee-compliant or equivalent reserves were 220,000 tons.</t>
  </si>
  <si>
    <t>Mine production, vanadium content</t>
  </si>
  <si>
    <t>For Australia, Joint Ore Reserves Committee-compliant or equivalent reserves were 3 million tons.</t>
  </si>
  <si>
    <t>Vermiculite</t>
  </si>
  <si>
    <t xml:space="preserve">Concentrate sold or used by producers. Data are rounded to the nearest hundred thousand tons to avoid disclosing company proprietary data. </t>
  </si>
  <si>
    <t>Wollastonite</t>
  </si>
  <si>
    <t>Zeolites (natural)</t>
  </si>
  <si>
    <t>Mine production, zinc content</t>
  </si>
  <si>
    <t>Zirconium and Hafnium</t>
  </si>
  <si>
    <t>Mine production, zirconium, gross weight</t>
  </si>
  <si>
    <t>Data are rounded to the nearest hundred thousand tons to avoid disclosing company proprietary data.</t>
  </si>
  <si>
    <t>ZrO2 content</t>
  </si>
  <si>
    <t>For Australia, Joint Ore Reserves Committee-compliant or equivalent reserves were 20 million tons, ZrO2 content.</t>
  </si>
  <si>
    <t>tons, cobalt content. Figures represent cobalt refined from ores, concentrates, or intermediate products and do not include production of downstream products from refined cobalt.</t>
  </si>
  <si>
    <t>tons, cobalt content. Figures represent recoverable cobalt content from ores, concentrates, or intermediate products from cobalt, copper, nickel, platinum, or zinc operations</t>
  </si>
  <si>
    <t>Total|Undifferentiated</t>
  </si>
  <si>
    <t>tons, lead content</t>
  </si>
  <si>
    <t>Total|Laterial ore</t>
  </si>
  <si>
    <t>Total|Sulfide ore</t>
  </si>
  <si>
    <t>Total|Other</t>
  </si>
  <si>
    <t>kg</t>
  </si>
  <si>
    <t>Platinum content. Platinum-group metal primary refinery production only. Secondary production not included unless otherwise specified.</t>
  </si>
  <si>
    <t>gross weight</t>
  </si>
  <si>
    <t>zinc content of concentrate and direct shipping ore</t>
  </si>
  <si>
    <t>YES</t>
  </si>
  <si>
    <t>UNEP category</t>
  </si>
  <si>
    <t>Z</t>
  </si>
  <si>
    <t>Symbol</t>
  </si>
  <si>
    <t>Al</t>
  </si>
  <si>
    <t>Cr</t>
  </si>
  <si>
    <t>Co</t>
  </si>
  <si>
    <t>Cu</t>
  </si>
  <si>
    <t>Dy</t>
  </si>
  <si>
    <t>Ga</t>
  </si>
  <si>
    <t>In</t>
  </si>
  <si>
    <t>Ir</t>
  </si>
  <si>
    <t>Li</t>
  </si>
  <si>
    <t>Mn</t>
  </si>
  <si>
    <t>Mo</t>
  </si>
  <si>
    <t>Nd</t>
  </si>
  <si>
    <t>Ni</t>
  </si>
  <si>
    <t>Pt</t>
  </si>
  <si>
    <t>Pr</t>
  </si>
  <si>
    <t>Si</t>
  </si>
  <si>
    <t>Te</t>
  </si>
  <si>
    <t>Tb</t>
  </si>
  <si>
    <t>Sn</t>
  </si>
  <si>
    <t>V</t>
  </si>
  <si>
    <t>Zn</t>
  </si>
  <si>
    <t>Other category</t>
  </si>
  <si>
    <t>B</t>
  </si>
  <si>
    <t>Se</t>
  </si>
  <si>
    <t>As</t>
  </si>
  <si>
    <t>Cd</t>
  </si>
  <si>
    <t>Pb</t>
  </si>
  <si>
    <t>Ag</t>
  </si>
  <si>
    <t>Zr</t>
  </si>
  <si>
    <t>NO</t>
  </si>
  <si>
    <t>Specialty metal</t>
  </si>
  <si>
    <t>Non-ferrous metal</t>
  </si>
  <si>
    <t>Ferrous metal</t>
  </si>
  <si>
    <t>Precious metal</t>
  </si>
  <si>
    <t>REE</t>
  </si>
  <si>
    <t>PGM</t>
  </si>
  <si>
    <t>03_Li</t>
  </si>
  <si>
    <t>04_Be</t>
  </si>
  <si>
    <t>05_B</t>
  </si>
  <si>
    <t>12_Mg</t>
  </si>
  <si>
    <t>13_Al</t>
  </si>
  <si>
    <t>14_Si</t>
  </si>
  <si>
    <t>21_Sc</t>
  </si>
  <si>
    <t>22_Ti</t>
  </si>
  <si>
    <t>23_V</t>
  </si>
  <si>
    <t>24_Cr</t>
  </si>
  <si>
    <t>25_Mn</t>
  </si>
  <si>
    <t>26_Fe</t>
  </si>
  <si>
    <t>27_Co</t>
  </si>
  <si>
    <t>28_Ni</t>
  </si>
  <si>
    <t>29_Cu</t>
  </si>
  <si>
    <t>30_Zn</t>
  </si>
  <si>
    <t>31_Ga</t>
  </si>
  <si>
    <t>32_Ge</t>
  </si>
  <si>
    <t>33_As</t>
  </si>
  <si>
    <t>34_Se</t>
  </si>
  <si>
    <t>38_Sr</t>
  </si>
  <si>
    <t>39_Y</t>
  </si>
  <si>
    <t>40_Zr</t>
  </si>
  <si>
    <t>41_Nb</t>
  </si>
  <si>
    <t>42_Mo</t>
  </si>
  <si>
    <t>44_Ru</t>
  </si>
  <si>
    <t>45_Rh</t>
  </si>
  <si>
    <t>46_Pd</t>
  </si>
  <si>
    <t>47_Ag</t>
  </si>
  <si>
    <t>48_Cd</t>
  </si>
  <si>
    <t>49_In</t>
  </si>
  <si>
    <t>50_Sn</t>
  </si>
  <si>
    <t>51_Sb</t>
  </si>
  <si>
    <t>52_Te</t>
  </si>
  <si>
    <t>56_Ba</t>
  </si>
  <si>
    <t>57_La</t>
  </si>
  <si>
    <t>58_Ce</t>
  </si>
  <si>
    <t>59_Pr</t>
  </si>
  <si>
    <t>60_Nd</t>
  </si>
  <si>
    <t>62_Sm</t>
  </si>
  <si>
    <t>63_Eu</t>
  </si>
  <si>
    <t>64_Gd</t>
  </si>
  <si>
    <t>65_Tb</t>
  </si>
  <si>
    <t>66_Dy</t>
  </si>
  <si>
    <t>67_Ho</t>
  </si>
  <si>
    <t>68_Er</t>
  </si>
  <si>
    <t>69_Tm</t>
  </si>
  <si>
    <t>70_Yb</t>
  </si>
  <si>
    <t>71_Lu</t>
  </si>
  <si>
    <t>72_Hf</t>
  </si>
  <si>
    <t>73_Ta</t>
  </si>
  <si>
    <t>74_W</t>
  </si>
  <si>
    <t>75_Re</t>
  </si>
  <si>
    <t>76_Os</t>
  </si>
  <si>
    <t>77_Ir</t>
  </si>
  <si>
    <t>78_Pt</t>
  </si>
  <si>
    <t>79_Au</t>
  </si>
  <si>
    <t>80_Hg</t>
  </si>
  <si>
    <t>81_Tl</t>
  </si>
  <si>
    <t>82_Pb</t>
  </si>
  <si>
    <t>83_Bi</t>
  </si>
  <si>
    <t>Par_InitialDemand</t>
  </si>
  <si>
    <t>Agricultural &amp; environmental applications</t>
  </si>
  <si>
    <t>Alloys &amp; solders</t>
  </si>
  <si>
    <t>Aviation</t>
  </si>
  <si>
    <t>Batteries (consumer electronics &amp; lead acid)</t>
  </si>
  <si>
    <t>Batteries (electric vehicle)</t>
  </si>
  <si>
    <t>Batteries (utility &amp; industrial)</t>
  </si>
  <si>
    <t>Biomedical &amp; dental</t>
  </si>
  <si>
    <t>Catalysts (heterogenous &amp; stable env.)</t>
  </si>
  <si>
    <t>Catalysts (homogenous &amp; aggressive env.)</t>
  </si>
  <si>
    <t>Chemicals</t>
  </si>
  <si>
    <t>Construction</t>
  </si>
  <si>
    <t>Cutting tools</t>
  </si>
  <si>
    <t>Electronics</t>
  </si>
  <si>
    <t>Glass &amp; ceramics</t>
  </si>
  <si>
    <t>Glass manufacturing</t>
  </si>
  <si>
    <t>Household appliances</t>
  </si>
  <si>
    <t>Infrastructure</t>
  </si>
  <si>
    <t>Jewellery &amp; investment</t>
  </si>
  <si>
    <t>Lighting</t>
  </si>
  <si>
    <t>Magnets (large)</t>
  </si>
  <si>
    <t>Magnets (small)</t>
  </si>
  <si>
    <t>Mechanical equipment</t>
  </si>
  <si>
    <t>Metallurgy &amp; metalworking (process)</t>
  </si>
  <si>
    <t>Other electrical &amp; metal products</t>
  </si>
  <si>
    <t>Other industrial, military &amp; energy applications</t>
  </si>
  <si>
    <t>Other miscellaneous</t>
  </si>
  <si>
    <t>Other punctual applications</t>
  </si>
  <si>
    <t>Packaging</t>
  </si>
  <si>
    <t>Paint</t>
  </si>
  <si>
    <t>Paper</t>
  </si>
  <si>
    <t>Pharmaceutics &amp; cosmetics</t>
  </si>
  <si>
    <t>Photography</t>
  </si>
  <si>
    <t>Plastics</t>
  </si>
  <si>
    <t>Protective coatings</t>
  </si>
  <si>
    <t>Refractories</t>
  </si>
  <si>
    <t>Rubber</t>
  </si>
  <si>
    <t>Solar cells</t>
  </si>
  <si>
    <t>Solid oxide fuel cells</t>
  </si>
  <si>
    <t>Telecommunication</t>
  </si>
  <si>
    <t>Transport</t>
  </si>
  <si>
    <t>Well drilling</t>
  </si>
  <si>
    <t>Lundaev</t>
  </si>
  <si>
    <t>AGG</t>
  </si>
  <si>
    <t>In MYB</t>
  </si>
  <si>
    <t>In MCS</t>
  </si>
  <si>
    <t>MYB_details</t>
  </si>
  <si>
    <t>MYB_latest_year</t>
  </si>
  <si>
    <t>MCS_details</t>
  </si>
  <si>
    <t>Commodity</t>
  </si>
  <si>
    <t>Commodity_group</t>
  </si>
  <si>
    <t>Unit</t>
  </si>
  <si>
    <t>2018</t>
  </si>
  <si>
    <t>2019</t>
  </si>
  <si>
    <t>2020</t>
  </si>
  <si>
    <t>2021</t>
  </si>
  <si>
    <t>2022</t>
  </si>
  <si>
    <t>Non-Ferrous Metals</t>
  </si>
  <si>
    <t>Industrial Minerals</t>
  </si>
  <si>
    <t>Baryte</t>
  </si>
  <si>
    <t>Bentonite</t>
  </si>
  <si>
    <t>Beryllium</t>
  </si>
  <si>
    <t>Iron &amp; Ferro-Alloy Metals</t>
  </si>
  <si>
    <t>Coal (Tot)</t>
  </si>
  <si>
    <t>Minerals Fuels</t>
  </si>
  <si>
    <t>Coking Coal</t>
  </si>
  <si>
    <t>Diam. (Gem)</t>
  </si>
  <si>
    <t>Diam. (Ind)</t>
  </si>
  <si>
    <t>Germanium</t>
  </si>
  <si>
    <t>Gold</t>
  </si>
  <si>
    <t>Precious Metals</t>
  </si>
  <si>
    <t>Hard Coal (Tot)</t>
  </si>
  <si>
    <t>Iron</t>
  </si>
  <si>
    <t>Kaolin</t>
  </si>
  <si>
    <t>Lignite</t>
  </si>
  <si>
    <t>Magnesite</t>
  </si>
  <si>
    <t>Nat. Gas</t>
  </si>
  <si>
    <t>Oil Sands*</t>
  </si>
  <si>
    <t>Oil Shales</t>
  </si>
  <si>
    <t>Palladium</t>
  </si>
  <si>
    <t>Petroleum</t>
  </si>
  <si>
    <t>Phosphates</t>
  </si>
  <si>
    <t>Potash</t>
  </si>
  <si>
    <t>Rare Earths</t>
  </si>
  <si>
    <t>Rhodium</t>
  </si>
  <si>
    <t>Salt</t>
  </si>
  <si>
    <t>Steam Coal</t>
  </si>
  <si>
    <t>Talc</t>
  </si>
  <si>
    <t>Titanium</t>
  </si>
  <si>
    <t>Tungsten</t>
  </si>
  <si>
    <t>Uranium</t>
  </si>
  <si>
    <t>Zircon</t>
  </si>
  <si>
    <t>In Chartier-Poncelet et al (2022)</t>
  </si>
  <si>
    <t>Mine_production_in_MCS</t>
  </si>
  <si>
    <t>Refinery_production_in_MCS</t>
  </si>
  <si>
    <t>MYB_details_2</t>
  </si>
  <si>
    <t>2020 production given in the SI. It is used to decompose the PGM and REEs production data.</t>
  </si>
  <si>
    <t>Lundaev, Vitalii, A.A. Solomon, Tien Le, Alena Lohrmann, and Christian Breyer. 2023. “Review of Critical Materials for the Energy Transition, an Analysis of Global Resources and Production Databases and the State of Material Circularity.” Minerals Engineering 203 (November):108282. https://doi.org/10.1016/j.mineng.2023.108282.</t>
  </si>
  <si>
    <t>ChartierPoncelet</t>
  </si>
  <si>
    <t>Data process yields given in the SI. The production yield is used to convert mine production to refinery production.</t>
  </si>
  <si>
    <t>Charpentier Poncelet, Alexandre, Christoph Helbig, Philippe Loubet, Antoine Beylot, Stéphanie Muller, Jacques Villeneuve, Bertrand Laratte, Andrea Thorenz, Axel Tuma, and Guido Sonnemann. 2022. “Losses and Lifetimes of Metals in the Economy.” Nature Sustainability 5 (8): 717–26. https://doi.org/10.1038/s41893-022-00895-8.</t>
  </si>
  <si>
    <t>production yield</t>
  </si>
  <si>
    <t>comment</t>
  </si>
  <si>
    <t>U1</t>
  </si>
  <si>
    <t>U2</t>
  </si>
  <si>
    <t>U3</t>
  </si>
  <si>
    <t>U4</t>
  </si>
  <si>
    <t>U5</t>
  </si>
  <si>
    <t>GSD^2</t>
  </si>
  <si>
    <t>GSD</t>
  </si>
  <si>
    <t xml:space="preserve"> α </t>
  </si>
  <si>
    <t>β</t>
  </si>
  <si>
    <t>uncertainty string</t>
  </si>
  <si>
    <t>fabrication and manufacturing yield</t>
  </si>
  <si>
    <t>New scrap recovery</t>
  </si>
  <si>
    <t>Remelting yield</t>
  </si>
  <si>
    <t>Calculated using the share of production from brines and from ores and their respective estimated yields. See supporting information for details.</t>
  </si>
  <si>
    <t>10;20.4650678707801;8.80543012948845</t>
  </si>
  <si>
    <t>Calculated considering an average yield of 80% for batteries based on Chung et al. (2016), and 90% for other applications (assumption). See supporting information for details.</t>
  </si>
  <si>
    <t>10;30.5333891191343;6.03354395767324</t>
  </si>
  <si>
    <t>Assumed to be included in the fabrication yield.</t>
  </si>
  <si>
    <t>1;0</t>
  </si>
  <si>
    <t>Assumption</t>
  </si>
  <si>
    <t>10;6.92742540448169;1.222486836085</t>
  </si>
  <si>
    <t>Calculated based on US production, which represents over 50% of the global production (Lederer et al., 2016)</t>
  </si>
  <si>
    <t>10;26.3901895778364;3.94336166105602</t>
  </si>
  <si>
    <t>Calculated based on USGS static MFA for the year 2000 (Cunningham, 2004)</t>
  </si>
  <si>
    <t>10;26.6275683629337;2.42068803299398</t>
  </si>
  <si>
    <t>Calculated based on USGS static MFA for the year 2000 (Cunningham, 2004).</t>
  </si>
  <si>
    <t>10;40.4560030051636;6.75053492384878</t>
  </si>
  <si>
    <t>Assumed that recovered new scraps are mostly from copper alloys and remelted with a 100% yield (BeST, 2016), and that collected old scraps are targetted specifically for their Be content.</t>
  </si>
  <si>
    <t>1;1</t>
  </si>
  <si>
    <t>Estimate considering an extraction yield of 80% and refining yield of 97%  (Althaus et al., 2007, Graedel et al., 2015)</t>
  </si>
  <si>
    <t>10;33.0690797489152;9.54571374195491</t>
  </si>
  <si>
    <t>10;19;1</t>
  </si>
  <si>
    <t>Assumed to be included in the fabrication and manufacturing yield, if any recovery occurs.</t>
  </si>
  <si>
    <t>No recycling of old boron scraps is considered to occur (European Commission, 2020a; Graedel et al., 2015)</t>
  </si>
  <si>
    <t>Estimated based on Graedel et al., 2015; Ramakrishnan and Koltun, 2004; Harraz, 2017. See supporting information for details.</t>
  </si>
  <si>
    <t>10;29.0313470331095;13.7089504024584</t>
  </si>
  <si>
    <t>Estimate considering a yield of 92% for Mg metal and 90-95% for refractories and other non-metal Mg applications. Assumed to include the recovery of new scraps whenever it occurs.</t>
  </si>
  <si>
    <t>10;12.8582777668166;1.11811111015797</t>
  </si>
  <si>
    <t>Assumption, including different potential recycling routes for both metal and non-metal Mg applications</t>
  </si>
  <si>
    <t>Value from Helbig et al. (2020), based on Bertram et al. (2017)</t>
  </si>
  <si>
    <t>10;113.573278520256;15.5905136877806</t>
  </si>
  <si>
    <t>10;174.593862569104;120.872674086303</t>
  </si>
  <si>
    <t>10;57.8315762843693;3.26874126824696</t>
  </si>
  <si>
    <t>10;33.6478349590029;1.0406546894537</t>
  </si>
  <si>
    <t>Estimate based on the yield of 85% for a well-operated furnace (Ali et al., 2018)</t>
  </si>
  <si>
    <t>10;25.2458936990863;6.31147342477157</t>
  </si>
  <si>
    <t>Estimate based on the literature survey for silicon. See Supporting information for details.</t>
  </si>
  <si>
    <t>10;15.582167106453;1.731351900717</t>
  </si>
  <si>
    <t>No functional recycling is considered to occur (BRGM, 2019a; CRM Alliance, n.d.; European Commission, 2020a)</t>
  </si>
  <si>
    <t>Estimate based on current production of scandium and the content of scandium in red mud. See supporting information for details.</t>
  </si>
  <si>
    <t>10;1;792.022868887195</t>
  </si>
  <si>
    <t>No functional recycling is considered to occur (BRGM, 2017c; Panousi et al., 2016)</t>
  </si>
  <si>
    <t>Calculated considering 90% mining yield and 95% refining yield (Graedel et al., 2015)</t>
  </si>
  <si>
    <t>10;22.3725279906026;3.79417141361096</t>
  </si>
  <si>
    <t>Estimated yield including the recovery of new scraps of titanium metal whenever it occurs, which  are collected and recycled efficiently (Goonan, 2010; Takeda and Okabe, 2019). See supporting information for details.</t>
  </si>
  <si>
    <t>The collection of titanium new scraps is considered to occur mostly in-house (Takeda and Okabe, 2019); it is here included in the fabrication and manufacturing yield.</t>
  </si>
  <si>
    <t>Assumed to be the same as the refining yield.</t>
  </si>
  <si>
    <t>Calculated considering statistics for China (Zhang et al., 2014) and US (Goonan, 2011b), weighted accordingly with their respective share of global production in 2019 (USGS, 2020). See Supporting information for details.</t>
  </si>
  <si>
    <t>10;12.7127524002742;25.9616135050928</t>
  </si>
  <si>
    <t>Calculated based on data for China (Zhang et al., 2014) and the US (Goonan, 2011b). See Supporting information for details.</t>
  </si>
  <si>
    <t>10;35.3548440000972;16.9436606346048</t>
  </si>
  <si>
    <t>10;1;121.489747586585</t>
  </si>
  <si>
    <t>Value from Helbig et al. (2020), based on Johnson et al. (2006)</t>
  </si>
  <si>
    <t>10;65.5453497043691;21.6803849022144</t>
  </si>
  <si>
    <t>10;66.923274053289;24.189135199984</t>
  </si>
  <si>
    <t>The value from Helbig et al. (2020), based on Johnson et al. (2006), was recalculated considering that new scrap recovery losses attributed to downgraded scraps were re-allocated to remelting losses. See the supporting information for details.</t>
  </si>
  <si>
    <t>10;69.253563031311;33.0670165825179</t>
  </si>
  <si>
    <t>Based on a personal communication with B.K. Reck (01-27-2022). See supporting information for details.</t>
  </si>
  <si>
    <t>10;40.1801752469583;37.5267674476309</t>
  </si>
  <si>
    <t>Estimate based on a literature review. See supporting information for details.</t>
  </si>
  <si>
    <t>10;46.5886984667502;19.9665850571787</t>
  </si>
  <si>
    <t>Estimate based on national statistics (Jeong et al., 2009; Nakajima et al., 2008; USGS, 2004b) and some assumptions. See supporting information for details.</t>
  </si>
  <si>
    <t>10;30.3462812424586;11.2193373054084</t>
  </si>
  <si>
    <t>Estimate based on national US statistics (USGS, 2004b) and considering an additional approx. 8% losses of manganese to slags. See supporting information for details.</t>
  </si>
  <si>
    <t>10;19.6514311773421;2.77615456314832</t>
  </si>
  <si>
    <t>Estimate based on the literature review. See the Supporting information for details.</t>
  </si>
  <si>
    <t>Value from Helbig et al. (2020), based on Wang et al. (2007)</t>
  </si>
  <si>
    <t>10;630.102164893499;90.7647166096587</t>
  </si>
  <si>
    <t>10;58.9289612399502;7.42536508921625</t>
  </si>
  <si>
    <t>10;34.9905897306072;2.23344189769833</t>
  </si>
  <si>
    <t>Value from Helbig et al. (2020), based on Harper et al. (2012)</t>
  </si>
  <si>
    <t>10;50.6799230657896;64.6730283941691</t>
  </si>
  <si>
    <t>10;24.0978829490536;1.53779651908868</t>
  </si>
  <si>
    <t>10;1;20.3522012578616</t>
  </si>
  <si>
    <t>10;30.8185626977511;68.9961322424396</t>
  </si>
  <si>
    <t>Value from Helbig et al. (2020), based on Reck and Rotter (2012)</t>
  </si>
  <si>
    <t>10;61.454508870789;16.5775131670604</t>
  </si>
  <si>
    <t>10;49.2135595675678;8.34579295243831</t>
  </si>
  <si>
    <t>10;51.5275681018575;9.48360149113942</t>
  </si>
  <si>
    <t>Value from Helbig et al. (2020), based on Glöser-Chahoud (2017). The works of Glöser-Chahoud were published in a scientific article (Glöser et al., 2013), and we considered this value to be as relevant in our uncertainty assessment (U1=1).</t>
  </si>
  <si>
    <t>10;98.3289857122141;19.4661443795754</t>
  </si>
  <si>
    <t>10;102.049119404496;21.7802676906478</t>
  </si>
  <si>
    <t>10;55.5217629571599;4.62681357976332</t>
  </si>
  <si>
    <t>Value from Helbig et al. (2020), based on Meylan and Reck (2017)</t>
  </si>
  <si>
    <t>10;97.2061332643028;18.819107399969</t>
  </si>
  <si>
    <t>10;114.840987277532;32.6855117636054</t>
  </si>
  <si>
    <t>10;61.6195717171977;5.88186820936887</t>
  </si>
  <si>
    <t>10;126.274746515775;71.5228056437006</t>
  </si>
  <si>
    <t>Value from Helbig et al. (2020), based on Licht et al. (2015). Currently uncertainty distribution value is fixed.</t>
  </si>
  <si>
    <t>10;1;54.6507936507936</t>
  </si>
  <si>
    <t>Value from Helbig et al. (2020), based on Licht et al. (2015)</t>
  </si>
  <si>
    <t>10;33.6440094512501;88.1574941986766</t>
  </si>
  <si>
    <t>10;77.4739569780957;19.1564443689497</t>
  </si>
  <si>
    <t>10;88.8258781426306;35.5303512570522</t>
  </si>
  <si>
    <t>10;1;151.033898305085</t>
  </si>
  <si>
    <t>10;61.5199008450466;86.6300644552697</t>
  </si>
  <si>
    <t>Assumption, based on Du and Graedel (2011). The yield of remelting may be included in the new scrap recovery yield reported in the MFA of the authors.</t>
  </si>
  <si>
    <t>10;78.2170069715507;74.2398710238448</t>
  </si>
  <si>
    <t>Calculated based an arsenic SFA for China (Shi et al., 2017). China processes most of the world's arsenic.</t>
  </si>
  <si>
    <t>10;3.77122629323981;40.9416853238295</t>
  </si>
  <si>
    <t>Calculated based an arsenic SFA for China (Shi et al., 2017). China processes most of the world's arsenic. Assumed to include the potential recovery of new scraps in the manufacture of GaAs semiconductors.</t>
  </si>
  <si>
    <t>10;45.6538461538461;1</t>
  </si>
  <si>
    <t>While the recycling of arsenic from new scraps may occur in the manufacture of GaAs semiconductors (Ciacci et al., 2015), it is here assumed to be included in the fabrication and manufacturing yield.</t>
  </si>
  <si>
    <t>No functional recycling of arsenic is estimated to occur currently (Ciacci et al., 2015; Graedel et al., 2011; USGS, 2020)</t>
  </si>
  <si>
    <t>Value from Helbig et al. (2020), based on Kavlak and Graedel (2013a)</t>
  </si>
  <si>
    <t>10;1.62027379701602;34.3872984358441</t>
  </si>
  <si>
    <t>10;94.1261811368578;17.1518818960496</t>
  </si>
  <si>
    <t>10;38.490952500803;119.321952752489</t>
  </si>
  <si>
    <t>Based on an informed estimate of Panousi et al. (2016)</t>
  </si>
  <si>
    <t>10;23.0479547084309;5.76198867710773</t>
  </si>
  <si>
    <t>No functional recycling is considered to occur (European Commission, 2020a; Panousi et al., 2016)</t>
  </si>
  <si>
    <t>Calculated using the grouped methodogy for REEs, detailed in section 2.4.3.1 of the Supporting information.</t>
  </si>
  <si>
    <t>10;19.5905499820588;9.90990974687977</t>
  </si>
  <si>
    <t>Calculated based on the MFA of Du and Graedel, 2011</t>
  </si>
  <si>
    <t>10;31.5964497467837;5.66351457725369</t>
  </si>
  <si>
    <t>Assumption; the EOL-RR efficiency and related uncertainty is already attributed to the collection and separation step.</t>
  </si>
  <si>
    <t>Calculated considering average losses of 10% at the concentration and refining stages (Iluka, 2020), and assuming 5% extraction losses</t>
  </si>
  <si>
    <t>10;72.6943122426246;12.3282751756498</t>
  </si>
  <si>
    <t xml:space="preserve">The recovery of zirconium from new scraps is estimated to be overall negligible (European Commission, 2020c). </t>
  </si>
  <si>
    <t>Assumption that all EOL losses are due to collection and separation. The uncertainty is already taken into account for that process.</t>
  </si>
  <si>
    <t>Nuss et al., 2014</t>
  </si>
  <si>
    <t>10;31.3244635547697;12.7944991984271</t>
  </si>
  <si>
    <t>Estimate based on US data (USGS, 2004b) and CBMM, 2018b. The yield is estimated to include the recovery and remelting of new scraps, whenever it occurs. See supporting information for details.</t>
  </si>
  <si>
    <t>The recovery of new scraps is taken into account in the fabrication and manufacturing yield to avoid interfering with the EoL remelting rate. See supporting information for details.</t>
  </si>
  <si>
    <t>The value is estimated considering the reportede collection yields for niobium products and an EOL-RR of 9.5% (Graedel et al., 2022). Represents the remelting yield of old scraps only. See the supporting information for details.</t>
  </si>
  <si>
    <t>10;3.0451304362027;19.6202562105228</t>
  </si>
  <si>
    <t>Henckens et al., 2018</t>
  </si>
  <si>
    <t>10;58.2115609087907;38.8077072725271</t>
  </si>
  <si>
    <t xml:space="preserve">Calculated from US statistics for 1998 (USGS, 2004b) </t>
  </si>
  <si>
    <t>10;24.3673498323031;4.95165397661774</t>
  </si>
  <si>
    <t>Calculated from US statistics for 1998 (USGS, 2004b). Same as that reported for iron products in this dataset.</t>
  </si>
  <si>
    <t>10;10.5459874435485;10.5459874435485</t>
  </si>
  <si>
    <t>Calculated using a mining yield of 85% (for all PGEs) and statistics reported by Nassar (2013)</t>
  </si>
  <si>
    <t>10;80.9961927960783;48.3749902489168</t>
  </si>
  <si>
    <t>Assumption, including the recovery of new scraps.</t>
  </si>
  <si>
    <t>N/A (included in fabrication and manufacturing yield)</t>
  </si>
  <si>
    <t>Assumed to be the same yield as refining</t>
  </si>
  <si>
    <t>10;98.9999999999999;1</t>
  </si>
  <si>
    <t>10;80.7146020989345;49.5223347708691</t>
  </si>
  <si>
    <t>10;49;1</t>
  </si>
  <si>
    <t>10;81.7352327495568;38.6104124899019</t>
  </si>
  <si>
    <t>Minor losses reported by Nassar (2013) for jewellery and dental applications.</t>
  </si>
  <si>
    <t>10;781.969432314429;1</t>
  </si>
  <si>
    <t>10;89.9090909090908;1</t>
  </si>
  <si>
    <t>Value from Helbig et al. (2020), based on Johnson et al. (2005)</t>
  </si>
  <si>
    <t>10;51.9512154283539;9.70714751948482</t>
  </si>
  <si>
    <t>10;34.2893818471338;3.39055454831733</t>
  </si>
  <si>
    <t>Average value from US (Llewellyn, 1994) and Australian statistics (Kwonpongsagoon et al., 2007)</t>
  </si>
  <si>
    <t>10;42.3184399435594;13.1622533658747</t>
  </si>
  <si>
    <t>Estimate based on Cha et al., 2013; Plachy, 2003</t>
  </si>
  <si>
    <t>10;499;1</t>
  </si>
  <si>
    <t>The value of 54% from Helbig et al. (2020), as calculated based on Licht et al. (2015), was revised to 30% given other available information (Lokanc et al., 2015; Mikolajczak and Peng, 2018).</t>
  </si>
  <si>
    <t>10;11.307969912614;26.3852631294327</t>
  </si>
  <si>
    <t>10;9.07888120596333;60.021492417202</t>
  </si>
  <si>
    <t>10;81.3350364270653;22.8589925981145</t>
  </si>
  <si>
    <t>10;24.6430020283976;1</t>
  </si>
  <si>
    <t>Value from Helbig et al. (2020), based on Izard and Müller (2010)</t>
  </si>
  <si>
    <t>10;34.3647377099495;4.58196502799327</t>
  </si>
  <si>
    <t>10;97.6315789473689;1</t>
  </si>
  <si>
    <t>10;19.3733730958979;54.2454446685141</t>
  </si>
  <si>
    <t>Averaged value from an MFA for China (Chu et al., 2019), producing more than 50% of global antimony, as well as global production yields (Haarman, 2015; Panousi et al., 2016)</t>
  </si>
  <si>
    <t>10;36.7856081158663;7.51068209590741</t>
  </si>
  <si>
    <t>Calculated based on Haarman (2015)</t>
  </si>
  <si>
    <t>10;26.15;1</t>
  </si>
  <si>
    <t>10;33.0211497137733;80.7183659670015</t>
  </si>
  <si>
    <t>10;64.3803345177705;13.1826399250673</t>
  </si>
  <si>
    <t>Value from Helbig et al. (2020), based on Kavlak and Graedel (2013b)</t>
  </si>
  <si>
    <t>10;1.62072710455679;34.391829158695</t>
  </si>
  <si>
    <t>10;125.248058644275;76.4334306598398</t>
  </si>
  <si>
    <t>10;114.588224091329;98.4742550784857</t>
  </si>
  <si>
    <t>Panousi et al., 2016</t>
  </si>
  <si>
    <t>10;24.8977671397931;6.22444178494826</t>
  </si>
  <si>
    <t>Assumed to be included in the fabrication and manufacturing yield.</t>
  </si>
  <si>
    <t>Negligible recycling is considered to occur for barium (Panousi et al., 2016)</t>
  </si>
  <si>
    <t>10;19.0898082890213;12.7216416029444</t>
  </si>
  <si>
    <t>10;30.1166290188405;4.96924378810868</t>
  </si>
  <si>
    <t>10;18.7670384112497;13.5057366157051</t>
  </si>
  <si>
    <t>10;30.6393317476184;5.20513743974985</t>
  </si>
  <si>
    <t>10;19.0156214788304;12.9205990950055</t>
  </si>
  <si>
    <t>10;27.8631509762131;13.1575990721006</t>
  </si>
  <si>
    <t>10;26.8916802095013;18.8241761466509</t>
  </si>
  <si>
    <t>Assumption; the EOL-RR efficiency and related uncertainty is already attributed to the collection and separation step. The yield of remelting for new scraps is assumed to be included in the new scrap recovery as calculated based on the MFA of Du and Graedel, 2011.</t>
  </si>
  <si>
    <t>10;19.0657207285708;12.7877828873567</t>
  </si>
  <si>
    <t>10;30.9573461214604;5.35352602100444</t>
  </si>
  <si>
    <t>10;43.2060543580814;23.6604583389494</t>
  </si>
  <si>
    <t>10;19.4282540838186;11.5236434350901</t>
  </si>
  <si>
    <t>10;16.4207864270816;2.59275575164446</t>
  </si>
  <si>
    <t>Negligible EoL recycling is estimated to occur.</t>
  </si>
  <si>
    <t>10;19.331367438052;11.9407025185134</t>
  </si>
  <si>
    <t>10;20.9522625448498;5.23806563621244</t>
  </si>
  <si>
    <t>Assumption. The yield of remelting for new scraps may be included in the new scrap recovery as calculated based on the MFA of Du and Graedel, 2011</t>
  </si>
  <si>
    <t>10;19.5200540391943;10.9867893058402</t>
  </si>
  <si>
    <t>10;27.710905865485;12.1235213161497</t>
  </si>
  <si>
    <t>10;5.97183199402422;23.8873279760969</t>
  </si>
  <si>
    <t>10;19.5527922096026;10.7100615117219</t>
  </si>
  <si>
    <t>10;19.5906215801558;9.99436493141161</t>
  </si>
  <si>
    <t>10;40.5267516342231;31.520806826618</t>
  </si>
  <si>
    <t>10;23.2101995752731;17.4076496814548</t>
  </si>
  <si>
    <t>10;9.9642827837121;4.96602422084293</t>
  </si>
  <si>
    <t>Assumption based on the process yields for other REEs</t>
  </si>
  <si>
    <t>10;13.070617457485;2.30657955132089</t>
  </si>
  <si>
    <t>No recovery and recycling is expected to occur (European Commission, 2020a)</t>
  </si>
  <si>
    <t>10;9.96416644793705;4.96362393988681</t>
  </si>
  <si>
    <t>Assumed to be negligible</t>
  </si>
  <si>
    <t>10;9.96385030752143;4.95725889126685</t>
  </si>
  <si>
    <t>10;9.96542246079323;4.99154976201104</t>
  </si>
  <si>
    <t>10;9.9653993060945;4.99098828274641</t>
  </si>
  <si>
    <t>Estimate based on the average hafnium content of zirconium minerals and production statistics in 2016. See supporting information for details.</t>
  </si>
  <si>
    <t>10;1;367</t>
  </si>
  <si>
    <t>No EOL recycling is considered to occur (BRGM, 2018a; Ciacci et al., 2015)</t>
  </si>
  <si>
    <t>Value from Helbig et al. (2020), based on Nassar (2017)</t>
  </si>
  <si>
    <t>10;180.609064011502;98.2433919623006</t>
  </si>
  <si>
    <t>10;168.810971206788;52.825201874233</t>
  </si>
  <si>
    <t>10;164.828147850487;138.455644194409</t>
  </si>
  <si>
    <t>Value from Helbig et al. (2020), based on Meylan et al. (2015)</t>
  </si>
  <si>
    <t>10;49.0430083981623;6.32813011589191</t>
  </si>
  <si>
    <t>10;67.0866184152612;7.1878519730637</t>
  </si>
  <si>
    <t>10;69.6513723984592;68.5630697047333</t>
  </si>
  <si>
    <t>10;25.6265908582309;18.8818216356397</t>
  </si>
  <si>
    <t>No recycling considered to occur (Ciacci et al., 2015; UNEP, 2011)</t>
  </si>
  <si>
    <t>10;77.7438299100146;57.2821073920149</t>
  </si>
  <si>
    <t>10;24;1</t>
  </si>
  <si>
    <t>10;126.696285959744;59.0974716441567</t>
  </si>
  <si>
    <t>10;132.333333333334;1</t>
  </si>
  <si>
    <t>Best estimate based on the literature survey realized for gold. We estimated an extraction yield of 85%, concentration yield of 87.5%, and refining yield of 98.5%. See supporting information for details.</t>
  </si>
  <si>
    <t>10;45.4350806497305;16.5843955602843</t>
  </si>
  <si>
    <t>Calculated from US statistics (USGS, 2004a), and considering a fabrication rate of 100% for investment products. We consider these values to be reasonnable estimates for the current global yields.</t>
  </si>
  <si>
    <t>10;16.1291948710862;1.8778288493111</t>
  </si>
  <si>
    <t>10;40.5454545454546;1</t>
  </si>
  <si>
    <t>Calculated based on Panousi et al., 2016</t>
  </si>
  <si>
    <t>10;15.6503959597742;2.65416071832429</t>
  </si>
  <si>
    <t>Assumption, see supporting information for details.</t>
  </si>
  <si>
    <t>10;22.1898554682838;9.50993805783591</t>
  </si>
  <si>
    <t>No recycling considered to occur (Ciacci et al., 2015; Panousi et al., 2016)</t>
  </si>
  <si>
    <t>Value from Helbig et al. (2020), based on Mao et al. (2008a)</t>
  </si>
  <si>
    <t>10;32.1656388691773;3.89265693321254</t>
  </si>
  <si>
    <t>10;18.1787325134491;1.07294374025416</t>
  </si>
  <si>
    <t>10;48.0978481894775;11.81050364795</t>
  </si>
  <si>
    <t>Estimate from Panousi et al., 2016</t>
  </si>
  <si>
    <t>10;42.6955994779466;14.2318664926489</t>
  </si>
  <si>
    <t>No EOL recycling is considered to occur (European Commission, 2020a; Panousi et al., 2016)</t>
  </si>
  <si>
    <t>Material</t>
  </si>
  <si>
    <t>PGE</t>
  </si>
  <si>
    <t>Pd</t>
  </si>
  <si>
    <t>Rh</t>
  </si>
  <si>
    <t>Ru</t>
  </si>
  <si>
    <t>Os</t>
  </si>
  <si>
    <t>La</t>
  </si>
  <si>
    <t>Ce</t>
  </si>
  <si>
    <t>Sm</t>
  </si>
  <si>
    <t>Eu</t>
  </si>
  <si>
    <t>Gd</t>
  </si>
  <si>
    <t>Ho</t>
  </si>
  <si>
    <t>Er</t>
  </si>
  <si>
    <t>Tm</t>
  </si>
  <si>
    <t>Yb</t>
  </si>
  <si>
    <t>Lu</t>
  </si>
  <si>
    <t>Y</t>
  </si>
  <si>
    <t>Be</t>
  </si>
  <si>
    <t>Mg</t>
  </si>
  <si>
    <t>Magnesium</t>
  </si>
  <si>
    <t>Sc</t>
  </si>
  <si>
    <t>Scandium</t>
  </si>
  <si>
    <t>Ti</t>
  </si>
  <si>
    <t>Fe</t>
  </si>
  <si>
    <t>Ge</t>
  </si>
  <si>
    <t>Sr</t>
  </si>
  <si>
    <t>Yttrium</t>
  </si>
  <si>
    <t>Nb</t>
  </si>
  <si>
    <t>Ruthenium</t>
  </si>
  <si>
    <t>Sb</t>
  </si>
  <si>
    <t>Ba</t>
  </si>
  <si>
    <t>Barium</t>
  </si>
  <si>
    <t>Lanthanum</t>
  </si>
  <si>
    <t>Cerium</t>
  </si>
  <si>
    <t>Samarium</t>
  </si>
  <si>
    <t>Europium</t>
  </si>
  <si>
    <t>Gadolinium</t>
  </si>
  <si>
    <t>Holmium</t>
  </si>
  <si>
    <t>Erbium</t>
  </si>
  <si>
    <t>Thulium</t>
  </si>
  <si>
    <t>Ytterbium</t>
  </si>
  <si>
    <t>Lutetium</t>
  </si>
  <si>
    <t>Hf</t>
  </si>
  <si>
    <t>Hafnium</t>
  </si>
  <si>
    <t>Ta</t>
  </si>
  <si>
    <t>W</t>
  </si>
  <si>
    <t>Re</t>
  </si>
  <si>
    <t>Osmium</t>
  </si>
  <si>
    <t>Au</t>
  </si>
  <si>
    <t>Hg</t>
  </si>
  <si>
    <t>Tl</t>
  </si>
  <si>
    <t>Thallium</t>
  </si>
  <si>
    <t>Bi</t>
  </si>
  <si>
    <t>Year</t>
  </si>
  <si>
    <t>DATA_TYPE</t>
  </si>
  <si>
    <t>NOTES</t>
  </si>
  <si>
    <t>Capacity</t>
  </si>
  <si>
    <t>Production</t>
  </si>
  <si>
    <t>Reserves</t>
  </si>
  <si>
    <t>MCS</t>
  </si>
  <si>
    <t>Chromite ore, ferrochromium, chromium metal, cromium chemicals and stainles steel</t>
  </si>
  <si>
    <t>Primary production capacity, primary world production</t>
  </si>
  <si>
    <t>Manganese ore, ferromanganese and silicomanganese production</t>
  </si>
  <si>
    <t>Ferrochromium</t>
  </si>
  <si>
    <t>Look like the same value as MCS</t>
  </si>
  <si>
    <t>Primary production. We assume it is refinery production since it is a by-product.</t>
  </si>
  <si>
    <t>All types. We assume it is mine production.</t>
  </si>
  <si>
    <t>MYB</t>
  </si>
  <si>
    <t>Silicomanganese</t>
  </si>
  <si>
    <t>MCS+Lundaev+ChartierPoncelet</t>
  </si>
  <si>
    <t>MCS+ChartierPoncelet</t>
  </si>
  <si>
    <t>https://www.iea.org/data-and-statistics/charts/share-of-secondary-supply-in-total-demand-for-selected-materials-in-the-net-zero-scenario-2010-2040</t>
  </si>
  <si>
    <t>Share of secondary supply in total demand for selected materials in the NZS</t>
  </si>
  <si>
    <t>Source_primary</t>
  </si>
  <si>
    <t>Secondary_production</t>
  </si>
  <si>
    <t>MCS+MYB</t>
  </si>
  <si>
    <t>Comment</t>
  </si>
  <si>
    <t>MYB displays data for 2022. 2023 production adjusted with MCS trend for manganese</t>
  </si>
  <si>
    <t>MYB displays data for 2021. 2023 production adjusted with MCS trend for nickel</t>
  </si>
  <si>
    <t>MYB displays data for 2022. 2023 production adjusted with MCS trend for lead</t>
  </si>
  <si>
    <t>MYB displays data for 2022. 2023 production adjusted with MCS trend for zinc</t>
  </si>
  <si>
    <t>Production_yield</t>
  </si>
  <si>
    <t>Secondary production is estimated using IEA data</t>
  </si>
  <si>
    <t>MYB displays data for 2021. 2023 production adjusted with MCS trend for nickel. Secondary production is estimated using IEA data</t>
  </si>
  <si>
    <t>Metal</t>
  </si>
  <si>
    <t>Source</t>
  </si>
  <si>
    <t>https://silverinstitute.org/silver-supply-demand/#scrap_supply</t>
  </si>
  <si>
    <t>Value</t>
  </si>
  <si>
    <t>Ratio of recycling to total supply for 2023</t>
  </si>
  <si>
    <t>URL</t>
  </si>
  <si>
    <t>Title</t>
  </si>
  <si>
    <t xml:space="preserve">Historical recycled input rate for selected materials, 2015-2023 </t>
  </si>
  <si>
    <t>https://www.iea.org/data-and-statistics/charts/historical-recycled-input-rate-for-selected-materials-2015-2023</t>
  </si>
  <si>
    <t>Recycling of critical minerals</t>
  </si>
  <si>
    <t>Only PNG images, CSV not available</t>
  </si>
  <si>
    <t>https://www.iea.org/data-and-statistics/charts/secondary-supply-volumes-and-share-of-total-demand-for-copper-in-the-announced-pledges-scenario-and-net-zero-emissions-by-2050-scenario-2023-2050</t>
  </si>
  <si>
    <t>Secondary supply volumes and share of total demand for copper in the Announced Pledges Scenario and Net Zero Emissions by 2050 Scenario, 2023-2050</t>
  </si>
  <si>
    <t xml:space="preserve">Secondary supply volumes and share of total demand for lithium in the Announced Pledges Scenario and Net Zero Emissions by 2050 Scenario, 2023-2050 </t>
  </si>
  <si>
    <t>https://www.iea.org/data-and-statistics/charts/secondary-supply-volumes-and-share-of-total-demand-for-lithium-in-the-announced-pledges-scenario-and-net-zero-emissions-by-2050-scenario-2023-2050</t>
  </si>
  <si>
    <t>Metals</t>
  </si>
  <si>
    <t>Aluminium, copper, nickel, cobalt, lithium</t>
  </si>
  <si>
    <t>https://www.iea.org/data-and-statistics/charts/secondary-supply-volumes-and-share-of-total-demand-for-graphite-in-the-announced-pledges-scenario-and-net-zero-emissions-by-2050-scenario-2023-2050</t>
  </si>
  <si>
    <t xml:space="preserve">Secondary supply volumes and share of total demand for graphite in the Announced Pledges Scenario and Net Zero Emissions by 2050 Scenario, 2023-2050 </t>
  </si>
  <si>
    <t xml:space="preserve">Secondary supply volumes and share of total demand for cobalt in the Announced Pledges Scenario and Net Zero Emissions by 2050 Scenario, 2023-2050 </t>
  </si>
  <si>
    <t>https://www.iea.org/data-and-statistics/charts/secondary-supply-volumes-and-share-of-total-demand-for-cobalt-in-the-announced-pledges-scenario-and-net-zero-emissions-by-2050-scenario-2023-2050</t>
  </si>
  <si>
    <t>https://www.iea.org/data-and-statistics/charts/secondary-supply-volumes-and-share-of-total-demand-for-rare-earths-in-the-announced-pledges-scenario-and-net-zero-emissions-by-2050-scenario-2023-2050</t>
  </si>
  <si>
    <t>MCS+ChartierPoncelet+Silver Institute</t>
  </si>
  <si>
    <t>Secondary production is estimated using Silver Institute share of recycling data</t>
  </si>
  <si>
    <t xml:space="preserve">Secondary supply volumes and share of total demand for rare earths in the Announced Pledges Scenario and Net Zero Emissions by 2050 Scenario, 2023-2050 </t>
  </si>
  <si>
    <t>Global Critical Minerals Outloook 2024</t>
  </si>
  <si>
    <t xml:space="preserve">Share of secondary supply in total demand for selected materials in the Net Zero Scenario, 2010-2040 </t>
  </si>
  <si>
    <t>CSV available</t>
  </si>
  <si>
    <t>Global Critical Minerals Outloook 2024: Share of secondary production in % in the NZE</t>
  </si>
  <si>
    <t>Scenario</t>
  </si>
  <si>
    <t>STEPS</t>
  </si>
  <si>
    <t>APS</t>
  </si>
  <si>
    <t>Recycling of critical minerals: share of total demand supplied by secondary production</t>
  </si>
  <si>
    <t>NZS</t>
  </si>
  <si>
    <t>Refers to natural graphite</t>
  </si>
  <si>
    <t>Total_refinery_production</t>
  </si>
  <si>
    <t>No production yield is given by Chartier-Poncelet</t>
  </si>
  <si>
    <t>Raw_data_primary</t>
  </si>
  <si>
    <t>Primary_refinery_production</t>
  </si>
  <si>
    <t>Raw_data_type</t>
  </si>
  <si>
    <t>Refinery</t>
  </si>
  <si>
    <t>Mine</t>
  </si>
  <si>
    <t>Refined_primary_production</t>
  </si>
  <si>
    <t>PGMs (other than iridum)</t>
  </si>
  <si>
    <t>https://rmis.jrc.ec.europa.eu/uploads/CRM_2020_Factsheets_critical_Final.pdf</t>
  </si>
  <si>
    <t>data_availability</t>
  </si>
  <si>
    <t>IEA_secondary_prod</t>
  </si>
  <si>
    <t>Additional_resources</t>
  </si>
  <si>
    <t>calculation</t>
  </si>
  <si>
    <t>MYB+Lundaev+ChartierPoncelet</t>
  </si>
  <si>
    <t>MYB displays data for 2022. 2023 production adjusted with MCS trend for PGMs</t>
  </si>
  <si>
    <t>No data is available, probably merged with zirconium</t>
  </si>
  <si>
    <t>x</t>
  </si>
  <si>
    <t>MCS+MYB+Chartier Poncelet</t>
  </si>
  <si>
    <t>PGMs</t>
  </si>
  <si>
    <t>All PGMs minus iridium. Using the production yield of platinum</t>
  </si>
  <si>
    <t>C</t>
  </si>
  <si>
    <t>MYB+MCS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</si>
</sst>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0.0"/>
    <numFmt numFmtId="168" formatCode="0.0000"/>
  </numFmts>
  <fonts count="25"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0"/>
      <color theme="1"/>
      <name val="Liberation Sans"/>
      <family val="2"/>
    </font>
    <font>
      <sz val="11"/>
      <color theme="1"/>
      <name val="Calibri"/>
      <family val="2"/>
      <scheme val="minor"/>
    </font>
    <font>
      <sz val="11"/>
      <color theme="1"/>
      <name val="Calibri"/>
      <family val="2"/>
    </font>
    <font>
      <b/>
      <sz val="11"/>
      <name val="Calibri"/>
      <family val="2"/>
    </font>
    <font>
      <sz val="11"/>
      <name val="Calibri"/>
      <family val="2"/>
    </font>
    <font>
      <sz val="11"/>
      <color rgb="FF000000"/>
      <name val="Calibri"/>
      <family val="2"/>
    </font>
    <font>
      <sz val="11"/>
      <color rgb="FFFF0000"/>
      <name val="Calibri"/>
      <family val="2"/>
    </font>
    <font>
      <b/>
      <sz val="11"/>
      <color theme="1"/>
      <name val="Calibri"/>
      <family val="2"/>
    </font>
    <font>
      <b/>
      <sz val="10.5"/>
      <color rgb="FF1F6BAE"/>
      <name val="Times New Roman"/>
      <family val="1"/>
    </font>
    <font>
      <b/>
      <sz val="11"/>
      <name val="Calibri"/>
      <family val="2"/>
      <scheme val="minor"/>
    </font>
    <font>
      <sz val="10.5"/>
      <color rgb="FF1F6BAE"/>
      <name val="Times New Roman"/>
      <family val="1"/>
    </font>
    <font>
      <sz val="11"/>
      <name val="Calibri"/>
      <family val="2"/>
      <scheme val="minor"/>
    </font>
    <font>
      <sz val="10"/>
      <name val="Verdana"/>
      <family val="2"/>
    </font>
    <font>
      <sz val="10.5"/>
      <color theme="1"/>
      <name val="Times New Roman"/>
      <family val="1"/>
    </font>
    <font>
      <b/>
      <sz val="11"/>
      <color rgb="FF000000"/>
      <name val="Calibri"/>
      <family val="2"/>
    </font>
    <font>
      <b/>
      <i/>
      <sz val="11"/>
      <color rgb="FF000000"/>
      <name val="Calibri"/>
      <family val="2"/>
    </font>
    <font>
      <b/>
      <i/>
      <sz val="11"/>
      <name val="Calibri"/>
      <family val="2"/>
    </font>
    <font>
      <sz val="11"/>
      <color rgb="FF0070C0"/>
      <name val="Calibri"/>
      <family val="2"/>
      <scheme val="minor"/>
    </font>
    <font>
      <i/>
      <sz val="11"/>
      <color theme="1"/>
      <name val="Calibri"/>
      <family val="2"/>
      <scheme val="minor"/>
    </font>
    <font>
      <b/>
      <sz val="11"/>
      <color theme="2"/>
      <name val="Calibri"/>
      <family val="2"/>
      <scheme val="minor"/>
    </font>
    <font>
      <sz val="11"/>
      <color theme="2"/>
      <name val="Calibri"/>
      <family val="2"/>
      <scheme val="minor"/>
    </font>
  </fonts>
  <fills count="11">
    <fill>
      <patternFill patternType="none"/>
    </fill>
    <fill>
      <patternFill patternType="gray125"/>
    </fill>
    <fill>
      <patternFill patternType="solid">
        <fgColor rgb="FFFFC000"/>
        <bgColor indexed="64"/>
      </patternFill>
    </fill>
    <fill>
      <gradientFill degree="90">
        <stop position="0">
          <color theme="0"/>
        </stop>
        <stop position="1">
          <color theme="0"/>
        </stop>
      </gradientFill>
    </fill>
    <fill>
      <patternFill patternType="solid">
        <fgColor theme="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C000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2" fillId="0" borderId="0" applyNumberFormat="0" applyFill="0" applyBorder="0" applyAlignment="0" applyProtection="0"/>
    <xf numFmtId="0" fontId="4" fillId="0" borderId="0" applyNumberFormat="0" applyFont="0" applyFill="0" applyBorder="0" applyAlignment="0" applyProtection="0"/>
    <xf numFmtId="9" fontId="5" fillId="0" borderId="0" applyFont="0" applyFill="0" applyBorder="0" applyAlignment="0" applyProtection="0"/>
    <xf numFmtId="0" fontId="12" fillId="3" borderId="3">
      <alignment horizontal="right" vertical="center"/>
    </xf>
    <xf numFmtId="0" fontId="14" fillId="3" borderId="3">
      <alignment horizontal="left" vertical="center"/>
    </xf>
    <xf numFmtId="0" fontId="17" fillId="3" borderId="3">
      <alignment horizontal="right" vertical="center"/>
    </xf>
  </cellStyleXfs>
  <cellXfs count="76">
    <xf numFmtId="0" fontId="0" fillId="0" borderId="0" xfId="0"/>
    <xf numFmtId="0" fontId="1" fillId="0" borderId="0" xfId="0" applyFont="1"/>
    <xf numFmtId="0" fontId="2" fillId="0" borderId="0" xfId="1"/>
    <xf numFmtId="3" fontId="0" fillId="0" borderId="0" xfId="0" applyNumberFormat="1"/>
    <xf numFmtId="0" fontId="7" fillId="0" borderId="1" xfId="0" applyFont="1" applyBorder="1"/>
    <xf numFmtId="0" fontId="6" fillId="0" borderId="1" xfId="0" applyFont="1" applyBorder="1"/>
    <xf numFmtId="9" fontId="6" fillId="0" borderId="0" xfId="0" applyNumberFormat="1" applyFont="1"/>
    <xf numFmtId="0" fontId="6" fillId="0" borderId="0" xfId="0" applyFont="1"/>
    <xf numFmtId="9" fontId="6" fillId="0" borderId="0" xfId="3" applyFont="1" applyFill="1" applyBorder="1"/>
    <xf numFmtId="10" fontId="6" fillId="0" borderId="0" xfId="0" applyNumberFormat="1" applyFont="1"/>
    <xf numFmtId="0" fontId="8" fillId="0" borderId="0" xfId="0" applyFont="1"/>
    <xf numFmtId="164" fontId="6" fillId="0" borderId="0" xfId="0" applyNumberFormat="1" applyFont="1"/>
    <xf numFmtId="0" fontId="7" fillId="0" borderId="2" xfId="0" applyFont="1" applyBorder="1"/>
    <xf numFmtId="0" fontId="9" fillId="0" borderId="1" xfId="0" applyFont="1" applyBorder="1" applyAlignment="1">
      <alignment horizontal="left" vertical="center"/>
    </xf>
    <xf numFmtId="0" fontId="8" fillId="2" borderId="1" xfId="0" applyFont="1" applyFill="1" applyBorder="1" applyAlignment="1">
      <alignment horizontal="left" vertical="center"/>
    </xf>
    <xf numFmtId="0" fontId="9" fillId="2" borderId="1" xfId="0" applyFont="1" applyFill="1" applyBorder="1" applyAlignment="1">
      <alignment horizontal="left" vertical="center"/>
    </xf>
    <xf numFmtId="0" fontId="10" fillId="0" borderId="0" xfId="0" applyFont="1"/>
    <xf numFmtId="9" fontId="8" fillId="0" borderId="0" xfId="0" applyNumberFormat="1" applyFont="1"/>
    <xf numFmtId="165" fontId="6" fillId="0" borderId="0" xfId="0" applyNumberFormat="1" applyFont="1"/>
    <xf numFmtId="166" fontId="6" fillId="0" borderId="0" xfId="0" applyNumberFormat="1" applyFont="1"/>
    <xf numFmtId="9" fontId="11" fillId="0" borderId="0" xfId="0" applyNumberFormat="1" applyFont="1"/>
    <xf numFmtId="0" fontId="13" fillId="3" borderId="1" xfId="4" applyFont="1" applyBorder="1">
      <alignment horizontal="right" vertical="center"/>
    </xf>
    <xf numFmtId="0" fontId="13" fillId="3" borderId="1" xfId="4" applyFont="1" applyBorder="1" applyAlignment="1">
      <alignment horizontal="center" vertical="center"/>
    </xf>
    <xf numFmtId="0" fontId="15" fillId="3" borderId="1" xfId="5" applyFont="1" applyBorder="1">
      <alignment horizontal="left" vertical="center"/>
    </xf>
    <xf numFmtId="0" fontId="16" fillId="0" borderId="1" xfId="0" applyFont="1" applyBorder="1"/>
    <xf numFmtId="3" fontId="15" fillId="3" borderId="1" xfId="6" applyNumberFormat="1" applyFont="1" applyBorder="1">
      <alignment horizontal="right" vertical="center"/>
    </xf>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4" borderId="8" xfId="0" applyFill="1" applyBorder="1"/>
    <xf numFmtId="0" fontId="0" fillId="4" borderId="11" xfId="0" applyFill="1" applyBorder="1"/>
    <xf numFmtId="0" fontId="18" fillId="0" borderId="1" xfId="0" applyFont="1" applyBorder="1"/>
    <xf numFmtId="0" fontId="19" fillId="0" borderId="1" xfId="0" applyFont="1" applyBorder="1"/>
    <xf numFmtId="0" fontId="20" fillId="0" borderId="1" xfId="0" applyFont="1" applyBorder="1"/>
    <xf numFmtId="0" fontId="8" fillId="0" borderId="1" xfId="0" applyFont="1" applyBorder="1"/>
    <xf numFmtId="2" fontId="6" fillId="0" borderId="0" xfId="0" applyNumberFormat="1" applyFont="1"/>
    <xf numFmtId="167" fontId="6" fillId="0" borderId="0" xfId="0" applyNumberFormat="1" applyFont="1"/>
    <xf numFmtId="0" fontId="9" fillId="0" borderId="0" xfId="0" applyFont="1"/>
    <xf numFmtId="168" fontId="6" fillId="0" borderId="0" xfId="0" applyNumberFormat="1" applyFont="1"/>
    <xf numFmtId="0" fontId="1" fillId="5" borderId="1" xfId="0" applyFont="1" applyFill="1" applyBorder="1" applyAlignment="1">
      <alignment vertical="center"/>
    </xf>
    <xf numFmtId="0" fontId="1" fillId="5" borderId="1" xfId="0" applyFont="1" applyFill="1" applyBorder="1"/>
    <xf numFmtId="0" fontId="21" fillId="0" borderId="1" xfId="0" applyFont="1" applyBorder="1"/>
    <xf numFmtId="3" fontId="15" fillId="0" borderId="1" xfId="0" applyNumberFormat="1" applyFont="1" applyBorder="1"/>
    <xf numFmtId="0" fontId="0" fillId="0" borderId="1" xfId="0" applyBorder="1"/>
    <xf numFmtId="0" fontId="1" fillId="6" borderId="1" xfId="0" applyFont="1" applyFill="1" applyBorder="1"/>
    <xf numFmtId="9" fontId="0" fillId="0" borderId="0" xfId="3" applyFont="1"/>
    <xf numFmtId="0" fontId="0" fillId="7" borderId="1" xfId="0" applyFill="1" applyBorder="1"/>
    <xf numFmtId="0" fontId="1" fillId="8" borderId="1" xfId="0" applyFont="1" applyFill="1" applyBorder="1"/>
    <xf numFmtId="3" fontId="1" fillId="8" borderId="1" xfId="0" applyNumberFormat="1" applyFont="1" applyFill="1" applyBorder="1"/>
    <xf numFmtId="164" fontId="0" fillId="0" borderId="0" xfId="3" applyNumberFormat="1" applyFont="1"/>
    <xf numFmtId="0" fontId="0" fillId="9" borderId="1" xfId="0" applyFill="1" applyBorder="1"/>
    <xf numFmtId="3" fontId="0" fillId="0" borderId="1" xfId="0" applyNumberFormat="1" applyBorder="1"/>
    <xf numFmtId="0" fontId="0" fillId="5" borderId="0" xfId="0" applyFill="1"/>
    <xf numFmtId="9" fontId="0" fillId="0" borderId="0" xfId="3" applyFont="1" applyAlignment="1">
      <alignment vertical="center" wrapText="1"/>
    </xf>
    <xf numFmtId="0" fontId="1" fillId="0" borderId="0" xfId="0" applyFont="1" applyAlignment="1">
      <alignment vertical="center" wrapText="1"/>
    </xf>
    <xf numFmtId="0" fontId="22" fillId="0" borderId="0" xfId="0" applyFont="1" applyAlignment="1">
      <alignment horizontal="left" vertical="center"/>
    </xf>
    <xf numFmtId="0" fontId="23" fillId="0" borderId="0" xfId="0" applyFont="1" applyAlignment="1">
      <alignment vertical="center" wrapText="1"/>
    </xf>
    <xf numFmtId="0" fontId="24" fillId="0" borderId="0" xfId="0" applyFont="1" applyAlignment="1">
      <alignment vertical="center" wrapText="1"/>
    </xf>
    <xf numFmtId="3" fontId="1" fillId="0" borderId="0" xfId="0" applyNumberFormat="1" applyFont="1"/>
    <xf numFmtId="9" fontId="1" fillId="0" borderId="0" xfId="3" applyFont="1" applyFill="1"/>
    <xf numFmtId="9" fontId="0" fillId="0" borderId="0" xfId="3" applyFont="1" applyFill="1"/>
    <xf numFmtId="10" fontId="0" fillId="0" borderId="0" xfId="0" applyNumberFormat="1"/>
    <xf numFmtId="0" fontId="1" fillId="0" borderId="0" xfId="0" applyFont="1" applyAlignment="1">
      <alignment horizontal="left" vertical="top"/>
    </xf>
    <xf numFmtId="0" fontId="13" fillId="0" borderId="0" xfId="0" applyFont="1"/>
    <xf numFmtId="0" fontId="13" fillId="0" borderId="0" xfId="0" applyFont="1" applyAlignment="1">
      <alignment vertical="center" wrapText="1"/>
    </xf>
    <xf numFmtId="9" fontId="0" fillId="0" borderId="0" xfId="0" applyNumberFormat="1"/>
    <xf numFmtId="0" fontId="0" fillId="0" borderId="0" xfId="0" applyAlignment="1">
      <alignment horizontal="left" vertical="center"/>
    </xf>
    <xf numFmtId="3" fontId="1" fillId="0" borderId="0" xfId="3" applyNumberFormat="1" applyFont="1" applyFill="1"/>
    <xf numFmtId="3" fontId="0" fillId="0" borderId="0" xfId="3" applyNumberFormat="1" applyFont="1" applyFill="1"/>
    <xf numFmtId="0" fontId="0" fillId="10" borderId="0" xfId="0" applyFill="1"/>
    <xf numFmtId="49" fontId="0" fillId="0" borderId="0" xfId="0" applyNumberFormat="1"/>
  </cellXfs>
  <cellStyles count="7">
    <cellStyle name="Default" xfId="2" xr:uid="{591B0DA1-F9B2-49FD-B0E7-4673A2758C34}"/>
    <cellStyle name="Hyperlink" xfId="1" builtinId="8"/>
    <cellStyle name="Normal" xfId="0" builtinId="0"/>
    <cellStyle name="Percent" xfId="3" builtinId="5"/>
    <cellStyle name="Tabelle 1Spalte" xfId="5" xr:uid="{45E655D5-2A07-4A1F-8AF4-34A7F18D40C6}"/>
    <cellStyle name="Tabelle allgemein" xfId="6" xr:uid="{0F13747A-A992-42BA-A34F-AE0D630A8700}"/>
    <cellStyle name="Tabelle Kopf" xfId="4" xr:uid="{9F4F10FE-6945-40A1-845D-9652F98CDD53}"/>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20</xdr:row>
      <xdr:rowOff>45720</xdr:rowOff>
    </xdr:from>
    <xdr:to>
      <xdr:col>16</xdr:col>
      <xdr:colOff>213956</xdr:colOff>
      <xdr:row>47</xdr:row>
      <xdr:rowOff>38527</xdr:rowOff>
    </xdr:to>
    <xdr:pic>
      <xdr:nvPicPr>
        <xdr:cNvPr id="2" name="Picture 1">
          <a:extLst>
            <a:ext uri="{FF2B5EF4-FFF2-40B4-BE49-F238E27FC236}">
              <a16:creationId xmlns:a16="http://schemas.microsoft.com/office/drawing/2014/main" id="{498E2D2C-ED9C-45E1-875C-172DDB682F81}"/>
            </a:ext>
          </a:extLst>
        </xdr:cNvPr>
        <xdr:cNvPicPr>
          <a:picLocks noChangeAspect="1"/>
        </xdr:cNvPicPr>
      </xdr:nvPicPr>
      <xdr:blipFill>
        <a:blip xmlns:r="http://schemas.openxmlformats.org/officeDocument/2006/relationships" r:embed="rId1"/>
        <a:stretch>
          <a:fillRect/>
        </a:stretch>
      </xdr:blipFill>
      <xdr:spPr>
        <a:xfrm>
          <a:off x="3345180" y="3703320"/>
          <a:ext cx="6881456" cy="49305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charts/share-of-secondary-supply-in-total-demand-for-selected-materials-in-the-net-zero-scenario-2010-2040" TargetMode="External"/><Relationship Id="rId2" Type="http://schemas.openxmlformats.org/officeDocument/2006/relationships/hyperlink" Target="https://doi.org/10.1016/j.mineng.2023.108282" TargetMode="External"/><Relationship Id="rId1" Type="http://schemas.openxmlformats.org/officeDocument/2006/relationships/hyperlink" Target="https://doi.org/10.1038/s41893-022-00895-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iea.org/data-and-statistics/charts/historical-recycled-input-rate-for-selected-materials-2015-2023" TargetMode="External"/><Relationship Id="rId7" Type="http://schemas.openxmlformats.org/officeDocument/2006/relationships/hyperlink" Target="https://www.iea.org/data-and-statistics/charts/share-of-secondary-supply-in-total-demand-for-selected-materials-in-the-net-zero-scenario-2010-2040" TargetMode="External"/><Relationship Id="rId2" Type="http://schemas.openxmlformats.org/officeDocument/2006/relationships/hyperlink" Target="https://www.iea.org/data-and-statistics/charts/secondary-supply-volumes-and-share-of-total-demand-for-graphite-in-the-announced-pledges-scenario-and-net-zero-emissions-by-2050-scenario-2023-2050" TargetMode="External"/><Relationship Id="rId1" Type="http://schemas.openxmlformats.org/officeDocument/2006/relationships/hyperlink" Target="https://www.iea.org/data-and-statistics/charts/secondary-supply-volumes-and-share-of-total-demand-for-lithium-in-the-announced-pledges-scenario-and-net-zero-emissions-by-2050-scenario-2023-2050" TargetMode="External"/><Relationship Id="rId6" Type="http://schemas.openxmlformats.org/officeDocument/2006/relationships/hyperlink" Target="https://www.iea.org/data-and-statistics/charts/secondary-supply-volumes-and-share-of-total-demand-for-rare-earths-in-the-announced-pledges-scenario-and-net-zero-emissions-by-2050-scenario-2023-2050" TargetMode="External"/><Relationship Id="rId5" Type="http://schemas.openxmlformats.org/officeDocument/2006/relationships/hyperlink" Target="https://www.iea.org/data-and-statistics/charts/secondary-supply-volumes-and-share-of-total-demand-for-cobalt-in-the-announced-pledges-scenario-and-net-zero-emissions-by-2050-scenario-2023-2050" TargetMode="External"/><Relationship Id="rId4" Type="http://schemas.openxmlformats.org/officeDocument/2006/relationships/hyperlink" Target="https://www.iea.org/data-and-statistics/charts/secondary-supply-volumes-and-share-of-total-demand-for-copper-in-the-announced-pledges-scenario-and-net-zero-emissions-by-2050-scenario-2023-2050"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rmis.jrc.ec.europa.eu/uploads/CRM_2020_Factsheets_critical_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75D3-3CEF-4138-8A32-CAA36467249A}">
  <sheetPr>
    <tabColor rgb="FFC00000"/>
  </sheetPr>
  <dimension ref="A1:C15"/>
  <sheetViews>
    <sheetView workbookViewId="0">
      <selection activeCell="A8" sqref="A8"/>
    </sheetView>
  </sheetViews>
  <sheetFormatPr defaultRowHeight="14.4" x14ac:dyDescent="0.3"/>
  <cols>
    <col min="1" max="1" width="21.5546875" customWidth="1"/>
    <col min="2" max="2" width="102.21875" bestFit="1" customWidth="1"/>
  </cols>
  <sheetData>
    <row r="1" spans="1:3" x14ac:dyDescent="0.3">
      <c r="A1" t="s">
        <v>90</v>
      </c>
    </row>
    <row r="2" spans="1:3" x14ac:dyDescent="0.3">
      <c r="A2" t="s">
        <v>91</v>
      </c>
    </row>
    <row r="3" spans="1:3" x14ac:dyDescent="0.3">
      <c r="A3" t="s">
        <v>86</v>
      </c>
    </row>
    <row r="4" spans="1:3" x14ac:dyDescent="0.3">
      <c r="A4" t="s">
        <v>92</v>
      </c>
    </row>
    <row r="7" spans="1:3" x14ac:dyDescent="0.3">
      <c r="A7" s="1" t="s">
        <v>87</v>
      </c>
      <c r="B7" s="1" t="s">
        <v>88</v>
      </c>
      <c r="C7" s="1" t="s">
        <v>89</v>
      </c>
    </row>
    <row r="8" spans="1:3" x14ac:dyDescent="0.3">
      <c r="A8" t="s">
        <v>1109</v>
      </c>
      <c r="B8" s="1"/>
      <c r="C8" s="1"/>
    </row>
    <row r="9" spans="1:3" x14ac:dyDescent="0.3">
      <c r="A9" t="s">
        <v>1106</v>
      </c>
      <c r="B9" t="s">
        <v>95</v>
      </c>
      <c r="C9" t="s">
        <v>41</v>
      </c>
    </row>
    <row r="10" spans="1:3" x14ac:dyDescent="0.3">
      <c r="A10" t="s">
        <v>1044</v>
      </c>
      <c r="B10" t="s">
        <v>94</v>
      </c>
      <c r="C10" s="2" t="s">
        <v>93</v>
      </c>
    </row>
    <row r="11" spans="1:3" x14ac:dyDescent="0.3">
      <c r="A11" t="s">
        <v>1036</v>
      </c>
      <c r="B11" t="s">
        <v>116</v>
      </c>
      <c r="C11" s="2" t="s">
        <v>117</v>
      </c>
    </row>
    <row r="12" spans="1:3" x14ac:dyDescent="0.3">
      <c r="A12" t="s">
        <v>665</v>
      </c>
      <c r="B12" t="s">
        <v>719</v>
      </c>
      <c r="C12" s="2" t="s">
        <v>720</v>
      </c>
    </row>
    <row r="13" spans="1:3" x14ac:dyDescent="0.3">
      <c r="A13" t="s">
        <v>721</v>
      </c>
      <c r="B13" t="s">
        <v>722</v>
      </c>
      <c r="C13" s="2" t="s">
        <v>723</v>
      </c>
    </row>
    <row r="14" spans="1:3" x14ac:dyDescent="0.3">
      <c r="A14" t="s">
        <v>1107</v>
      </c>
      <c r="B14" t="s">
        <v>1049</v>
      </c>
      <c r="C14" s="2" t="s">
        <v>1048</v>
      </c>
    </row>
    <row r="15" spans="1:3" x14ac:dyDescent="0.3">
      <c r="A15" t="s">
        <v>1108</v>
      </c>
    </row>
  </sheetData>
  <hyperlinks>
    <hyperlink ref="C13" r:id="rId1" display="https://doi.org/10.1038/s41893-022-00895-8" xr:uid="{0B3649FA-E5B0-4B2A-A4CA-FDFAD0D69C46}"/>
    <hyperlink ref="C12" r:id="rId2" display="https://doi.org/10.1016/j.mineng.2023.108282" xr:uid="{3EDA5C4F-02F6-4225-A64B-7548068D096F}"/>
    <hyperlink ref="C14" r:id="rId3" xr:uid="{2FDE90DD-DDF5-4177-B9B1-464F2DB48D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BBB0-1678-4D93-9211-683284961981}">
  <dimension ref="A1:H39"/>
  <sheetViews>
    <sheetView tabSelected="1" workbookViewId="0">
      <selection activeCell="I14" sqref="I14"/>
    </sheetView>
  </sheetViews>
  <sheetFormatPr defaultRowHeight="14.4" x14ac:dyDescent="0.3"/>
  <cols>
    <col min="1" max="1" width="3" bestFit="1" customWidth="1"/>
    <col min="2" max="2" width="7.33203125" bestFit="1" customWidth="1"/>
    <col min="3" max="3" width="21.6640625" bestFit="1" customWidth="1"/>
    <col min="4" max="4" width="25.77734375" bestFit="1" customWidth="1"/>
    <col min="5" max="5" width="20.44140625" bestFit="1" customWidth="1"/>
    <col min="6" max="6" width="23.44140625" bestFit="1" customWidth="1"/>
    <col min="7" max="7" width="4.5546875" bestFit="1" customWidth="1"/>
    <col min="8" max="8" width="5.44140625" bestFit="1" customWidth="1"/>
  </cols>
  <sheetData>
    <row r="1" spans="1:8" x14ac:dyDescent="0.3">
      <c r="A1" s="1" t="str">
        <f>CALCULATION!A1</f>
        <v>Z</v>
      </c>
      <c r="B1" s="1" t="str">
        <f>CALCULATION!B1</f>
        <v>Symbol</v>
      </c>
      <c r="C1" s="1" t="str">
        <f>CALCULATION!C1</f>
        <v>Metal</v>
      </c>
      <c r="D1" s="1" t="s">
        <v>1103</v>
      </c>
      <c r="E1" s="1" t="s">
        <v>1051</v>
      </c>
      <c r="F1" s="63" t="str">
        <f>CALCULATION!K1</f>
        <v>Total_refinery_production</v>
      </c>
      <c r="G1" s="63" t="str">
        <f>CALCULATION!L1</f>
        <v>Unit</v>
      </c>
      <c r="H1" s="1" t="str">
        <f>CALCULATION!M1</f>
        <v>Year</v>
      </c>
    </row>
    <row r="2" spans="1:8" x14ac:dyDescent="0.3">
      <c r="A2">
        <f>CALCULATION!A2</f>
        <v>13</v>
      </c>
      <c r="B2" t="str">
        <f>CALCULATION!B2</f>
        <v>Al</v>
      </c>
      <c r="C2" t="str">
        <f>CALCULATION!C2</f>
        <v>Aluminium</v>
      </c>
      <c r="D2" s="3">
        <f>CALCULATION!J2</f>
        <v>70000</v>
      </c>
      <c r="E2" s="3">
        <f>CALCULATION!H2</f>
        <v>41111.111111111109</v>
      </c>
      <c r="F2" s="3">
        <f>CALCULATION!K2</f>
        <v>111111.11111111111</v>
      </c>
      <c r="G2" s="3" t="str">
        <f>CALCULATION!L2</f>
        <v>kt</v>
      </c>
      <c r="H2" s="75">
        <f>CALCULATION!M2</f>
        <v>2023</v>
      </c>
    </row>
    <row r="3" spans="1:8" x14ac:dyDescent="0.3">
      <c r="A3">
        <f>CALCULATION!A3</f>
        <v>33</v>
      </c>
      <c r="B3" t="str">
        <f>CALCULATION!B3</f>
        <v>As</v>
      </c>
      <c r="C3" t="str">
        <f>CALCULATION!C3</f>
        <v>Arsenic</v>
      </c>
      <c r="D3" s="3">
        <f>CALCULATION!J3</f>
        <v>61500</v>
      </c>
      <c r="E3" s="3">
        <f>CALCULATION!H3</f>
        <v>0</v>
      </c>
      <c r="F3" s="3">
        <f>CALCULATION!K3</f>
        <v>61500</v>
      </c>
      <c r="G3" s="3" t="str">
        <f>CALCULATION!L3</f>
        <v>t</v>
      </c>
      <c r="H3" s="75">
        <f>CALCULATION!M3</f>
        <v>2023</v>
      </c>
    </row>
    <row r="4" spans="1:8" x14ac:dyDescent="0.3">
      <c r="A4">
        <f>CALCULATION!A4</f>
        <v>5</v>
      </c>
      <c r="B4" t="str">
        <f>CALCULATION!B4</f>
        <v>B</v>
      </c>
      <c r="C4" t="str">
        <f>CALCULATION!C4</f>
        <v>Boron</v>
      </c>
      <c r="D4" s="3">
        <f>CALCULATION!J4</f>
        <v>3055.8879999999999</v>
      </c>
      <c r="E4" s="3">
        <f>CALCULATION!H4</f>
        <v>0</v>
      </c>
      <c r="F4" s="3">
        <f>CALCULATION!K4</f>
        <v>3055.8879999999999</v>
      </c>
      <c r="G4" s="3" t="str">
        <f>CALCULATION!L4</f>
        <v>kt</v>
      </c>
      <c r="H4" s="75">
        <f>CALCULATION!M4</f>
        <v>2023</v>
      </c>
    </row>
    <row r="5" spans="1:8" x14ac:dyDescent="0.3">
      <c r="A5">
        <f>CALCULATION!A5</f>
        <v>48</v>
      </c>
      <c r="B5" t="str">
        <f>CALCULATION!B5</f>
        <v>Cd</v>
      </c>
      <c r="C5" t="str">
        <f>CALCULATION!C5</f>
        <v>Cadmium</v>
      </c>
      <c r="D5" s="3">
        <f>CALCULATION!J5</f>
        <v>24100</v>
      </c>
      <c r="E5" s="3">
        <f>CALCULATION!H5</f>
        <v>0</v>
      </c>
      <c r="F5" s="3">
        <f>CALCULATION!K5</f>
        <v>24100</v>
      </c>
      <c r="G5" s="3" t="str">
        <f>CALCULATION!L5</f>
        <v>t</v>
      </c>
      <c r="H5" s="75">
        <f>CALCULATION!M5</f>
        <v>2023</v>
      </c>
    </row>
    <row r="6" spans="1:8" x14ac:dyDescent="0.3">
      <c r="A6">
        <f>CALCULATION!A6</f>
        <v>24</v>
      </c>
      <c r="B6" t="str">
        <f>CALCULATION!B6</f>
        <v>Cr</v>
      </c>
      <c r="C6" t="str">
        <f>CALCULATION!C6</f>
        <v>Chromium</v>
      </c>
      <c r="D6" s="3">
        <f>CALCULATION!J6</f>
        <v>15700</v>
      </c>
      <c r="E6" s="3">
        <f>CALCULATION!H6</f>
        <v>0</v>
      </c>
      <c r="F6" s="3">
        <f>CALCULATION!K6</f>
        <v>15700</v>
      </c>
      <c r="G6" s="3" t="str">
        <f>CALCULATION!L6</f>
        <v>kt</v>
      </c>
      <c r="H6" s="75">
        <f>CALCULATION!M6</f>
        <v>2023</v>
      </c>
    </row>
    <row r="7" spans="1:8" x14ac:dyDescent="0.3">
      <c r="A7">
        <f>CALCULATION!A7</f>
        <v>27</v>
      </c>
      <c r="B7" t="str">
        <f>CALCULATION!B7</f>
        <v>Co</v>
      </c>
      <c r="C7" t="str">
        <f>CALCULATION!C7</f>
        <v>Cobalt</v>
      </c>
      <c r="D7" s="3">
        <f>CALCULATION!J7</f>
        <v>180000</v>
      </c>
      <c r="E7" s="3">
        <f>CALCULATION!H7</f>
        <v>20000</v>
      </c>
      <c r="F7" s="3">
        <f>CALCULATION!K7</f>
        <v>200000</v>
      </c>
      <c r="G7" s="3" t="str">
        <f>CALCULATION!L7</f>
        <v>t</v>
      </c>
      <c r="H7" s="75">
        <f>CALCULATION!M7</f>
        <v>2023</v>
      </c>
    </row>
    <row r="8" spans="1:8" x14ac:dyDescent="0.3">
      <c r="A8">
        <f>CALCULATION!A8</f>
        <v>29</v>
      </c>
      <c r="B8" t="str">
        <f>CALCULATION!B8</f>
        <v>Cu</v>
      </c>
      <c r="C8" t="str">
        <f>CALCULATION!C8</f>
        <v>Copper</v>
      </c>
      <c r="D8" s="3">
        <f>CALCULATION!J8</f>
        <v>22712.399999999998</v>
      </c>
      <c r="E8" s="3">
        <f>CALCULATION!H8</f>
        <v>4287.6000000000004</v>
      </c>
      <c r="F8" s="3">
        <f>CALCULATION!K8</f>
        <v>27000</v>
      </c>
      <c r="G8" s="3" t="str">
        <f>CALCULATION!L8</f>
        <v>kt</v>
      </c>
      <c r="H8" s="75">
        <f>CALCULATION!M8</f>
        <v>2023</v>
      </c>
    </row>
    <row r="9" spans="1:8" x14ac:dyDescent="0.3">
      <c r="A9">
        <f>CALCULATION!A9</f>
        <v>66</v>
      </c>
      <c r="B9" t="str">
        <f>CALCULATION!B9</f>
        <v>Dy</v>
      </c>
      <c r="C9" t="str">
        <f>CALCULATION!C9</f>
        <v>Dysprosium</v>
      </c>
      <c r="D9" s="3">
        <f>CALCULATION!J9</f>
        <v>1376.9589421202811</v>
      </c>
      <c r="E9" s="3">
        <f>CALCULATION!H9</f>
        <v>0</v>
      </c>
      <c r="F9" s="3">
        <f>CALCULATION!K9</f>
        <v>1376.9589421202811</v>
      </c>
      <c r="G9" s="3" t="str">
        <f>CALCULATION!L9</f>
        <v>t</v>
      </c>
      <c r="H9" s="75">
        <f>CALCULATION!M9</f>
        <v>2023</v>
      </c>
    </row>
    <row r="10" spans="1:8" x14ac:dyDescent="0.3">
      <c r="A10">
        <f>CALCULATION!A12</f>
        <v>31</v>
      </c>
      <c r="B10" t="str">
        <f>CALCULATION!B12</f>
        <v>Ga</v>
      </c>
      <c r="C10" t="str">
        <f>CALCULATION!C12</f>
        <v>Gallium</v>
      </c>
      <c r="D10" s="3">
        <f>CALCULATION!J12</f>
        <v>633000</v>
      </c>
      <c r="E10" s="3">
        <f>CALCULATION!H12</f>
        <v>0</v>
      </c>
      <c r="F10" s="3">
        <f>CALCULATION!K12</f>
        <v>633000</v>
      </c>
      <c r="G10" s="3" t="str">
        <f>CALCULATION!L12</f>
        <v>kg</v>
      </c>
      <c r="H10" s="75">
        <f>CALCULATION!M12</f>
        <v>2023</v>
      </c>
    </row>
    <row r="11" spans="1:8" x14ac:dyDescent="0.3">
      <c r="A11" t="str">
        <f>CALCULATION!A13</f>
        <v>-</v>
      </c>
      <c r="B11" t="s">
        <v>1117</v>
      </c>
      <c r="C11" t="str">
        <f>CALCULATION!C13</f>
        <v>Graphite</v>
      </c>
      <c r="D11" s="3">
        <f>CALCULATION!J13</f>
        <v>1530000</v>
      </c>
      <c r="E11" s="3">
        <f>CALCULATION!H13</f>
        <v>0</v>
      </c>
      <c r="F11" s="3">
        <f>CALCULATION!K13</f>
        <v>1530000</v>
      </c>
      <c r="G11" s="3" t="str">
        <f>CALCULATION!L13</f>
        <v>t</v>
      </c>
      <c r="H11" s="75">
        <f>CALCULATION!M13</f>
        <v>2023</v>
      </c>
    </row>
    <row r="12" spans="1:8" x14ac:dyDescent="0.3">
      <c r="A12">
        <f>CALCULATION!A15</f>
        <v>49</v>
      </c>
      <c r="B12" t="str">
        <f>CALCULATION!B15</f>
        <v>In</v>
      </c>
      <c r="C12" t="str">
        <f>CALCULATION!C15</f>
        <v>Indium</v>
      </c>
      <c r="D12" s="3">
        <f>CALCULATION!J15</f>
        <v>1020</v>
      </c>
      <c r="E12" s="3">
        <f>CALCULATION!H15</f>
        <v>0</v>
      </c>
      <c r="F12" s="3">
        <f>CALCULATION!K15</f>
        <v>1020</v>
      </c>
      <c r="G12" s="3" t="str">
        <f>CALCULATION!L15</f>
        <v>t</v>
      </c>
      <c r="H12" s="75">
        <f>CALCULATION!M15</f>
        <v>2023</v>
      </c>
    </row>
    <row r="13" spans="1:8" x14ac:dyDescent="0.3">
      <c r="A13">
        <f>CALCULATION!A16</f>
        <v>77</v>
      </c>
      <c r="B13" t="str">
        <f>CALCULATION!B16</f>
        <v>Ir</v>
      </c>
      <c r="C13" t="str">
        <f>CALCULATION!C16</f>
        <v>Iridium</v>
      </c>
      <c r="D13" s="3">
        <f>CALCULATION!J16</f>
        <v>1954.6385213793105</v>
      </c>
      <c r="E13" s="3">
        <f>CALCULATION!H16</f>
        <v>0</v>
      </c>
      <c r="F13" s="3">
        <f>CALCULATION!K16</f>
        <v>1954.6385213793105</v>
      </c>
      <c r="G13" s="3" t="str">
        <f>CALCULATION!L16</f>
        <v>kg</v>
      </c>
      <c r="H13" s="75">
        <f>CALCULATION!M16</f>
        <v>2023</v>
      </c>
    </row>
    <row r="14" spans="1:8" x14ac:dyDescent="0.3">
      <c r="A14">
        <f>CALCULATION!A17</f>
        <v>57</v>
      </c>
      <c r="B14" t="str">
        <f>CALCULATION!B17</f>
        <v>La</v>
      </c>
      <c r="C14" t="str">
        <f>CALCULATION!C17</f>
        <v>Lanthanum</v>
      </c>
      <c r="D14" s="3">
        <f>CALCULATION!J17</f>
        <v>59731.313421033061</v>
      </c>
      <c r="E14" s="3">
        <f>CALCULATION!H17</f>
        <v>0</v>
      </c>
      <c r="F14" s="3">
        <f>CALCULATION!K17</f>
        <v>59731.313421033061</v>
      </c>
      <c r="G14" s="3" t="str">
        <f>CALCULATION!L17</f>
        <v>t</v>
      </c>
      <c r="H14" s="75">
        <f>CALCULATION!M17</f>
        <v>2023</v>
      </c>
    </row>
    <row r="15" spans="1:8" x14ac:dyDescent="0.3">
      <c r="A15">
        <f>CALCULATION!A18</f>
        <v>82</v>
      </c>
      <c r="B15" t="str">
        <f>CALCULATION!B18</f>
        <v>Pb</v>
      </c>
      <c r="C15" t="str">
        <f>CALCULATION!C18</f>
        <v>Lead</v>
      </c>
      <c r="D15" s="3">
        <f>CALCULATION!J18</f>
        <v>4164237.6681614351</v>
      </c>
      <c r="E15" s="3">
        <f>CALCULATION!H18</f>
        <v>7280067.2645739913</v>
      </c>
      <c r="F15" s="3">
        <f>CALCULATION!K18</f>
        <v>11444304.932735426</v>
      </c>
      <c r="G15" s="3" t="str">
        <f>CALCULATION!L18</f>
        <v>kt</v>
      </c>
      <c r="H15" s="75">
        <f>CALCULATION!M18</f>
        <v>2023</v>
      </c>
    </row>
    <row r="16" spans="1:8" x14ac:dyDescent="0.3">
      <c r="A16">
        <f>CALCULATION!A19</f>
        <v>3</v>
      </c>
      <c r="B16" t="str">
        <f>CALCULATION!B19</f>
        <v>Li</v>
      </c>
      <c r="C16" t="str">
        <f>CALCULATION!C19</f>
        <v>Lithium</v>
      </c>
      <c r="D16" s="3">
        <f>CALCULATION!J19</f>
        <v>142630.77606676996</v>
      </c>
      <c r="E16" s="3">
        <f>CALCULATION!H19</f>
        <v>6309.2783505154639</v>
      </c>
      <c r="F16" s="3">
        <f>CALCULATION!K19</f>
        <v>148940.05441728543</v>
      </c>
      <c r="G16" s="3" t="str">
        <f>CALCULATION!L19</f>
        <v>t</v>
      </c>
      <c r="H16" s="75">
        <f>CALCULATION!M19</f>
        <v>2023</v>
      </c>
    </row>
    <row r="17" spans="1:8" x14ac:dyDescent="0.3">
      <c r="A17">
        <f>CALCULATION!A20</f>
        <v>12</v>
      </c>
      <c r="B17" t="str">
        <f>CALCULATION!B20</f>
        <v>Mg</v>
      </c>
      <c r="C17" t="str">
        <f>CALCULATION!C20</f>
        <v>Magnesium</v>
      </c>
      <c r="D17" s="3">
        <f>CALCULATION!J20</f>
        <v>900</v>
      </c>
      <c r="E17" s="3">
        <f>CALCULATION!H20</f>
        <v>0</v>
      </c>
      <c r="F17" s="3">
        <f>CALCULATION!K20</f>
        <v>900</v>
      </c>
      <c r="G17" s="3" t="str">
        <f>CALCULATION!L20</f>
        <v>kt</v>
      </c>
      <c r="H17" s="75">
        <f>CALCULATION!M20</f>
        <v>2023</v>
      </c>
    </row>
    <row r="18" spans="1:8" x14ac:dyDescent="0.3">
      <c r="A18">
        <f>CALCULATION!A21</f>
        <v>25</v>
      </c>
      <c r="B18" t="str">
        <f>CALCULATION!B21</f>
        <v>Mn</v>
      </c>
      <c r="C18" t="str">
        <f>CALCULATION!C21</f>
        <v>Manganese</v>
      </c>
      <c r="D18" s="3">
        <f>CALCULATION!J21</f>
        <v>13720</v>
      </c>
      <c r="E18" s="3">
        <f>CALCULATION!H21</f>
        <v>0</v>
      </c>
      <c r="F18" s="3">
        <f>CALCULATION!K21</f>
        <v>13720</v>
      </c>
      <c r="G18" s="3" t="str">
        <f>CALCULATION!L21</f>
        <v>kt</v>
      </c>
      <c r="H18" s="75">
        <f>CALCULATION!M21</f>
        <v>2023</v>
      </c>
    </row>
    <row r="19" spans="1:8" x14ac:dyDescent="0.3">
      <c r="A19">
        <f>CALCULATION!A22</f>
        <v>42</v>
      </c>
      <c r="B19" t="str">
        <f>CALCULATION!B22</f>
        <v>Mo</v>
      </c>
      <c r="C19" t="str">
        <f>CALCULATION!C22</f>
        <v>Molybdenum</v>
      </c>
      <c r="D19" s="3">
        <f>CALCULATION!J22</f>
        <v>148800</v>
      </c>
      <c r="E19" s="3">
        <f>CALCULATION!H22</f>
        <v>0</v>
      </c>
      <c r="F19" s="3">
        <f>CALCULATION!K22</f>
        <v>148800</v>
      </c>
      <c r="G19" s="3" t="str">
        <f>CALCULATION!L22</f>
        <v>t</v>
      </c>
      <c r="H19" s="75">
        <f>CALCULATION!M22</f>
        <v>2023</v>
      </c>
    </row>
    <row r="20" spans="1:8" x14ac:dyDescent="0.3">
      <c r="A20">
        <f>CALCULATION!A23</f>
        <v>60</v>
      </c>
      <c r="B20" t="str">
        <f>CALCULATION!B23</f>
        <v>Nd</v>
      </c>
      <c r="C20" t="str">
        <f>CALCULATION!C23</f>
        <v>Neodymium</v>
      </c>
      <c r="D20" s="3">
        <f>CALCULATION!J23</f>
        <v>37816.884161594244</v>
      </c>
      <c r="E20" s="3">
        <f>CALCULATION!H23</f>
        <v>0</v>
      </c>
      <c r="F20" s="3">
        <f>CALCULATION!K23</f>
        <v>37816.884161594244</v>
      </c>
      <c r="G20" s="3" t="str">
        <f>CALCULATION!L23</f>
        <v>t</v>
      </c>
      <c r="H20" s="75">
        <f>CALCULATION!M23</f>
        <v>2023</v>
      </c>
    </row>
    <row r="21" spans="1:8" x14ac:dyDescent="0.3">
      <c r="A21">
        <f>CALCULATION!A24</f>
        <v>28</v>
      </c>
      <c r="B21" t="str">
        <f>CALCULATION!B24</f>
        <v>Ni</v>
      </c>
      <c r="C21" t="str">
        <f>CALCULATION!C24</f>
        <v>Nickel</v>
      </c>
      <c r="D21" s="3">
        <f>CALCULATION!J24</f>
        <v>3516483.5164835164</v>
      </c>
      <c r="E21" s="3">
        <f>CALCULATION!H24</f>
        <v>35520.035520035526</v>
      </c>
      <c r="F21" s="3">
        <f>CALCULATION!K24</f>
        <v>3552003.5520035517</v>
      </c>
      <c r="G21" s="3" t="str">
        <f>CALCULATION!L24</f>
        <v>t</v>
      </c>
      <c r="H21" s="75">
        <f>CALCULATION!M24</f>
        <v>2023</v>
      </c>
    </row>
    <row r="22" spans="1:8" x14ac:dyDescent="0.3">
      <c r="A22">
        <f>CALCULATION!A25</f>
        <v>41</v>
      </c>
      <c r="B22" t="str">
        <f>CALCULATION!B25</f>
        <v>Nb</v>
      </c>
      <c r="C22" t="str">
        <f>CALCULATION!C25</f>
        <v>Niobium</v>
      </c>
      <c r="D22" s="3">
        <f>CALCULATION!J25</f>
        <v>78100</v>
      </c>
      <c r="E22" s="3">
        <f>CALCULATION!H25</f>
        <v>0</v>
      </c>
      <c r="F22" s="3">
        <f>CALCULATION!K25</f>
        <v>78100</v>
      </c>
      <c r="G22" s="3" t="str">
        <f>CALCULATION!L25</f>
        <v>t</v>
      </c>
      <c r="H22" s="75">
        <f>CALCULATION!M25</f>
        <v>2023</v>
      </c>
    </row>
    <row r="23" spans="1:8" x14ac:dyDescent="0.3">
      <c r="A23" t="str">
        <f>CALCULATION!A26</f>
        <v>-</v>
      </c>
      <c r="B23" t="str">
        <f>CALCULATION!B26</f>
        <v>-</v>
      </c>
      <c r="C23" t="str">
        <f>CALCULATION!C26</f>
        <v>PGMs</v>
      </c>
      <c r="D23" s="3">
        <f>CALCULATION!J26</f>
        <v>117249.14598240002</v>
      </c>
      <c r="E23" s="3">
        <f>CALCULATION!H26</f>
        <v>0</v>
      </c>
      <c r="F23" s="3">
        <f>CALCULATION!K26</f>
        <v>117249.14598240002</v>
      </c>
      <c r="G23" s="3" t="str">
        <f>CALCULATION!L26</f>
        <v>kg</v>
      </c>
      <c r="H23" s="75">
        <f>CALCULATION!M26</f>
        <v>2023</v>
      </c>
    </row>
    <row r="24" spans="1:8" x14ac:dyDescent="0.3">
      <c r="A24">
        <f>CALCULATION!A27</f>
        <v>59</v>
      </c>
      <c r="B24" t="str">
        <f>CALCULATION!B27</f>
        <v>Pr</v>
      </c>
      <c r="C24" t="str">
        <f>CALCULATION!C27</f>
        <v>Praseodymium</v>
      </c>
      <c r="D24" s="3">
        <f>CALCULATION!J27</f>
        <v>11524.960911816681</v>
      </c>
      <c r="E24" s="3">
        <f>CALCULATION!H27</f>
        <v>0</v>
      </c>
      <c r="F24" s="3">
        <f>CALCULATION!K27</f>
        <v>11524.960911816681</v>
      </c>
      <c r="G24" s="3" t="str">
        <f>CALCULATION!L27</f>
        <v>t</v>
      </c>
      <c r="H24" s="75">
        <f>CALCULATION!M27</f>
        <v>2023</v>
      </c>
    </row>
    <row r="25" spans="1:8" x14ac:dyDescent="0.3">
      <c r="A25">
        <f>CALCULATION!A28</f>
        <v>34</v>
      </c>
      <c r="B25" t="str">
        <f>CALCULATION!B28</f>
        <v>Se</v>
      </c>
      <c r="C25" t="str">
        <f>CALCULATION!C28</f>
        <v>Selenium</v>
      </c>
      <c r="D25" s="3">
        <f>CALCULATION!J28</f>
        <v>3530</v>
      </c>
      <c r="E25" s="3">
        <f>CALCULATION!H28</f>
        <v>0</v>
      </c>
      <c r="F25" s="3">
        <f>CALCULATION!K28</f>
        <v>3530</v>
      </c>
      <c r="G25" s="3" t="str">
        <f>CALCULATION!L28</f>
        <v>t</v>
      </c>
      <c r="H25" s="75">
        <f>CALCULATION!M28</f>
        <v>2023</v>
      </c>
    </row>
    <row r="26" spans="1:8" x14ac:dyDescent="0.3">
      <c r="A26">
        <f>CALCULATION!A29</f>
        <v>14</v>
      </c>
      <c r="B26" t="str">
        <f>CALCULATION!B29</f>
        <v>Si</v>
      </c>
      <c r="C26" t="str">
        <f>CALCULATION!C29</f>
        <v>Silicon</v>
      </c>
      <c r="D26" s="3">
        <f>CALCULATION!J29</f>
        <v>4280</v>
      </c>
      <c r="E26" s="3">
        <f>CALCULATION!H29</f>
        <v>0</v>
      </c>
      <c r="F26" s="3">
        <f>CALCULATION!K29</f>
        <v>4280</v>
      </c>
      <c r="G26" s="3" t="str">
        <f>CALCULATION!L29</f>
        <v>kt</v>
      </c>
      <c r="H26" s="75">
        <f>CALCULATION!M29</f>
        <v>2023</v>
      </c>
    </row>
    <row r="27" spans="1:8" x14ac:dyDescent="0.3">
      <c r="A27">
        <f>CALCULATION!A30</f>
        <v>47</v>
      </c>
      <c r="B27" t="str">
        <f>CALCULATION!B30</f>
        <v>Ag</v>
      </c>
      <c r="C27" t="str">
        <f>CALCULATION!C30</f>
        <v>Silver</v>
      </c>
      <c r="D27" s="3">
        <f>CALCULATION!J30</f>
        <v>21465.201166180759</v>
      </c>
      <c r="E27" s="3">
        <f>CALCULATION!H30</f>
        <v>0</v>
      </c>
      <c r="F27" s="3">
        <f>CALCULATION!K30</f>
        <v>21465.201166180759</v>
      </c>
      <c r="G27" s="3" t="str">
        <f>CALCULATION!L30</f>
        <v>t</v>
      </c>
      <c r="H27" s="75">
        <f>CALCULATION!M30</f>
        <v>2023</v>
      </c>
    </row>
    <row r="28" spans="1:8" x14ac:dyDescent="0.3">
      <c r="A28">
        <f>CALCULATION!A31</f>
        <v>73</v>
      </c>
      <c r="B28" t="str">
        <f>CALCULATION!B31</f>
        <v>Ta</v>
      </c>
      <c r="C28" t="str">
        <f>CALCULATION!C31</f>
        <v>Tantalum</v>
      </c>
      <c r="D28" s="3">
        <f>CALCULATION!J31</f>
        <v>1321.2811387900356</v>
      </c>
      <c r="E28" s="3">
        <f>CALCULATION!H31</f>
        <v>0</v>
      </c>
      <c r="F28" s="3">
        <f>CALCULATION!K31</f>
        <v>1321.2811387900356</v>
      </c>
      <c r="G28" s="3" t="str">
        <f>CALCULATION!L31</f>
        <v>t</v>
      </c>
      <c r="H28" s="75">
        <f>CALCULATION!M31</f>
        <v>2023</v>
      </c>
    </row>
    <row r="29" spans="1:8" x14ac:dyDescent="0.3">
      <c r="A29">
        <f>CALCULATION!A32</f>
        <v>52</v>
      </c>
      <c r="B29" t="str">
        <f>CALCULATION!B32</f>
        <v>Te</v>
      </c>
      <c r="C29" t="str">
        <f>CALCULATION!C32</f>
        <v>Tellurium</v>
      </c>
      <c r="D29" s="3">
        <f>CALCULATION!J32</f>
        <v>944</v>
      </c>
      <c r="E29" s="3">
        <f>CALCULATION!H32</f>
        <v>0</v>
      </c>
      <c r="F29" s="3">
        <f>CALCULATION!K32</f>
        <v>944</v>
      </c>
      <c r="G29" s="3" t="str">
        <f>CALCULATION!L32</f>
        <v>t</v>
      </c>
      <c r="H29" s="75">
        <f>CALCULATION!M32</f>
        <v>2023</v>
      </c>
    </row>
    <row r="30" spans="1:8" x14ac:dyDescent="0.3">
      <c r="A30">
        <f>CALCULATION!A33</f>
        <v>65</v>
      </c>
      <c r="B30" t="str">
        <f>CALCULATION!B33</f>
        <v>Tb</v>
      </c>
      <c r="C30" t="str">
        <f>CALCULATION!C33</f>
        <v>Terbium</v>
      </c>
      <c r="D30" s="3">
        <f>CALCULATION!J33</f>
        <v>375.94611437685285</v>
      </c>
      <c r="E30" s="3">
        <f>CALCULATION!H33</f>
        <v>0</v>
      </c>
      <c r="F30" s="3">
        <f>CALCULATION!K33</f>
        <v>375.94611437685285</v>
      </c>
      <c r="G30" s="3" t="str">
        <f>CALCULATION!L33</f>
        <v>t</v>
      </c>
      <c r="H30" s="75">
        <f>CALCULATION!M33</f>
        <v>2023</v>
      </c>
    </row>
    <row r="31" spans="1:8" x14ac:dyDescent="0.3">
      <c r="A31">
        <f>CALCULATION!A34</f>
        <v>50</v>
      </c>
      <c r="B31" t="str">
        <f>CALCULATION!B34</f>
        <v>Sn</v>
      </c>
      <c r="C31" t="str">
        <f>CALCULATION!C34</f>
        <v>Tin</v>
      </c>
      <c r="D31" s="3">
        <f>CALCULATION!J34</f>
        <v>269117.6470588235</v>
      </c>
      <c r="E31" s="3">
        <f>CALCULATION!H34</f>
        <v>0</v>
      </c>
      <c r="F31" s="3">
        <f>CALCULATION!K34</f>
        <v>269117.6470588235</v>
      </c>
      <c r="G31" s="3" t="str">
        <f>CALCULATION!L34</f>
        <v>t</v>
      </c>
      <c r="H31" s="75">
        <f>CALCULATION!M34</f>
        <v>2023</v>
      </c>
    </row>
    <row r="32" spans="1:8" x14ac:dyDescent="0.3">
      <c r="A32">
        <f>CALCULATION!A35</f>
        <v>22</v>
      </c>
      <c r="B32" t="str">
        <f>CALCULATION!B35</f>
        <v>Ti</v>
      </c>
      <c r="C32" t="str">
        <f>CALCULATION!C35</f>
        <v>Titanium</v>
      </c>
      <c r="D32" s="3">
        <f>CALCULATION!J35</f>
        <v>320000</v>
      </c>
      <c r="E32" s="3">
        <f>CALCULATION!H35</f>
        <v>0</v>
      </c>
      <c r="F32" s="3">
        <f>CALCULATION!K35</f>
        <v>320000</v>
      </c>
      <c r="G32" s="3" t="str">
        <f>CALCULATION!L35</f>
        <v>t</v>
      </c>
      <c r="H32" s="75">
        <f>CALCULATION!M35</f>
        <v>2023</v>
      </c>
    </row>
    <row r="33" spans="1:8" x14ac:dyDescent="0.3">
      <c r="A33">
        <f>CALCULATION!A36</f>
        <v>74</v>
      </c>
      <c r="B33" t="str">
        <f>CALCULATION!B36</f>
        <v>W</v>
      </c>
      <c r="C33" t="str">
        <f>CALCULATION!C36</f>
        <v>Tungsten</v>
      </c>
      <c r="D33" s="3">
        <f>CALCULATION!J36</f>
        <v>70414.28571428571</v>
      </c>
      <c r="E33" s="3">
        <f>CALCULATION!H36</f>
        <v>0</v>
      </c>
      <c r="F33" s="3">
        <f>CALCULATION!K36</f>
        <v>70414.28571428571</v>
      </c>
      <c r="G33" s="3" t="str">
        <f>CALCULATION!L36</f>
        <v>t</v>
      </c>
      <c r="H33" s="75">
        <f>CALCULATION!M36</f>
        <v>2023</v>
      </c>
    </row>
    <row r="34" spans="1:8" x14ac:dyDescent="0.3">
      <c r="A34">
        <f>CALCULATION!A37</f>
        <v>23</v>
      </c>
      <c r="B34" t="str">
        <f>CALCULATION!B37</f>
        <v>V</v>
      </c>
      <c r="C34" t="str">
        <f>CALCULATION!C37</f>
        <v>Vanadium</v>
      </c>
      <c r="D34" s="3">
        <f>CALCULATION!J37</f>
        <v>34186.11317024957</v>
      </c>
      <c r="E34" s="3">
        <f>CALCULATION!H37</f>
        <v>0</v>
      </c>
      <c r="F34" s="3">
        <f>CALCULATION!K37</f>
        <v>34186.11317024957</v>
      </c>
      <c r="G34" s="3" t="str">
        <f>CALCULATION!L37</f>
        <v>t</v>
      </c>
      <c r="H34" s="75">
        <f>CALCULATION!M37</f>
        <v>2023</v>
      </c>
    </row>
    <row r="35" spans="1:8" x14ac:dyDescent="0.3">
      <c r="A35">
        <f>CALCULATION!A38</f>
        <v>39</v>
      </c>
      <c r="B35" t="str">
        <f>CALCULATION!B38</f>
        <v>Y</v>
      </c>
      <c r="C35" t="str">
        <f>CALCULATION!C38</f>
        <v>Yttrium</v>
      </c>
      <c r="D35" s="3">
        <f>CALCULATION!J38</f>
        <v>7909.375497068766</v>
      </c>
      <c r="E35" s="3">
        <f>CALCULATION!H38</f>
        <v>0</v>
      </c>
      <c r="F35" s="3">
        <f>CALCULATION!K38</f>
        <v>7909.375497068766</v>
      </c>
      <c r="G35" s="3" t="str">
        <f>CALCULATION!L38</f>
        <v>t</v>
      </c>
      <c r="H35" s="75">
        <f>CALCULATION!M38</f>
        <v>2023</v>
      </c>
    </row>
    <row r="36" spans="1:8" x14ac:dyDescent="0.3">
      <c r="A36">
        <f>CALCULATION!A39</f>
        <v>30</v>
      </c>
      <c r="B36" t="str">
        <f>CALCULATION!B39</f>
        <v>Zn</v>
      </c>
      <c r="C36" t="str">
        <f>CALCULATION!C39</f>
        <v>Zinc</v>
      </c>
      <c r="D36" s="3">
        <f>CALCULATION!J39</f>
        <v>12487.199999999999</v>
      </c>
      <c r="E36" s="3">
        <f>CALCULATION!H39</f>
        <v>1016.4</v>
      </c>
      <c r="F36" s="3">
        <f>CALCULATION!K39</f>
        <v>13503.599999999999</v>
      </c>
      <c r="G36" s="3" t="str">
        <f>CALCULATION!L39</f>
        <v>kt</v>
      </c>
      <c r="H36" s="75">
        <f>CALCULATION!M39</f>
        <v>2023</v>
      </c>
    </row>
    <row r="37" spans="1:8" x14ac:dyDescent="0.3">
      <c r="A37">
        <f>CALCULATION!A40</f>
        <v>40</v>
      </c>
      <c r="B37" t="str">
        <f>CALCULATION!B40</f>
        <v>Zr</v>
      </c>
      <c r="C37" t="str">
        <f>CALCULATION!C40</f>
        <v>Zirconium</v>
      </c>
      <c r="D37" s="3">
        <f>CALCULATION!J40</f>
        <v>1231.2</v>
      </c>
      <c r="E37" s="3">
        <f>CALCULATION!H40</f>
        <v>0</v>
      </c>
      <c r="F37" s="3">
        <f>CALCULATION!K40</f>
        <v>1231.2</v>
      </c>
      <c r="G37" s="3" t="str">
        <f>CALCULATION!L40</f>
        <v>kt</v>
      </c>
      <c r="H37" s="75">
        <f>CALCULATION!M40</f>
        <v>2023</v>
      </c>
    </row>
    <row r="38" spans="1:8" x14ac:dyDescent="0.3">
      <c r="A38" s="1"/>
      <c r="B38" s="1"/>
      <c r="C38" s="1"/>
      <c r="D38" s="1"/>
      <c r="E38" s="1"/>
    </row>
    <row r="39" spans="1:8" x14ac:dyDescent="0.3">
      <c r="A39" s="1"/>
      <c r="B39" s="1"/>
      <c r="C39" s="1"/>
      <c r="D39" s="1"/>
      <c r="E3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4469-5E3A-4948-8107-53C71797A891}">
  <dimension ref="A1:X6"/>
  <sheetViews>
    <sheetView workbookViewId="0"/>
  </sheetViews>
  <sheetFormatPr defaultRowHeight="14.4" x14ac:dyDescent="0.3"/>
  <cols>
    <col min="1" max="1" width="74.33203125" bestFit="1" customWidth="1"/>
  </cols>
  <sheetData>
    <row r="1" spans="1:24" x14ac:dyDescent="0.3">
      <c r="A1" s="67" t="s">
        <v>1061</v>
      </c>
      <c r="B1" s="61">
        <v>2018</v>
      </c>
      <c r="C1" s="61">
        <v>2019</v>
      </c>
      <c r="D1" s="61">
        <v>2020</v>
      </c>
      <c r="E1" s="61">
        <v>2021</v>
      </c>
      <c r="F1" s="61">
        <v>2022</v>
      </c>
      <c r="G1" s="59">
        <v>2023</v>
      </c>
      <c r="H1" s="59">
        <v>2024</v>
      </c>
      <c r="I1" s="59">
        <v>2025</v>
      </c>
      <c r="J1" s="59">
        <v>2026</v>
      </c>
      <c r="K1" s="59">
        <v>2027</v>
      </c>
      <c r="L1" s="59">
        <v>2028</v>
      </c>
      <c r="M1" s="59">
        <v>2029</v>
      </c>
      <c r="N1" s="59">
        <v>2030</v>
      </c>
      <c r="O1" s="59">
        <v>2031</v>
      </c>
      <c r="P1" s="59">
        <v>2032</v>
      </c>
      <c r="Q1" s="59">
        <v>2033</v>
      </c>
      <c r="R1" s="59">
        <v>2034</v>
      </c>
      <c r="S1" s="59">
        <v>2035</v>
      </c>
      <c r="T1" s="59">
        <v>2036</v>
      </c>
      <c r="U1" s="59">
        <v>2037</v>
      </c>
      <c r="V1" s="59">
        <v>2038</v>
      </c>
      <c r="W1" s="59">
        <v>2039</v>
      </c>
      <c r="X1" s="59">
        <v>2040</v>
      </c>
    </row>
    <row r="2" spans="1:24" x14ac:dyDescent="0.3">
      <c r="A2" s="60" t="s">
        <v>1</v>
      </c>
      <c r="B2" s="62">
        <v>0.35</v>
      </c>
      <c r="C2" s="62">
        <v>0.35</v>
      </c>
      <c r="D2" s="62">
        <v>0.35</v>
      </c>
      <c r="E2" s="62">
        <v>0.36</v>
      </c>
      <c r="F2" s="62">
        <v>0.36</v>
      </c>
      <c r="G2" s="58">
        <v>0.37</v>
      </c>
      <c r="H2" s="58">
        <v>0.38</v>
      </c>
      <c r="I2" s="58">
        <v>0.39</v>
      </c>
      <c r="J2" s="58">
        <v>0.39</v>
      </c>
      <c r="K2" s="58">
        <v>0.4</v>
      </c>
      <c r="L2" s="58">
        <v>0.41</v>
      </c>
      <c r="M2" s="58">
        <v>0.41</v>
      </c>
      <c r="N2" s="58">
        <v>0.42</v>
      </c>
      <c r="O2" s="58">
        <v>0.42</v>
      </c>
      <c r="P2" s="58">
        <v>0.43</v>
      </c>
      <c r="Q2" s="58">
        <v>0.43</v>
      </c>
      <c r="R2" s="58">
        <v>0.44</v>
      </c>
      <c r="S2" s="58">
        <v>0.44</v>
      </c>
      <c r="T2" s="58">
        <v>0.45</v>
      </c>
      <c r="U2" s="58">
        <v>0.46</v>
      </c>
      <c r="V2" s="58">
        <v>0.46</v>
      </c>
      <c r="W2" s="58">
        <v>0.47</v>
      </c>
      <c r="X2" s="58">
        <v>0.47</v>
      </c>
    </row>
    <row r="3" spans="1:24" x14ac:dyDescent="0.3">
      <c r="A3" s="60" t="s">
        <v>6</v>
      </c>
      <c r="B3" s="62">
        <v>0.06</v>
      </c>
      <c r="C3" s="62">
        <v>7.0000000000000007E-2</v>
      </c>
      <c r="D3" s="62">
        <v>7.0000000000000007E-2</v>
      </c>
      <c r="E3" s="62">
        <v>0.08</v>
      </c>
      <c r="F3" s="62">
        <v>0.09</v>
      </c>
      <c r="G3" s="58">
        <v>0.1</v>
      </c>
      <c r="H3" s="58">
        <v>0.11</v>
      </c>
      <c r="I3" s="58">
        <v>0.11</v>
      </c>
      <c r="J3" s="58">
        <v>0.11</v>
      </c>
      <c r="K3" s="58">
        <v>0.12</v>
      </c>
      <c r="L3" s="58">
        <v>0.12</v>
      </c>
      <c r="M3" s="58">
        <v>0.12</v>
      </c>
      <c r="N3" s="58">
        <v>0.12</v>
      </c>
      <c r="O3" s="58">
        <v>0.13</v>
      </c>
      <c r="P3" s="58">
        <v>0.14000000000000001</v>
      </c>
      <c r="Q3" s="58">
        <v>0.15</v>
      </c>
      <c r="R3" s="58">
        <v>0.16</v>
      </c>
      <c r="S3" s="58">
        <v>0.18</v>
      </c>
      <c r="T3" s="58">
        <v>0.19</v>
      </c>
      <c r="U3" s="58">
        <v>0.21</v>
      </c>
      <c r="V3" s="58">
        <v>0.24</v>
      </c>
      <c r="W3" s="58">
        <v>0.26</v>
      </c>
      <c r="X3" s="58">
        <v>0.28999999999999998</v>
      </c>
    </row>
    <row r="4" spans="1:24" x14ac:dyDescent="0.3">
      <c r="A4" s="60" t="s">
        <v>7</v>
      </c>
      <c r="B4" s="62">
        <v>0.17</v>
      </c>
      <c r="C4" s="62">
        <v>0.17</v>
      </c>
      <c r="D4" s="62">
        <v>0.17</v>
      </c>
      <c r="E4" s="62">
        <v>0.17</v>
      </c>
      <c r="F4" s="62">
        <v>0.17</v>
      </c>
      <c r="G4" s="58">
        <v>0.17</v>
      </c>
      <c r="H4" s="58">
        <v>0.17</v>
      </c>
      <c r="I4" s="58">
        <v>0.17</v>
      </c>
      <c r="J4" s="58">
        <v>0.17</v>
      </c>
      <c r="K4" s="58">
        <v>0.17</v>
      </c>
      <c r="L4" s="58">
        <v>0.17</v>
      </c>
      <c r="M4" s="58">
        <v>0.17</v>
      </c>
      <c r="N4" s="58">
        <v>0.18</v>
      </c>
      <c r="O4" s="58">
        <v>0.18</v>
      </c>
      <c r="P4" s="58">
        <v>0.19</v>
      </c>
      <c r="Q4" s="58">
        <v>0.2</v>
      </c>
      <c r="R4" s="58">
        <v>0.21</v>
      </c>
      <c r="S4" s="58">
        <v>0.22</v>
      </c>
      <c r="T4" s="58">
        <v>0.23</v>
      </c>
      <c r="U4" s="58">
        <v>0.24</v>
      </c>
      <c r="V4" s="58">
        <v>0.26</v>
      </c>
      <c r="W4" s="58">
        <v>0.27</v>
      </c>
      <c r="X4" s="58">
        <v>0.28000000000000003</v>
      </c>
    </row>
    <row r="5" spans="1:24" x14ac:dyDescent="0.3">
      <c r="A5" s="60" t="s">
        <v>16</v>
      </c>
      <c r="B5" s="62">
        <v>0.01</v>
      </c>
      <c r="C5" s="62">
        <v>0.01</v>
      </c>
      <c r="D5" s="62">
        <v>0.01</v>
      </c>
      <c r="E5" s="62">
        <v>0.01</v>
      </c>
      <c r="F5" s="62">
        <v>0.02</v>
      </c>
      <c r="G5" s="58">
        <v>0.03</v>
      </c>
      <c r="H5" s="58">
        <v>0.06</v>
      </c>
      <c r="I5" s="58">
        <v>0.06</v>
      </c>
      <c r="J5" s="58">
        <v>0.06</v>
      </c>
      <c r="K5" s="58">
        <v>0.06</v>
      </c>
      <c r="L5" s="58">
        <v>0.05</v>
      </c>
      <c r="M5" s="58">
        <v>0.05</v>
      </c>
      <c r="N5" s="58">
        <v>0.05</v>
      </c>
      <c r="O5" s="58">
        <v>0.05</v>
      </c>
      <c r="P5" s="58">
        <v>0.05</v>
      </c>
      <c r="Q5" s="58">
        <v>0.06</v>
      </c>
      <c r="R5" s="58">
        <v>0.06</v>
      </c>
      <c r="S5" s="58">
        <v>7.0000000000000007E-2</v>
      </c>
      <c r="T5" s="58">
        <v>7.0000000000000007E-2</v>
      </c>
      <c r="U5" s="58">
        <v>0.08</v>
      </c>
      <c r="V5" s="58">
        <v>0.09</v>
      </c>
      <c r="W5" s="58">
        <v>0.1</v>
      </c>
      <c r="X5" s="58">
        <v>0.12</v>
      </c>
    </row>
    <row r="6" spans="1:24" x14ac:dyDescent="0.3">
      <c r="A6" s="60" t="s">
        <v>20</v>
      </c>
      <c r="B6" s="62">
        <v>0</v>
      </c>
      <c r="C6" s="62">
        <v>0</v>
      </c>
      <c r="D6" s="62">
        <v>0</v>
      </c>
      <c r="E6" s="62">
        <v>0</v>
      </c>
      <c r="F6" s="62">
        <v>0.01</v>
      </c>
      <c r="G6" s="58">
        <v>0.01</v>
      </c>
      <c r="H6" s="58">
        <v>0.02</v>
      </c>
      <c r="I6" s="58">
        <v>0.02</v>
      </c>
      <c r="J6" s="58">
        <v>0.02</v>
      </c>
      <c r="K6" s="58">
        <v>0.02</v>
      </c>
      <c r="L6" s="58">
        <v>0.03</v>
      </c>
      <c r="M6" s="58">
        <v>0.03</v>
      </c>
      <c r="N6" s="58">
        <v>0.03</v>
      </c>
      <c r="O6" s="58">
        <v>0.03</v>
      </c>
      <c r="P6" s="58">
        <v>0.04</v>
      </c>
      <c r="Q6" s="58">
        <v>0.04</v>
      </c>
      <c r="R6" s="58">
        <v>0.04</v>
      </c>
      <c r="S6" s="58">
        <v>0.05</v>
      </c>
      <c r="T6" s="58">
        <v>0.06</v>
      </c>
      <c r="U6" s="58">
        <v>0.06</v>
      </c>
      <c r="V6" s="58">
        <v>7.0000000000000007E-2</v>
      </c>
      <c r="W6" s="58">
        <v>0.09</v>
      </c>
      <c r="X6" s="58">
        <v>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67E1-A271-4C3F-9089-E56C701C72E2}">
  <dimension ref="A1:O40"/>
  <sheetViews>
    <sheetView topLeftCell="A13" workbookViewId="0">
      <selection activeCell="C26" sqref="C26"/>
    </sheetView>
  </sheetViews>
  <sheetFormatPr defaultRowHeight="14.4" x14ac:dyDescent="0.3"/>
  <cols>
    <col min="1" max="1" width="3" bestFit="1" customWidth="1"/>
    <col min="2" max="2" width="7.33203125" bestFit="1" customWidth="1"/>
    <col min="3" max="3" width="14.6640625" bestFit="1" customWidth="1"/>
    <col min="4" max="4" width="16.21875" bestFit="1" customWidth="1"/>
    <col min="5" max="5" width="13.6640625" bestFit="1" customWidth="1"/>
    <col min="6" max="6" width="17" style="3" bestFit="1" customWidth="1"/>
    <col min="7" max="7" width="14.21875" style="3" bestFit="1" customWidth="1"/>
    <col min="8" max="8" width="20.44140625" style="3" bestFit="1" customWidth="1"/>
    <col min="9" max="9" width="15.44140625" style="65" bestFit="1" customWidth="1"/>
    <col min="10" max="10" width="25.88671875" style="73" bestFit="1" customWidth="1"/>
    <col min="11" max="11" width="24.21875" style="3" customWidth="1"/>
    <col min="12" max="12" width="4.5546875" bestFit="1" customWidth="1"/>
    <col min="13" max="13" width="5" bestFit="1" customWidth="1"/>
    <col min="14" max="14" width="27.5546875" bestFit="1" customWidth="1"/>
    <col min="15" max="15" width="21.6640625" bestFit="1" customWidth="1"/>
  </cols>
  <sheetData>
    <row r="1" spans="1:15" x14ac:dyDescent="0.3">
      <c r="A1" s="26" t="s">
        <v>524</v>
      </c>
      <c r="B1" s="27" t="s">
        <v>525</v>
      </c>
      <c r="C1" s="27" t="s">
        <v>1061</v>
      </c>
      <c r="D1" s="27" t="s">
        <v>523</v>
      </c>
      <c r="E1" s="28" t="s">
        <v>547</v>
      </c>
      <c r="F1" s="63" t="s">
        <v>1098</v>
      </c>
      <c r="G1" s="63" t="s">
        <v>1100</v>
      </c>
      <c r="H1" s="63" t="s">
        <v>1051</v>
      </c>
      <c r="I1" s="64" t="s">
        <v>1058</v>
      </c>
      <c r="J1" s="72" t="s">
        <v>1099</v>
      </c>
      <c r="K1" s="63" t="s">
        <v>1096</v>
      </c>
      <c r="L1" s="1" t="s">
        <v>674</v>
      </c>
      <c r="M1" s="1" t="s">
        <v>1030</v>
      </c>
      <c r="N1" s="1" t="s">
        <v>1050</v>
      </c>
      <c r="O1" s="1" t="s">
        <v>1053</v>
      </c>
    </row>
    <row r="2" spans="1:15" x14ac:dyDescent="0.3">
      <c r="A2" s="29">
        <v>13</v>
      </c>
      <c r="B2" t="s">
        <v>526</v>
      </c>
      <c r="C2" t="s">
        <v>1</v>
      </c>
      <c r="D2" t="s">
        <v>557</v>
      </c>
      <c r="E2" s="30"/>
      <c r="F2" s="3">
        <f>MCS!G6</f>
        <v>70000</v>
      </c>
      <c r="G2" s="3" t="s">
        <v>1101</v>
      </c>
      <c r="H2" s="3">
        <f>(F2*IEA_secondary_prod!G2)/(1-IEA_secondary_prod!G2)</f>
        <v>41111.111111111109</v>
      </c>
      <c r="J2" s="73">
        <f>F2</f>
        <v>70000</v>
      </c>
      <c r="K2" s="3">
        <f>H2+J2</f>
        <v>111111.11111111111</v>
      </c>
      <c r="L2" t="s">
        <v>120</v>
      </c>
      <c r="M2">
        <v>2023</v>
      </c>
      <c r="N2" t="s">
        <v>1036</v>
      </c>
      <c r="O2" t="s">
        <v>1059</v>
      </c>
    </row>
    <row r="3" spans="1:15" x14ac:dyDescent="0.3">
      <c r="A3" s="29">
        <v>33</v>
      </c>
      <c r="B3" t="s">
        <v>550</v>
      </c>
      <c r="C3" t="s">
        <v>2</v>
      </c>
      <c r="D3" t="s">
        <v>556</v>
      </c>
      <c r="E3" s="30"/>
      <c r="F3" s="3">
        <f>MCS!G14</f>
        <v>61500</v>
      </c>
      <c r="G3" s="3" t="s">
        <v>1101</v>
      </c>
      <c r="J3" s="73">
        <f>F3</f>
        <v>61500</v>
      </c>
      <c r="K3" s="3">
        <f t="shared" ref="K3:K40" si="0">H3+J3</f>
        <v>61500</v>
      </c>
      <c r="L3" t="s">
        <v>121</v>
      </c>
      <c r="M3">
        <v>2023</v>
      </c>
      <c r="N3" t="s">
        <v>1036</v>
      </c>
    </row>
    <row r="4" spans="1:15" x14ac:dyDescent="0.3">
      <c r="A4" s="29">
        <v>5</v>
      </c>
      <c r="B4" t="s">
        <v>548</v>
      </c>
      <c r="C4" t="s">
        <v>3</v>
      </c>
      <c r="D4" t="s">
        <v>556</v>
      </c>
      <c r="E4" s="30"/>
      <c r="F4" s="3">
        <f>MCS!G29</f>
        <v>3938</v>
      </c>
      <c r="G4" s="3" t="s">
        <v>1102</v>
      </c>
      <c r="I4" s="65">
        <f>ChartierPoncelet!D6</f>
        <v>0.77600000000000002</v>
      </c>
      <c r="J4" s="73">
        <f>F4*I4</f>
        <v>3055.8879999999999</v>
      </c>
      <c r="K4" s="3">
        <f t="shared" si="0"/>
        <v>3055.8879999999999</v>
      </c>
      <c r="L4" t="s">
        <v>120</v>
      </c>
      <c r="M4">
        <v>2023</v>
      </c>
      <c r="N4" t="s">
        <v>1047</v>
      </c>
    </row>
    <row r="5" spans="1:15" x14ac:dyDescent="0.3">
      <c r="A5" s="29">
        <v>48</v>
      </c>
      <c r="B5" t="s">
        <v>551</v>
      </c>
      <c r="C5" t="s">
        <v>4</v>
      </c>
      <c r="D5" t="s">
        <v>556</v>
      </c>
      <c r="E5" s="30"/>
      <c r="F5" s="3">
        <f>MCS!G34</f>
        <v>24100</v>
      </c>
      <c r="G5" s="3" t="s">
        <v>1101</v>
      </c>
      <c r="J5" s="73">
        <f>F5</f>
        <v>24100</v>
      </c>
      <c r="K5" s="3">
        <f t="shared" si="0"/>
        <v>24100</v>
      </c>
      <c r="L5" t="s">
        <v>121</v>
      </c>
      <c r="M5">
        <v>2023</v>
      </c>
      <c r="N5" t="s">
        <v>1036</v>
      </c>
    </row>
    <row r="6" spans="1:15" x14ac:dyDescent="0.3">
      <c r="A6" s="29">
        <v>24</v>
      </c>
      <c r="B6" t="s">
        <v>527</v>
      </c>
      <c r="C6" t="s">
        <v>5</v>
      </c>
      <c r="D6" t="s">
        <v>558</v>
      </c>
      <c r="E6" s="30"/>
      <c r="F6" s="3">
        <f>MYB!H3</f>
        <v>15700</v>
      </c>
      <c r="G6" s="3" t="s">
        <v>1101</v>
      </c>
      <c r="J6" s="73">
        <f>F6</f>
        <v>15700</v>
      </c>
      <c r="K6" s="3">
        <f t="shared" si="0"/>
        <v>15700</v>
      </c>
      <c r="L6" s="3" t="s">
        <v>120</v>
      </c>
      <c r="M6">
        <v>2023</v>
      </c>
      <c r="N6" t="s">
        <v>1044</v>
      </c>
    </row>
    <row r="7" spans="1:15" x14ac:dyDescent="0.3">
      <c r="A7" s="29">
        <v>27</v>
      </c>
      <c r="B7" t="s">
        <v>528</v>
      </c>
      <c r="C7" t="s">
        <v>6</v>
      </c>
      <c r="D7" t="s">
        <v>556</v>
      </c>
      <c r="E7" s="30"/>
      <c r="F7" s="3">
        <f>MYB!H4</f>
        <v>180000</v>
      </c>
      <c r="G7" s="3" t="s">
        <v>1101</v>
      </c>
      <c r="H7" s="3">
        <f>F7*IEA_secondary_prod!G3/(1-IEA_secondary_prod!G3)</f>
        <v>20000</v>
      </c>
      <c r="J7" s="73">
        <f>F7</f>
        <v>180000</v>
      </c>
      <c r="K7" s="3">
        <f t="shared" si="0"/>
        <v>200000</v>
      </c>
      <c r="L7" s="3" t="s">
        <v>121</v>
      </c>
      <c r="M7">
        <v>2023</v>
      </c>
      <c r="N7" t="s">
        <v>1044</v>
      </c>
      <c r="O7" t="s">
        <v>1059</v>
      </c>
    </row>
    <row r="8" spans="1:15" x14ac:dyDescent="0.3">
      <c r="A8" s="29">
        <v>29</v>
      </c>
      <c r="B8" t="s">
        <v>529</v>
      </c>
      <c r="C8" t="s">
        <v>7</v>
      </c>
      <c r="D8" t="s">
        <v>557</v>
      </c>
      <c r="E8" s="30"/>
      <c r="F8" s="3">
        <f>MCS!G56*(1-(MYB!H16/MYB!H12))</f>
        <v>22712.399999999998</v>
      </c>
      <c r="G8" s="3" t="s">
        <v>1101</v>
      </c>
      <c r="H8" s="3">
        <f>MCS!G56*(MYB!H16/MYB!H12)</f>
        <v>4287.6000000000004</v>
      </c>
      <c r="J8" s="73">
        <f>F8</f>
        <v>22712.399999999998</v>
      </c>
      <c r="K8" s="3">
        <f t="shared" si="0"/>
        <v>27000</v>
      </c>
      <c r="L8" t="s">
        <v>120</v>
      </c>
      <c r="M8">
        <v>2023</v>
      </c>
      <c r="N8" t="s">
        <v>1052</v>
      </c>
      <c r="O8" t="s">
        <v>1059</v>
      </c>
    </row>
    <row r="9" spans="1:15" x14ac:dyDescent="0.3">
      <c r="A9" s="29">
        <v>66</v>
      </c>
      <c r="B9" t="s">
        <v>530</v>
      </c>
      <c r="C9" t="s">
        <v>8</v>
      </c>
      <c r="D9" t="s">
        <v>556</v>
      </c>
      <c r="E9" s="30" t="s">
        <v>560</v>
      </c>
      <c r="F9" s="3">
        <f>MCS!G160*Lundaev!C38</f>
        <v>2079.4292597063518</v>
      </c>
      <c r="G9" s="3" t="s">
        <v>1102</v>
      </c>
      <c r="I9" s="65">
        <f>ChartierPoncelet!D15</f>
        <v>0.6621811901957797</v>
      </c>
      <c r="J9" s="73">
        <f>F9*I9</f>
        <v>1376.9589421202811</v>
      </c>
      <c r="K9" s="3">
        <f t="shared" si="0"/>
        <v>1376.9589421202811</v>
      </c>
      <c r="L9" t="s">
        <v>121</v>
      </c>
      <c r="M9">
        <v>2023</v>
      </c>
      <c r="N9" t="s">
        <v>1046</v>
      </c>
    </row>
    <row r="10" spans="1:15" x14ac:dyDescent="0.3">
      <c r="A10" s="29" t="s">
        <v>41</v>
      </c>
      <c r="B10" t="s">
        <v>41</v>
      </c>
      <c r="C10" s="74" t="s">
        <v>9</v>
      </c>
      <c r="D10" t="s">
        <v>41</v>
      </c>
      <c r="E10" s="30"/>
      <c r="F10" s="3">
        <f>MYB!H17*(MCS!G118/MCS!G117)</f>
        <v>5028686.8686868688</v>
      </c>
      <c r="G10" s="3" t="s">
        <v>1101</v>
      </c>
      <c r="J10" s="73">
        <f>F10</f>
        <v>5028686.8686868688</v>
      </c>
      <c r="K10" s="3">
        <f t="shared" si="0"/>
        <v>5028686.8686868688</v>
      </c>
      <c r="L10" t="s">
        <v>121</v>
      </c>
      <c r="M10">
        <v>2023</v>
      </c>
      <c r="N10" t="s">
        <v>1044</v>
      </c>
      <c r="O10" t="s">
        <v>1054</v>
      </c>
    </row>
    <row r="11" spans="1:15" x14ac:dyDescent="0.3">
      <c r="A11" s="29" t="s">
        <v>41</v>
      </c>
      <c r="B11" t="s">
        <v>41</v>
      </c>
      <c r="C11" s="74" t="s">
        <v>10</v>
      </c>
      <c r="D11" t="s">
        <v>41</v>
      </c>
      <c r="E11" s="30"/>
      <c r="F11" s="3">
        <f>MYB!H30*(MCS!G131/MCS!G129)</f>
        <v>2156593.4065934066</v>
      </c>
      <c r="G11" s="3" t="s">
        <v>1101</v>
      </c>
      <c r="J11" s="73">
        <f>F11</f>
        <v>2156593.4065934066</v>
      </c>
      <c r="K11" s="3">
        <f t="shared" si="0"/>
        <v>2156593.4065934066</v>
      </c>
      <c r="L11" t="s">
        <v>121</v>
      </c>
      <c r="M11">
        <v>2023</v>
      </c>
      <c r="N11" t="s">
        <v>1044</v>
      </c>
      <c r="O11" t="s">
        <v>1055</v>
      </c>
    </row>
    <row r="12" spans="1:15" x14ac:dyDescent="0.3">
      <c r="A12" s="29">
        <v>31</v>
      </c>
      <c r="B12" t="s">
        <v>531</v>
      </c>
      <c r="C12" t="s">
        <v>11</v>
      </c>
      <c r="D12" t="s">
        <v>556</v>
      </c>
      <c r="E12" s="30"/>
      <c r="F12" s="3">
        <f>MCS!G69</f>
        <v>633000</v>
      </c>
      <c r="G12" s="3" t="s">
        <v>1101</v>
      </c>
      <c r="J12" s="73">
        <f>F12</f>
        <v>633000</v>
      </c>
      <c r="K12" s="3">
        <f t="shared" si="0"/>
        <v>633000</v>
      </c>
      <c r="L12" t="s">
        <v>518</v>
      </c>
      <c r="M12">
        <v>2023</v>
      </c>
      <c r="N12" t="s">
        <v>1036</v>
      </c>
    </row>
    <row r="13" spans="1:15" x14ac:dyDescent="0.3">
      <c r="A13" s="29" t="s">
        <v>41</v>
      </c>
      <c r="B13" t="s">
        <v>41</v>
      </c>
      <c r="C13" t="s">
        <v>12</v>
      </c>
      <c r="D13" t="s">
        <v>41</v>
      </c>
      <c r="E13" s="30"/>
      <c r="F13" s="3">
        <f>MCS!G80</f>
        <v>1530000</v>
      </c>
      <c r="G13" s="3" t="s">
        <v>1101</v>
      </c>
      <c r="J13" s="73">
        <f>F13</f>
        <v>1530000</v>
      </c>
      <c r="K13" s="3">
        <f t="shared" si="0"/>
        <v>1530000</v>
      </c>
      <c r="L13" t="s">
        <v>121</v>
      </c>
      <c r="M13">
        <v>2023</v>
      </c>
      <c r="N13" t="s">
        <v>1047</v>
      </c>
      <c r="O13" t="s">
        <v>1097</v>
      </c>
    </row>
    <row r="14" spans="1:15" x14ac:dyDescent="0.3">
      <c r="A14">
        <v>72</v>
      </c>
      <c r="B14" t="s">
        <v>1019</v>
      </c>
      <c r="C14" s="74" t="s">
        <v>1020</v>
      </c>
      <c r="E14" s="30"/>
      <c r="F14" s="3" t="s">
        <v>1113</v>
      </c>
      <c r="G14" s="3" t="s">
        <v>1113</v>
      </c>
      <c r="H14" s="3" t="s">
        <v>1113</v>
      </c>
      <c r="I14" s="65" t="s">
        <v>1113</v>
      </c>
      <c r="J14" s="73" t="s">
        <v>1113</v>
      </c>
      <c r="K14" s="3" t="s">
        <v>1113</v>
      </c>
      <c r="L14" s="3" t="s">
        <v>1113</v>
      </c>
      <c r="M14">
        <v>2023</v>
      </c>
      <c r="O14" t="s">
        <v>1112</v>
      </c>
    </row>
    <row r="15" spans="1:15" x14ac:dyDescent="0.3">
      <c r="A15" s="29">
        <v>49</v>
      </c>
      <c r="B15" t="s">
        <v>532</v>
      </c>
      <c r="C15" t="s">
        <v>13</v>
      </c>
      <c r="D15" t="s">
        <v>556</v>
      </c>
      <c r="E15" s="30"/>
      <c r="F15" s="3">
        <f>MCS!G86</f>
        <v>1020</v>
      </c>
      <c r="G15" s="3" t="s">
        <v>1101</v>
      </c>
      <c r="J15" s="73">
        <f>F15</f>
        <v>1020</v>
      </c>
      <c r="K15" s="3">
        <f t="shared" si="0"/>
        <v>1020</v>
      </c>
      <c r="L15" t="s">
        <v>121</v>
      </c>
      <c r="M15">
        <v>2023</v>
      </c>
      <c r="N15" t="s">
        <v>1036</v>
      </c>
    </row>
    <row r="16" spans="1:15" x14ac:dyDescent="0.3">
      <c r="A16" s="29">
        <v>77</v>
      </c>
      <c r="B16" t="s">
        <v>533</v>
      </c>
      <c r="C16" t="s">
        <v>14</v>
      </c>
      <c r="D16" t="s">
        <v>559</v>
      </c>
      <c r="E16" s="30" t="s">
        <v>1115</v>
      </c>
      <c r="F16" s="3">
        <f>MYB!H21*(MCS!G149/MCS!G150)</f>
        <v>3394.8275862068967</v>
      </c>
      <c r="G16" s="3" t="s">
        <v>1102</v>
      </c>
      <c r="I16" s="65">
        <f>ChartierPoncelet!D26</f>
        <v>0.57576959999999999</v>
      </c>
      <c r="J16" s="73">
        <f>F16*I16</f>
        <v>1954.6385213793105</v>
      </c>
      <c r="K16" s="3">
        <f t="shared" si="0"/>
        <v>1954.6385213793105</v>
      </c>
      <c r="L16" t="s">
        <v>518</v>
      </c>
      <c r="M16">
        <v>2023</v>
      </c>
      <c r="N16" t="s">
        <v>1118</v>
      </c>
      <c r="O16" t="s">
        <v>1111</v>
      </c>
    </row>
    <row r="17" spans="1:15" x14ac:dyDescent="0.3">
      <c r="A17">
        <v>57</v>
      </c>
      <c r="B17" t="s">
        <v>983</v>
      </c>
      <c r="C17" t="s">
        <v>1009</v>
      </c>
      <c r="E17" s="30" t="s">
        <v>560</v>
      </c>
      <c r="F17" s="3">
        <f>MCS!G160*Lundaev!C30</f>
        <v>99536.865698503476</v>
      </c>
      <c r="G17" s="3" t="s">
        <v>1102</v>
      </c>
      <c r="I17" s="65">
        <f>ChartierPoncelet!D27</f>
        <v>0.60009236780630426</v>
      </c>
      <c r="J17" s="73">
        <f>F17*I17</f>
        <v>59731.313421033061</v>
      </c>
      <c r="K17" s="3">
        <f t="shared" si="0"/>
        <v>59731.313421033061</v>
      </c>
      <c r="L17" t="s">
        <v>121</v>
      </c>
      <c r="M17">
        <v>2023</v>
      </c>
      <c r="N17" t="s">
        <v>1110</v>
      </c>
    </row>
    <row r="18" spans="1:15" x14ac:dyDescent="0.3">
      <c r="A18" s="29">
        <v>82</v>
      </c>
      <c r="B18" t="s">
        <v>552</v>
      </c>
      <c r="C18" t="s">
        <v>15</v>
      </c>
      <c r="D18" t="s">
        <v>557</v>
      </c>
      <c r="E18" s="30"/>
      <c r="F18" s="3">
        <f>MYB!H24*(MCS!G102/MCS!G103)</f>
        <v>4164237.6681614351</v>
      </c>
      <c r="G18" s="3" t="s">
        <v>1101</v>
      </c>
      <c r="H18" s="3">
        <f>MYB!H25*(MCS!G102/MCS!G103)</f>
        <v>7280067.2645739913</v>
      </c>
      <c r="J18" s="73">
        <f>F18</f>
        <v>4164237.6681614351</v>
      </c>
      <c r="K18" s="3">
        <f t="shared" si="0"/>
        <v>11444304.932735426</v>
      </c>
      <c r="L18" t="s">
        <v>120</v>
      </c>
      <c r="M18">
        <v>2023</v>
      </c>
      <c r="N18" t="s">
        <v>1044</v>
      </c>
      <c r="O18" t="s">
        <v>1056</v>
      </c>
    </row>
    <row r="19" spans="1:15" x14ac:dyDescent="0.3">
      <c r="A19" s="29">
        <v>3</v>
      </c>
      <c r="B19" t="s">
        <v>534</v>
      </c>
      <c r="C19" t="s">
        <v>16</v>
      </c>
      <c r="D19" t="s">
        <v>556</v>
      </c>
      <c r="E19" s="30"/>
      <c r="F19" s="3">
        <f>MCS!G109</f>
        <v>204000</v>
      </c>
      <c r="G19" s="3" t="s">
        <v>1102</v>
      </c>
      <c r="H19" s="3">
        <f>(F19*IEA_secondary_prod!G5)/(1-IEA_secondary_prod!G5)</f>
        <v>6309.2783505154639</v>
      </c>
      <c r="I19" s="65">
        <f>ChartierPoncelet!D28</f>
        <v>0.69917047091553897</v>
      </c>
      <c r="J19" s="73">
        <f>F19*I19</f>
        <v>142630.77606676996</v>
      </c>
      <c r="K19" s="3">
        <f t="shared" si="0"/>
        <v>148940.05441728543</v>
      </c>
      <c r="L19" t="s">
        <v>121</v>
      </c>
      <c r="M19">
        <v>2023</v>
      </c>
      <c r="N19" t="s">
        <v>1047</v>
      </c>
      <c r="O19" t="s">
        <v>1059</v>
      </c>
    </row>
    <row r="20" spans="1:15" x14ac:dyDescent="0.3">
      <c r="A20">
        <v>12</v>
      </c>
      <c r="B20" t="s">
        <v>995</v>
      </c>
      <c r="C20" t="s">
        <v>996</v>
      </c>
      <c r="E20" s="30"/>
      <c r="F20" s="3">
        <f>MCS!G113</f>
        <v>900</v>
      </c>
      <c r="G20" s="3" t="s">
        <v>1101</v>
      </c>
      <c r="J20" s="73">
        <f>F20</f>
        <v>900</v>
      </c>
      <c r="K20" s="3">
        <f t="shared" si="0"/>
        <v>900</v>
      </c>
      <c r="L20" t="s">
        <v>120</v>
      </c>
      <c r="M20">
        <v>2023</v>
      </c>
      <c r="N20" t="s">
        <v>1036</v>
      </c>
    </row>
    <row r="21" spans="1:15" x14ac:dyDescent="0.3">
      <c r="A21" s="29">
        <v>25</v>
      </c>
      <c r="B21" t="s">
        <v>535</v>
      </c>
      <c r="C21" t="s">
        <v>17</v>
      </c>
      <c r="D21" t="s">
        <v>558</v>
      </c>
      <c r="E21" s="30"/>
      <c r="F21" s="3">
        <f>MCS!G118</f>
        <v>19600</v>
      </c>
      <c r="G21" s="3" t="s">
        <v>1102</v>
      </c>
      <c r="I21" s="65">
        <f>ChartierPoncelet!D31</f>
        <v>0.7</v>
      </c>
      <c r="J21" s="73">
        <f>F21*I21</f>
        <v>13720</v>
      </c>
      <c r="K21" s="3">
        <f t="shared" si="0"/>
        <v>13720</v>
      </c>
      <c r="L21" t="s">
        <v>120</v>
      </c>
      <c r="M21">
        <v>2023</v>
      </c>
      <c r="N21" t="s">
        <v>1047</v>
      </c>
    </row>
    <row r="22" spans="1:15" x14ac:dyDescent="0.3">
      <c r="A22" s="29">
        <v>42</v>
      </c>
      <c r="B22" t="s">
        <v>536</v>
      </c>
      <c r="C22" t="s">
        <v>18</v>
      </c>
      <c r="D22" t="s">
        <v>558</v>
      </c>
      <c r="E22" s="30"/>
      <c r="F22" s="3">
        <f>MCS!G125</f>
        <v>248000</v>
      </c>
      <c r="G22" s="3" t="s">
        <v>1102</v>
      </c>
      <c r="I22" s="65">
        <f>ChartierPoncelet!D32</f>
        <v>0.6</v>
      </c>
      <c r="J22" s="73">
        <f>F22*I22</f>
        <v>148800</v>
      </c>
      <c r="K22" s="3">
        <f t="shared" si="0"/>
        <v>148800</v>
      </c>
      <c r="L22" t="s">
        <v>121</v>
      </c>
      <c r="M22">
        <v>2023</v>
      </c>
      <c r="N22" t="s">
        <v>1047</v>
      </c>
    </row>
    <row r="23" spans="1:15" x14ac:dyDescent="0.3">
      <c r="A23" s="29">
        <v>60</v>
      </c>
      <c r="B23" t="s">
        <v>537</v>
      </c>
      <c r="C23" t="s">
        <v>19</v>
      </c>
      <c r="D23" t="s">
        <v>556</v>
      </c>
      <c r="E23" s="30" t="s">
        <v>560</v>
      </c>
      <c r="F23" s="3">
        <f>MCS!G160*Lundaev!C33</f>
        <v>63181.46969284545</v>
      </c>
      <c r="G23" s="3" t="s">
        <v>1102</v>
      </c>
      <c r="I23" s="65">
        <f>ChartierPoncelet!D34</f>
        <v>0.59854391398996776</v>
      </c>
      <c r="J23" s="73">
        <f>F23*I23</f>
        <v>37816.884161594244</v>
      </c>
      <c r="K23" s="3">
        <f t="shared" si="0"/>
        <v>37816.884161594244</v>
      </c>
      <c r="L23" t="s">
        <v>121</v>
      </c>
      <c r="M23">
        <v>2023</v>
      </c>
      <c r="N23" t="s">
        <v>1046</v>
      </c>
    </row>
    <row r="24" spans="1:15" x14ac:dyDescent="0.3">
      <c r="A24" s="29">
        <v>28</v>
      </c>
      <c r="B24" t="s">
        <v>538</v>
      </c>
      <c r="C24" t="s">
        <v>20</v>
      </c>
      <c r="D24" t="s">
        <v>558</v>
      </c>
      <c r="E24" s="30"/>
      <c r="F24" s="3">
        <f>MYB!H28*(MCS!G131/MCS!G129)</f>
        <v>3516483.5164835164</v>
      </c>
      <c r="G24" s="3" t="s">
        <v>1101</v>
      </c>
      <c r="H24" s="3">
        <f>(F24*IEA_secondary_prod!G6)/(1-IEA_secondary_prod!G6)</f>
        <v>35520.035520035526</v>
      </c>
      <c r="J24" s="73">
        <f>F24</f>
        <v>3516483.5164835164</v>
      </c>
      <c r="K24" s="3">
        <f t="shared" si="0"/>
        <v>3552003.5520035517</v>
      </c>
      <c r="L24" t="s">
        <v>121</v>
      </c>
      <c r="M24">
        <v>2023</v>
      </c>
      <c r="N24" t="s">
        <v>1044</v>
      </c>
      <c r="O24" t="s">
        <v>1060</v>
      </c>
    </row>
    <row r="25" spans="1:15" x14ac:dyDescent="0.3">
      <c r="A25" s="29">
        <v>41</v>
      </c>
      <c r="B25" t="s">
        <v>1004</v>
      </c>
      <c r="C25" t="s">
        <v>398</v>
      </c>
      <c r="E25" s="30"/>
      <c r="F25" s="3">
        <f>MCS!G134</f>
        <v>110000</v>
      </c>
      <c r="G25" s="3" t="s">
        <v>1102</v>
      </c>
      <c r="I25" s="65">
        <f>ChartierPoncelet!D33</f>
        <v>0.71</v>
      </c>
      <c r="J25" s="73">
        <f>F25*I25</f>
        <v>78100</v>
      </c>
      <c r="K25" s="3">
        <f t="shared" ref="K25" si="1">H25+J25</f>
        <v>78100</v>
      </c>
      <c r="L25" t="s">
        <v>121</v>
      </c>
      <c r="M25">
        <v>2023</v>
      </c>
      <c r="N25" t="s">
        <v>1047</v>
      </c>
    </row>
    <row r="26" spans="1:15" x14ac:dyDescent="0.3">
      <c r="A26" s="29" t="s">
        <v>41</v>
      </c>
      <c r="B26" t="s">
        <v>41</v>
      </c>
      <c r="C26" t="s">
        <v>1115</v>
      </c>
      <c r="D26" t="s">
        <v>559</v>
      </c>
      <c r="E26" s="30" t="s">
        <v>1115</v>
      </c>
      <c r="F26" s="3">
        <f>(MCS!G149-MYB!H22)</f>
        <v>171940</v>
      </c>
      <c r="G26" s="3" t="s">
        <v>1102</v>
      </c>
      <c r="I26" s="65">
        <f>ChartierPoncelet!D40</f>
        <v>0.68191896000000007</v>
      </c>
      <c r="J26" s="73">
        <f>F26*I26</f>
        <v>117249.14598240002</v>
      </c>
      <c r="K26" s="3">
        <f t="shared" si="0"/>
        <v>117249.14598240002</v>
      </c>
      <c r="L26" t="s">
        <v>518</v>
      </c>
      <c r="M26">
        <v>2023</v>
      </c>
      <c r="N26" t="s">
        <v>1114</v>
      </c>
      <c r="O26" t="s">
        <v>1116</v>
      </c>
    </row>
    <row r="27" spans="1:15" x14ac:dyDescent="0.3">
      <c r="A27" s="29">
        <v>59</v>
      </c>
      <c r="B27" t="s">
        <v>540</v>
      </c>
      <c r="C27" t="s">
        <v>22</v>
      </c>
      <c r="D27" t="s">
        <v>556</v>
      </c>
      <c r="E27" s="30" t="s">
        <v>560</v>
      </c>
      <c r="F27" s="3">
        <f>MCS!G160*Lundaev!C32</f>
        <v>19355.859296756102</v>
      </c>
      <c r="G27" s="3" t="s">
        <v>1102</v>
      </c>
      <c r="I27" s="65">
        <f>ChartierPoncelet!D39</f>
        <v>0.5954249168234127</v>
      </c>
      <c r="J27" s="73">
        <f>F27*I27</f>
        <v>11524.960911816681</v>
      </c>
      <c r="K27" s="3">
        <f t="shared" si="0"/>
        <v>11524.960911816681</v>
      </c>
      <c r="L27" t="s">
        <v>121</v>
      </c>
      <c r="M27">
        <v>2023</v>
      </c>
      <c r="N27" t="s">
        <v>1046</v>
      </c>
    </row>
    <row r="28" spans="1:15" x14ac:dyDescent="0.3">
      <c r="A28" s="29">
        <v>34</v>
      </c>
      <c r="B28" t="s">
        <v>549</v>
      </c>
      <c r="C28" t="s">
        <v>23</v>
      </c>
      <c r="D28" t="s">
        <v>556</v>
      </c>
      <c r="E28" s="30"/>
      <c r="F28" s="3">
        <f>MCS!G168</f>
        <v>3530</v>
      </c>
      <c r="G28" s="3" t="s">
        <v>1101</v>
      </c>
      <c r="J28" s="73">
        <f>F28</f>
        <v>3530</v>
      </c>
      <c r="K28" s="3">
        <f t="shared" si="0"/>
        <v>3530</v>
      </c>
      <c r="L28" t="s">
        <v>121</v>
      </c>
      <c r="M28">
        <v>2023</v>
      </c>
      <c r="N28" t="s">
        <v>1036</v>
      </c>
    </row>
    <row r="29" spans="1:15" x14ac:dyDescent="0.3">
      <c r="A29" s="29">
        <v>14</v>
      </c>
      <c r="B29" t="s">
        <v>541</v>
      </c>
      <c r="C29" t="s">
        <v>24</v>
      </c>
      <c r="D29" t="s">
        <v>557</v>
      </c>
      <c r="E29" s="30"/>
      <c r="F29" s="3">
        <f>MCS!G173</f>
        <v>4280</v>
      </c>
      <c r="G29" s="3" t="s">
        <v>1101</v>
      </c>
      <c r="J29" s="73">
        <f>F29</f>
        <v>4280</v>
      </c>
      <c r="K29" s="3">
        <f t="shared" si="0"/>
        <v>4280</v>
      </c>
      <c r="L29" t="s">
        <v>120</v>
      </c>
      <c r="M29">
        <v>2023</v>
      </c>
      <c r="N29" t="s">
        <v>1036</v>
      </c>
    </row>
    <row r="30" spans="1:15" x14ac:dyDescent="0.3">
      <c r="A30" s="29">
        <v>47</v>
      </c>
      <c r="B30" t="s">
        <v>553</v>
      </c>
      <c r="C30" t="s">
        <v>25</v>
      </c>
      <c r="D30" t="s">
        <v>559</v>
      </c>
      <c r="E30" s="30"/>
      <c r="F30" s="3">
        <f>MCS!G176</f>
        <v>25476</v>
      </c>
      <c r="G30" s="3" t="s">
        <v>1102</v>
      </c>
      <c r="I30" s="65">
        <f>ChartierPoncelet!D2</f>
        <v>0.8425655976676385</v>
      </c>
      <c r="J30" s="73">
        <f>F30*I30</f>
        <v>21465.201166180759</v>
      </c>
      <c r="K30" s="3">
        <f t="shared" si="0"/>
        <v>21465.201166180759</v>
      </c>
      <c r="L30" t="s">
        <v>121</v>
      </c>
      <c r="M30">
        <v>2023</v>
      </c>
      <c r="N30" t="s">
        <v>1083</v>
      </c>
      <c r="O30" t="s">
        <v>1084</v>
      </c>
    </row>
    <row r="31" spans="1:15" x14ac:dyDescent="0.3">
      <c r="A31">
        <v>73</v>
      </c>
      <c r="B31" t="s">
        <v>1021</v>
      </c>
      <c r="C31" t="s">
        <v>478</v>
      </c>
      <c r="E31" s="30"/>
      <c r="F31" s="3">
        <f>MCS!G191</f>
        <v>2040</v>
      </c>
      <c r="G31" s="3" t="s">
        <v>1102</v>
      </c>
      <c r="I31" s="65">
        <f>ChartierPoncelet!D51</f>
        <v>0.64768683274021355</v>
      </c>
      <c r="J31" s="73">
        <f>F31*I31</f>
        <v>1321.2811387900356</v>
      </c>
      <c r="K31" s="3">
        <f t="shared" si="0"/>
        <v>1321.2811387900356</v>
      </c>
      <c r="L31" t="s">
        <v>121</v>
      </c>
      <c r="M31">
        <v>2023</v>
      </c>
      <c r="N31" t="s">
        <v>1047</v>
      </c>
    </row>
    <row r="32" spans="1:15" x14ac:dyDescent="0.3">
      <c r="A32" s="29">
        <v>52</v>
      </c>
      <c r="B32" t="s">
        <v>542</v>
      </c>
      <c r="C32" t="s">
        <v>26</v>
      </c>
      <c r="D32" t="s">
        <v>556</v>
      </c>
      <c r="E32" s="30"/>
      <c r="F32" s="3">
        <f>MCS!G192</f>
        <v>944</v>
      </c>
      <c r="G32" s="3" t="s">
        <v>1101</v>
      </c>
      <c r="J32" s="73">
        <f>F32</f>
        <v>944</v>
      </c>
      <c r="K32" s="3">
        <f t="shared" si="0"/>
        <v>944</v>
      </c>
      <c r="L32" t="s">
        <v>121</v>
      </c>
      <c r="M32">
        <v>2023</v>
      </c>
      <c r="N32" t="s">
        <v>1036</v>
      </c>
    </row>
    <row r="33" spans="1:15" x14ac:dyDescent="0.3">
      <c r="A33" s="29">
        <v>65</v>
      </c>
      <c r="B33" t="s">
        <v>543</v>
      </c>
      <c r="C33" t="s">
        <v>27</v>
      </c>
      <c r="D33" t="s">
        <v>556</v>
      </c>
      <c r="E33" s="30" t="s">
        <v>560</v>
      </c>
      <c r="F33" s="3">
        <f>MCS!G160*Lundaev!C37</f>
        <v>581.87097497510183</v>
      </c>
      <c r="G33" s="3" t="s">
        <v>1102</v>
      </c>
      <c r="I33" s="65">
        <f>ChartierPoncelet!D52</f>
        <v>0.646098758222026</v>
      </c>
      <c r="J33" s="73">
        <f>F33*I33</f>
        <v>375.94611437685285</v>
      </c>
      <c r="K33" s="3">
        <f t="shared" si="0"/>
        <v>375.94611437685285</v>
      </c>
      <c r="L33" t="s">
        <v>121</v>
      </c>
      <c r="M33">
        <v>2023</v>
      </c>
      <c r="N33" t="s">
        <v>1046</v>
      </c>
    </row>
    <row r="34" spans="1:15" x14ac:dyDescent="0.3">
      <c r="A34" s="29">
        <v>50</v>
      </c>
      <c r="B34" t="s">
        <v>544</v>
      </c>
      <c r="C34" t="s">
        <v>28</v>
      </c>
      <c r="D34" t="s">
        <v>557</v>
      </c>
      <c r="E34" s="30"/>
      <c r="F34" s="3">
        <f>MCS!G195</f>
        <v>305000</v>
      </c>
      <c r="G34" s="3" t="s">
        <v>1102</v>
      </c>
      <c r="I34" s="65">
        <f>ChartierPoncelet!D49</f>
        <v>0.88235294117647056</v>
      </c>
      <c r="J34" s="73">
        <f>F34*I34</f>
        <v>269117.6470588235</v>
      </c>
      <c r="K34" s="3">
        <f t="shared" si="0"/>
        <v>269117.6470588235</v>
      </c>
      <c r="L34" t="s">
        <v>121</v>
      </c>
      <c r="M34">
        <v>2023</v>
      </c>
      <c r="N34" t="s">
        <v>1047</v>
      </c>
    </row>
    <row r="35" spans="1:15" x14ac:dyDescent="0.3">
      <c r="A35">
        <v>22</v>
      </c>
      <c r="B35" t="s">
        <v>999</v>
      </c>
      <c r="C35" t="s">
        <v>711</v>
      </c>
      <c r="E35" s="30"/>
      <c r="F35" s="3">
        <f>MCS!G200</f>
        <v>320000</v>
      </c>
      <c r="G35" s="3" t="s">
        <v>1101</v>
      </c>
      <c r="J35" s="73">
        <f>F35</f>
        <v>320000</v>
      </c>
      <c r="K35" s="3">
        <f>F35</f>
        <v>320000</v>
      </c>
      <c r="L35" t="s">
        <v>121</v>
      </c>
      <c r="M35">
        <v>2023</v>
      </c>
      <c r="N35" t="s">
        <v>1036</v>
      </c>
    </row>
    <row r="36" spans="1:15" x14ac:dyDescent="0.3">
      <c r="A36">
        <v>74</v>
      </c>
      <c r="B36" t="s">
        <v>1022</v>
      </c>
      <c r="C36" t="s">
        <v>712</v>
      </c>
      <c r="E36" s="30"/>
      <c r="F36" s="3">
        <f>MCS!G219</f>
        <v>79500</v>
      </c>
      <c r="G36" s="3" t="s">
        <v>1102</v>
      </c>
      <c r="I36" s="65">
        <f>ChartierPoncelet!D58</f>
        <v>0.88571428571428568</v>
      </c>
      <c r="J36" s="73">
        <f>F36*I36</f>
        <v>70414.28571428571</v>
      </c>
      <c r="K36" s="3">
        <f t="shared" si="0"/>
        <v>70414.28571428571</v>
      </c>
      <c r="L36" t="s">
        <v>121</v>
      </c>
      <c r="M36">
        <v>2023</v>
      </c>
      <c r="N36" t="s">
        <v>1036</v>
      </c>
    </row>
    <row r="37" spans="1:15" x14ac:dyDescent="0.3">
      <c r="A37" s="29">
        <v>23</v>
      </c>
      <c r="B37" t="s">
        <v>545</v>
      </c>
      <c r="C37" t="s">
        <v>29</v>
      </c>
      <c r="D37" t="s">
        <v>558</v>
      </c>
      <c r="E37" s="30"/>
      <c r="F37" s="3">
        <f>MCS!G220</f>
        <v>104000</v>
      </c>
      <c r="G37" s="3" t="s">
        <v>1102</v>
      </c>
      <c r="I37" s="65">
        <f>ChartierPoncelet!D57</f>
        <v>0.32871262663701512</v>
      </c>
      <c r="J37" s="73">
        <f>F37*I37</f>
        <v>34186.11317024957</v>
      </c>
      <c r="K37" s="3">
        <f t="shared" si="0"/>
        <v>34186.11317024957</v>
      </c>
      <c r="L37" t="s">
        <v>121</v>
      </c>
      <c r="M37">
        <v>2023</v>
      </c>
      <c r="N37" t="s">
        <v>1047</v>
      </c>
    </row>
    <row r="38" spans="1:15" x14ac:dyDescent="0.3">
      <c r="A38">
        <v>39</v>
      </c>
      <c r="B38" t="s">
        <v>993</v>
      </c>
      <c r="C38" t="s">
        <v>1003</v>
      </c>
      <c r="E38" s="30" t="s">
        <v>560</v>
      </c>
      <c r="F38" s="3">
        <f>MCS!G160*Lundaev!C44</f>
        <v>11910.34521981346</v>
      </c>
      <c r="G38" s="3" t="s">
        <v>1102</v>
      </c>
      <c r="I38" s="65">
        <f>ChartierPoncelet!D59</f>
        <v>0.66407609108685794</v>
      </c>
      <c r="J38" s="73">
        <f>F38*I38</f>
        <v>7909.375497068766</v>
      </c>
      <c r="K38" s="3">
        <f t="shared" si="0"/>
        <v>7909.375497068766</v>
      </c>
      <c r="L38" t="s">
        <v>121</v>
      </c>
      <c r="M38">
        <v>2023</v>
      </c>
      <c r="N38" t="s">
        <v>1047</v>
      </c>
    </row>
    <row r="39" spans="1:15" x14ac:dyDescent="0.3">
      <c r="A39" s="29">
        <v>30</v>
      </c>
      <c r="B39" t="s">
        <v>546</v>
      </c>
      <c r="C39" t="s">
        <v>30</v>
      </c>
      <c r="D39" t="s">
        <v>557</v>
      </c>
      <c r="E39" s="30"/>
      <c r="F39" s="3">
        <f>MYB!H48*(MCS!G230/MCS!G231)</f>
        <v>12487.199999999999</v>
      </c>
      <c r="G39" s="3" t="s">
        <v>1101</v>
      </c>
      <c r="H39" s="3">
        <f>MYB!H50*(MCS!G230/MCS!G231)</f>
        <v>1016.4</v>
      </c>
      <c r="J39" s="73">
        <f>F39</f>
        <v>12487.199999999999</v>
      </c>
      <c r="K39" s="3">
        <f t="shared" si="0"/>
        <v>13503.599999999999</v>
      </c>
      <c r="L39" t="s">
        <v>120</v>
      </c>
      <c r="M39">
        <v>2023</v>
      </c>
      <c r="N39" t="s">
        <v>1044</v>
      </c>
      <c r="O39" t="s">
        <v>1057</v>
      </c>
    </row>
    <row r="40" spans="1:15" ht="15" thickBot="1" x14ac:dyDescent="0.35">
      <c r="A40" s="31">
        <v>40</v>
      </c>
      <c r="B40" s="32" t="s">
        <v>554</v>
      </c>
      <c r="C40" s="32" t="s">
        <v>31</v>
      </c>
      <c r="D40" s="32" t="s">
        <v>556</v>
      </c>
      <c r="E40" s="33"/>
      <c r="F40" s="3">
        <f>MCS!G233</f>
        <v>1440</v>
      </c>
      <c r="G40" s="3" t="s">
        <v>1102</v>
      </c>
      <c r="I40" s="65">
        <f>ChartierPoncelet!D62</f>
        <v>0.85499999999999998</v>
      </c>
      <c r="J40" s="73">
        <f>F40*I40</f>
        <v>1231.2</v>
      </c>
      <c r="K40" s="3">
        <f t="shared" si="0"/>
        <v>1231.2</v>
      </c>
      <c r="L40" t="s">
        <v>120</v>
      </c>
      <c r="M40">
        <v>2023</v>
      </c>
      <c r="N40" t="s">
        <v>1047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opLeftCell="A4" workbookViewId="0">
      <pane xSplit="5" topLeftCell="F1" activePane="topRight" state="frozen"/>
      <selection pane="topRight" activeCell="D20" sqref="D20"/>
    </sheetView>
  </sheetViews>
  <sheetFormatPr defaultRowHeight="14.4" x14ac:dyDescent="0.3"/>
  <cols>
    <col min="1" max="1" width="4.21875" bestFit="1" customWidth="1"/>
    <col min="2" max="2" width="9.5546875" bestFit="1" customWidth="1"/>
    <col min="3" max="3" width="21.6640625" bestFit="1" customWidth="1"/>
    <col min="4" max="4" width="16.21875" bestFit="1" customWidth="1"/>
    <col min="5" max="5" width="15.88671875" bestFit="1" customWidth="1"/>
    <col min="6" max="6" width="30.21875" bestFit="1" customWidth="1"/>
    <col min="7" max="7" width="20.21875" customWidth="1"/>
    <col min="8" max="8" width="25.6640625" bestFit="1" customWidth="1"/>
    <col min="9" max="9" width="28.44140625" bestFit="1" customWidth="1"/>
    <col min="10" max="10" width="58.5546875" customWidth="1"/>
    <col min="11" max="11" width="20.21875" customWidth="1"/>
    <col min="12" max="12" width="17.44140625" bestFit="1" customWidth="1"/>
    <col min="13" max="13" width="53.109375" bestFit="1" customWidth="1"/>
    <col min="14" max="14" width="85.109375" bestFit="1" customWidth="1"/>
  </cols>
  <sheetData>
    <row r="1" spans="1:14" x14ac:dyDescent="0.3">
      <c r="A1" s="26" t="s">
        <v>524</v>
      </c>
      <c r="B1" s="27" t="s">
        <v>525</v>
      </c>
      <c r="C1" s="27" t="s">
        <v>0</v>
      </c>
      <c r="D1" s="27" t="s">
        <v>523</v>
      </c>
      <c r="E1" s="28" t="s">
        <v>547</v>
      </c>
      <c r="F1" s="26" t="s">
        <v>715</v>
      </c>
      <c r="G1" s="26" t="s">
        <v>668</v>
      </c>
      <c r="H1" s="27" t="s">
        <v>716</v>
      </c>
      <c r="I1" s="27" t="s">
        <v>717</v>
      </c>
      <c r="J1" s="28" t="s">
        <v>671</v>
      </c>
      <c r="K1" s="1" t="s">
        <v>667</v>
      </c>
      <c r="L1" s="1" t="s">
        <v>670</v>
      </c>
      <c r="M1" s="1" t="s">
        <v>669</v>
      </c>
      <c r="N1" s="1" t="s">
        <v>718</v>
      </c>
    </row>
    <row r="2" spans="1:14" x14ac:dyDescent="0.3">
      <c r="A2" s="29">
        <v>13</v>
      </c>
      <c r="B2" t="s">
        <v>526</v>
      </c>
      <c r="C2" t="s">
        <v>1</v>
      </c>
      <c r="D2" t="s">
        <v>557</v>
      </c>
      <c r="E2" s="30"/>
      <c r="F2" s="29" t="s">
        <v>522</v>
      </c>
      <c r="G2" s="29" t="s">
        <v>522</v>
      </c>
      <c r="H2" t="s">
        <v>522</v>
      </c>
      <c r="I2" t="s">
        <v>522</v>
      </c>
      <c r="J2" s="30" t="s">
        <v>34</v>
      </c>
      <c r="K2" t="s">
        <v>522</v>
      </c>
      <c r="L2">
        <v>2021</v>
      </c>
      <c r="M2" t="s">
        <v>42</v>
      </c>
    </row>
    <row r="3" spans="1:14" x14ac:dyDescent="0.3">
      <c r="A3" s="29">
        <v>33</v>
      </c>
      <c r="B3" t="s">
        <v>550</v>
      </c>
      <c r="C3" t="s">
        <v>2</v>
      </c>
      <c r="D3" t="s">
        <v>556</v>
      </c>
      <c r="E3" s="30"/>
      <c r="F3" s="29" t="s">
        <v>522</v>
      </c>
      <c r="G3" s="29" t="s">
        <v>522</v>
      </c>
      <c r="H3" t="s">
        <v>555</v>
      </c>
      <c r="I3" t="s">
        <v>522</v>
      </c>
      <c r="J3" s="30" t="s">
        <v>36</v>
      </c>
      <c r="K3" t="s">
        <v>522</v>
      </c>
      <c r="L3">
        <v>2023</v>
      </c>
      <c r="M3" t="s">
        <v>46</v>
      </c>
    </row>
    <row r="4" spans="1:14" x14ac:dyDescent="0.3">
      <c r="A4" s="29">
        <v>5</v>
      </c>
      <c r="B4" t="s">
        <v>548</v>
      </c>
      <c r="C4" t="s">
        <v>3</v>
      </c>
      <c r="D4" t="s">
        <v>556</v>
      </c>
      <c r="E4" s="30"/>
      <c r="F4" s="29" t="s">
        <v>522</v>
      </c>
      <c r="G4" s="29" t="s">
        <v>522</v>
      </c>
      <c r="H4" t="s">
        <v>522</v>
      </c>
      <c r="I4" t="s">
        <v>555</v>
      </c>
      <c r="J4" s="30" t="s">
        <v>1043</v>
      </c>
      <c r="K4" t="s">
        <v>522</v>
      </c>
      <c r="L4">
        <v>2023</v>
      </c>
      <c r="M4" t="s">
        <v>47</v>
      </c>
    </row>
    <row r="5" spans="1:14" x14ac:dyDescent="0.3">
      <c r="A5" s="29">
        <v>48</v>
      </c>
      <c r="B5" t="s">
        <v>551</v>
      </c>
      <c r="C5" t="s">
        <v>4</v>
      </c>
      <c r="D5" t="s">
        <v>556</v>
      </c>
      <c r="E5" s="30"/>
      <c r="F5" s="29" t="s">
        <v>522</v>
      </c>
      <c r="G5" s="29" t="s">
        <v>522</v>
      </c>
      <c r="H5" t="s">
        <v>555</v>
      </c>
      <c r="I5" t="s">
        <v>522</v>
      </c>
      <c r="J5" s="30" t="s">
        <v>37</v>
      </c>
      <c r="K5" t="s">
        <v>522</v>
      </c>
      <c r="L5">
        <v>2022</v>
      </c>
      <c r="M5" t="s">
        <v>37</v>
      </c>
    </row>
    <row r="6" spans="1:14" x14ac:dyDescent="0.3">
      <c r="A6" s="29">
        <v>24</v>
      </c>
      <c r="B6" t="s">
        <v>527</v>
      </c>
      <c r="C6" t="s">
        <v>5</v>
      </c>
      <c r="D6" t="s">
        <v>558</v>
      </c>
      <c r="E6" s="30"/>
      <c r="F6" s="29" t="s">
        <v>522</v>
      </c>
      <c r="G6" s="29" t="s">
        <v>522</v>
      </c>
      <c r="H6" t="s">
        <v>522</v>
      </c>
      <c r="I6" t="s">
        <v>555</v>
      </c>
      <c r="J6" s="34" t="s">
        <v>38</v>
      </c>
      <c r="K6" t="s">
        <v>522</v>
      </c>
      <c r="L6">
        <v>2023</v>
      </c>
      <c r="M6" t="s">
        <v>1037</v>
      </c>
    </row>
    <row r="7" spans="1:14" x14ac:dyDescent="0.3">
      <c r="A7" s="29">
        <v>27</v>
      </c>
      <c r="B7" t="s">
        <v>528</v>
      </c>
      <c r="C7" t="s">
        <v>6</v>
      </c>
      <c r="D7" t="s">
        <v>556</v>
      </c>
      <c r="E7" s="30"/>
      <c r="F7" s="29" t="s">
        <v>522</v>
      </c>
      <c r="G7" s="29" t="s">
        <v>522</v>
      </c>
      <c r="H7" t="s">
        <v>522</v>
      </c>
      <c r="I7" t="s">
        <v>555</v>
      </c>
      <c r="J7" s="30" t="s">
        <v>39</v>
      </c>
      <c r="K7" t="s">
        <v>522</v>
      </c>
      <c r="L7">
        <v>2023</v>
      </c>
      <c r="M7" t="s">
        <v>35</v>
      </c>
    </row>
    <row r="8" spans="1:14" x14ac:dyDescent="0.3">
      <c r="A8" s="29">
        <v>29</v>
      </c>
      <c r="B8" t="s">
        <v>529</v>
      </c>
      <c r="C8" t="s">
        <v>7</v>
      </c>
      <c r="D8" t="s">
        <v>557</v>
      </c>
      <c r="E8" s="30"/>
      <c r="F8" s="29" t="s">
        <v>522</v>
      </c>
      <c r="G8" s="29" t="s">
        <v>522</v>
      </c>
      <c r="H8" t="s">
        <v>522</v>
      </c>
      <c r="I8" t="s">
        <v>522</v>
      </c>
      <c r="J8" s="30" t="s">
        <v>40</v>
      </c>
      <c r="K8" t="s">
        <v>522</v>
      </c>
      <c r="L8">
        <v>2020</v>
      </c>
      <c r="M8" t="s">
        <v>32</v>
      </c>
      <c r="N8" t="s">
        <v>33</v>
      </c>
    </row>
    <row r="9" spans="1:14" x14ac:dyDescent="0.3">
      <c r="A9" s="29">
        <v>66</v>
      </c>
      <c r="B9" t="s">
        <v>530</v>
      </c>
      <c r="C9" t="s">
        <v>8</v>
      </c>
      <c r="D9" t="s">
        <v>556</v>
      </c>
      <c r="E9" s="30" t="s">
        <v>560</v>
      </c>
      <c r="F9" s="29" t="s">
        <v>522</v>
      </c>
      <c r="G9" s="29" t="s">
        <v>666</v>
      </c>
      <c r="H9" t="s">
        <v>666</v>
      </c>
      <c r="I9" t="s">
        <v>555</v>
      </c>
      <c r="J9" s="30" t="s">
        <v>41</v>
      </c>
      <c r="K9" t="s">
        <v>666</v>
      </c>
      <c r="L9">
        <v>2020</v>
      </c>
      <c r="M9" t="s">
        <v>48</v>
      </c>
    </row>
    <row r="10" spans="1:14" x14ac:dyDescent="0.3">
      <c r="A10" s="29" t="s">
        <v>41</v>
      </c>
      <c r="B10" t="s">
        <v>41</v>
      </c>
      <c r="C10" s="57" t="s">
        <v>9</v>
      </c>
      <c r="D10" t="s">
        <v>41</v>
      </c>
      <c r="E10" s="30"/>
      <c r="F10" s="29" t="s">
        <v>555</v>
      </c>
      <c r="G10" s="29" t="s">
        <v>555</v>
      </c>
      <c r="H10" t="s">
        <v>555</v>
      </c>
      <c r="I10" t="s">
        <v>555</v>
      </c>
      <c r="J10" s="34" t="s">
        <v>41</v>
      </c>
      <c r="K10" t="s">
        <v>522</v>
      </c>
      <c r="L10">
        <v>2022</v>
      </c>
      <c r="M10" t="s">
        <v>49</v>
      </c>
      <c r="N10" t="s">
        <v>51</v>
      </c>
    </row>
    <row r="11" spans="1:14" x14ac:dyDescent="0.3">
      <c r="A11" s="29" t="s">
        <v>41</v>
      </c>
      <c r="B11" t="s">
        <v>41</v>
      </c>
      <c r="C11" s="57" t="s">
        <v>10</v>
      </c>
      <c r="D11" t="s">
        <v>41</v>
      </c>
      <c r="E11" s="30"/>
      <c r="F11" s="29" t="s">
        <v>555</v>
      </c>
      <c r="G11" s="29" t="s">
        <v>555</v>
      </c>
      <c r="H11" t="s">
        <v>555</v>
      </c>
      <c r="I11" t="s">
        <v>555</v>
      </c>
      <c r="J11" s="34" t="s">
        <v>41</v>
      </c>
      <c r="K11" t="s">
        <v>522</v>
      </c>
      <c r="M11" t="s">
        <v>42</v>
      </c>
      <c r="N11" t="s">
        <v>50</v>
      </c>
    </row>
    <row r="12" spans="1:14" x14ac:dyDescent="0.3">
      <c r="A12" s="29">
        <v>31</v>
      </c>
      <c r="B12" t="s">
        <v>531</v>
      </c>
      <c r="C12" t="s">
        <v>11</v>
      </c>
      <c r="D12" t="s">
        <v>556</v>
      </c>
      <c r="E12" s="30"/>
      <c r="F12" s="29" t="s">
        <v>522</v>
      </c>
      <c r="G12" s="29" t="s">
        <v>522</v>
      </c>
      <c r="H12" t="s">
        <v>555</v>
      </c>
      <c r="I12" t="s">
        <v>522</v>
      </c>
      <c r="J12" s="34" t="s">
        <v>1042</v>
      </c>
      <c r="K12" t="s">
        <v>522</v>
      </c>
      <c r="M12" t="s">
        <v>1038</v>
      </c>
      <c r="N12" t="s">
        <v>1041</v>
      </c>
    </row>
    <row r="13" spans="1:14" x14ac:dyDescent="0.3">
      <c r="A13" s="29" t="s">
        <v>41</v>
      </c>
      <c r="B13" t="s">
        <v>41</v>
      </c>
      <c r="C13" t="s">
        <v>12</v>
      </c>
      <c r="D13" t="s">
        <v>41</v>
      </c>
      <c r="E13" s="30"/>
      <c r="F13" s="29" t="s">
        <v>555</v>
      </c>
      <c r="G13" s="29" t="s">
        <v>522</v>
      </c>
      <c r="H13" t="s">
        <v>522</v>
      </c>
      <c r="I13" t="s">
        <v>555</v>
      </c>
      <c r="J13" s="34" t="s">
        <v>43</v>
      </c>
      <c r="K13" t="s">
        <v>522</v>
      </c>
      <c r="L13">
        <v>2022</v>
      </c>
      <c r="M13" t="s">
        <v>52</v>
      </c>
    </row>
    <row r="14" spans="1:14" x14ac:dyDescent="0.3">
      <c r="A14">
        <v>72</v>
      </c>
      <c r="B14" t="s">
        <v>1019</v>
      </c>
      <c r="C14" t="s">
        <v>1020</v>
      </c>
      <c r="E14" s="30"/>
      <c r="F14" s="29" t="s">
        <v>522</v>
      </c>
      <c r="G14" s="29" t="s">
        <v>555</v>
      </c>
      <c r="H14" t="s">
        <v>555</v>
      </c>
      <c r="I14" t="s">
        <v>555</v>
      </c>
      <c r="J14" s="34"/>
      <c r="K14" t="s">
        <v>555</v>
      </c>
    </row>
    <row r="15" spans="1:14" x14ac:dyDescent="0.3">
      <c r="A15" s="29">
        <v>49</v>
      </c>
      <c r="B15" t="s">
        <v>532</v>
      </c>
      <c r="C15" t="s">
        <v>13</v>
      </c>
      <c r="D15" t="s">
        <v>556</v>
      </c>
      <c r="E15" s="30"/>
      <c r="F15" s="29" t="s">
        <v>522</v>
      </c>
      <c r="G15" s="29" t="s">
        <v>522</v>
      </c>
      <c r="H15" t="s">
        <v>555</v>
      </c>
      <c r="I15" t="s">
        <v>522</v>
      </c>
      <c r="J15" s="30" t="s">
        <v>37</v>
      </c>
      <c r="K15" t="s">
        <v>522</v>
      </c>
      <c r="M15" t="s">
        <v>37</v>
      </c>
    </row>
    <row r="16" spans="1:14" x14ac:dyDescent="0.3">
      <c r="A16" s="29">
        <v>77</v>
      </c>
      <c r="B16" t="s">
        <v>533</v>
      </c>
      <c r="C16" t="s">
        <v>14</v>
      </c>
      <c r="D16" t="s">
        <v>559</v>
      </c>
      <c r="E16" s="30" t="s">
        <v>561</v>
      </c>
      <c r="F16" s="29" t="s">
        <v>522</v>
      </c>
      <c r="G16" s="29" t="s">
        <v>666</v>
      </c>
      <c r="H16" t="s">
        <v>666</v>
      </c>
      <c r="I16" t="s">
        <v>555</v>
      </c>
      <c r="J16" s="30" t="s">
        <v>41</v>
      </c>
      <c r="K16" t="s">
        <v>666</v>
      </c>
      <c r="M16" t="s">
        <v>53</v>
      </c>
      <c r="N16" t="s">
        <v>54</v>
      </c>
    </row>
    <row r="17" spans="1:14" x14ac:dyDescent="0.3">
      <c r="A17">
        <v>57</v>
      </c>
      <c r="B17" t="s">
        <v>983</v>
      </c>
      <c r="C17" t="s">
        <v>1009</v>
      </c>
      <c r="E17" s="30" t="s">
        <v>560</v>
      </c>
      <c r="F17" s="29" t="s">
        <v>522</v>
      </c>
      <c r="G17" s="29" t="s">
        <v>666</v>
      </c>
      <c r="H17" t="s">
        <v>666</v>
      </c>
      <c r="I17" t="s">
        <v>555</v>
      </c>
      <c r="J17" s="30"/>
      <c r="K17" t="s">
        <v>666</v>
      </c>
    </row>
    <row r="18" spans="1:14" x14ac:dyDescent="0.3">
      <c r="A18" s="29">
        <v>82</v>
      </c>
      <c r="B18" t="s">
        <v>552</v>
      </c>
      <c r="C18" t="s">
        <v>15</v>
      </c>
      <c r="D18" t="s">
        <v>557</v>
      </c>
      <c r="E18" s="30"/>
      <c r="F18" s="29" t="s">
        <v>522</v>
      </c>
      <c r="G18" s="29" t="s">
        <v>522</v>
      </c>
      <c r="H18" t="s">
        <v>522</v>
      </c>
      <c r="I18" t="s">
        <v>555</v>
      </c>
      <c r="J18" s="30" t="s">
        <v>43</v>
      </c>
      <c r="K18" t="s">
        <v>522</v>
      </c>
      <c r="M18" t="s">
        <v>35</v>
      </c>
      <c r="N18" t="s">
        <v>33</v>
      </c>
    </row>
    <row r="19" spans="1:14" x14ac:dyDescent="0.3">
      <c r="A19" s="29">
        <v>3</v>
      </c>
      <c r="B19" t="s">
        <v>534</v>
      </c>
      <c r="C19" t="s">
        <v>16</v>
      </c>
      <c r="D19" t="s">
        <v>556</v>
      </c>
      <c r="E19" s="30"/>
      <c r="F19" s="29" t="s">
        <v>522</v>
      </c>
      <c r="G19" s="29" t="s">
        <v>522</v>
      </c>
      <c r="H19" t="s">
        <v>522</v>
      </c>
      <c r="I19" t="s">
        <v>555</v>
      </c>
      <c r="J19" s="34" t="s">
        <v>43</v>
      </c>
      <c r="K19" t="s">
        <v>522</v>
      </c>
      <c r="M19" t="s">
        <v>55</v>
      </c>
      <c r="N19" t="s">
        <v>56</v>
      </c>
    </row>
    <row r="20" spans="1:14" x14ac:dyDescent="0.3">
      <c r="A20">
        <v>12</v>
      </c>
      <c r="B20" t="s">
        <v>995</v>
      </c>
      <c r="C20" t="s">
        <v>996</v>
      </c>
      <c r="E20" s="30"/>
      <c r="F20" s="29" t="s">
        <v>522</v>
      </c>
      <c r="G20" s="29" t="s">
        <v>522</v>
      </c>
      <c r="H20" t="s">
        <v>522</v>
      </c>
      <c r="I20" t="s">
        <v>522</v>
      </c>
      <c r="J20" s="34"/>
    </row>
    <row r="21" spans="1:14" x14ac:dyDescent="0.3">
      <c r="A21" s="29">
        <v>25</v>
      </c>
      <c r="B21" t="s">
        <v>535</v>
      </c>
      <c r="C21" t="s">
        <v>17</v>
      </c>
      <c r="D21" t="s">
        <v>558</v>
      </c>
      <c r="E21" s="30"/>
      <c r="F21" s="29" t="s">
        <v>522</v>
      </c>
      <c r="G21" s="29" t="s">
        <v>522</v>
      </c>
      <c r="H21" t="s">
        <v>522</v>
      </c>
      <c r="I21" t="s">
        <v>555</v>
      </c>
      <c r="J21" s="34" t="s">
        <v>43</v>
      </c>
      <c r="K21" t="s">
        <v>522</v>
      </c>
      <c r="M21" t="s">
        <v>1039</v>
      </c>
    </row>
    <row r="22" spans="1:14" x14ac:dyDescent="0.3">
      <c r="A22" s="29">
        <v>42</v>
      </c>
      <c r="B22" t="s">
        <v>536</v>
      </c>
      <c r="C22" t="s">
        <v>18</v>
      </c>
      <c r="D22" t="s">
        <v>558</v>
      </c>
      <c r="E22" s="30"/>
      <c r="F22" s="29" t="s">
        <v>522</v>
      </c>
      <c r="G22" s="29" t="s">
        <v>522</v>
      </c>
      <c r="H22" t="s">
        <v>522</v>
      </c>
      <c r="I22" t="s">
        <v>555</v>
      </c>
      <c r="J22" s="34" t="s">
        <v>43</v>
      </c>
      <c r="K22" t="s">
        <v>522</v>
      </c>
      <c r="M22" t="s">
        <v>43</v>
      </c>
    </row>
    <row r="23" spans="1:14" x14ac:dyDescent="0.3">
      <c r="A23" s="29">
        <v>60</v>
      </c>
      <c r="B23" t="s">
        <v>537</v>
      </c>
      <c r="C23" t="s">
        <v>19</v>
      </c>
      <c r="D23" t="s">
        <v>556</v>
      </c>
      <c r="E23" s="30" t="s">
        <v>560</v>
      </c>
      <c r="F23" s="29" t="s">
        <v>522</v>
      </c>
      <c r="G23" s="29" t="s">
        <v>666</v>
      </c>
      <c r="H23" t="s">
        <v>666</v>
      </c>
      <c r="I23" t="s">
        <v>555</v>
      </c>
      <c r="J23" s="34" t="s">
        <v>41</v>
      </c>
      <c r="K23" t="s">
        <v>666</v>
      </c>
      <c r="L23">
        <v>2020</v>
      </c>
      <c r="M23" t="s">
        <v>48</v>
      </c>
    </row>
    <row r="24" spans="1:14" x14ac:dyDescent="0.3">
      <c r="A24" s="29">
        <v>28</v>
      </c>
      <c r="B24" t="s">
        <v>538</v>
      </c>
      <c r="C24" t="s">
        <v>20</v>
      </c>
      <c r="D24" t="s">
        <v>558</v>
      </c>
      <c r="E24" s="30"/>
      <c r="F24" s="29" t="s">
        <v>522</v>
      </c>
      <c r="G24" s="29" t="s">
        <v>522</v>
      </c>
      <c r="H24" t="s">
        <v>522</v>
      </c>
      <c r="I24" t="s">
        <v>555</v>
      </c>
      <c r="J24" s="34" t="s">
        <v>43</v>
      </c>
      <c r="K24" t="s">
        <v>522</v>
      </c>
      <c r="L24">
        <v>2021</v>
      </c>
      <c r="M24" t="s">
        <v>57</v>
      </c>
      <c r="N24" t="s">
        <v>58</v>
      </c>
    </row>
    <row r="25" spans="1:14" x14ac:dyDescent="0.3">
      <c r="A25">
        <v>41</v>
      </c>
      <c r="B25" t="s">
        <v>1004</v>
      </c>
      <c r="C25" t="s">
        <v>398</v>
      </c>
      <c r="E25" s="30"/>
      <c r="F25" s="29" t="s">
        <v>522</v>
      </c>
      <c r="G25" s="29" t="s">
        <v>522</v>
      </c>
      <c r="H25" t="s">
        <v>522</v>
      </c>
      <c r="I25" t="s">
        <v>555</v>
      </c>
      <c r="J25" s="34"/>
      <c r="K25" t="s">
        <v>522</v>
      </c>
    </row>
    <row r="26" spans="1:14" x14ac:dyDescent="0.3">
      <c r="A26" s="29" t="s">
        <v>41</v>
      </c>
      <c r="C26" t="s">
        <v>1104</v>
      </c>
      <c r="D26" t="s">
        <v>559</v>
      </c>
      <c r="E26" s="30" t="s">
        <v>561</v>
      </c>
      <c r="F26" s="29" t="s">
        <v>522</v>
      </c>
      <c r="G26" s="29" t="s">
        <v>666</v>
      </c>
      <c r="H26" t="s">
        <v>522</v>
      </c>
      <c r="I26" t="s">
        <v>555</v>
      </c>
      <c r="J26" s="30" t="s">
        <v>43</v>
      </c>
      <c r="K26" t="s">
        <v>522</v>
      </c>
      <c r="M26" t="s">
        <v>37</v>
      </c>
    </row>
    <row r="27" spans="1:14" x14ac:dyDescent="0.3">
      <c r="A27" s="29">
        <v>59</v>
      </c>
      <c r="B27" t="s">
        <v>540</v>
      </c>
      <c r="C27" t="s">
        <v>22</v>
      </c>
      <c r="D27" t="s">
        <v>556</v>
      </c>
      <c r="E27" s="30" t="s">
        <v>560</v>
      </c>
      <c r="F27" s="29" t="s">
        <v>522</v>
      </c>
      <c r="G27" s="29" t="s">
        <v>666</v>
      </c>
      <c r="H27" t="s">
        <v>666</v>
      </c>
      <c r="I27" t="s">
        <v>555</v>
      </c>
      <c r="J27" s="34" t="s">
        <v>41</v>
      </c>
      <c r="K27" t="s">
        <v>666</v>
      </c>
      <c r="L27">
        <v>2020</v>
      </c>
      <c r="M27" t="s">
        <v>48</v>
      </c>
    </row>
    <row r="28" spans="1:14" x14ac:dyDescent="0.3">
      <c r="A28" s="29">
        <v>34</v>
      </c>
      <c r="B28" t="s">
        <v>549</v>
      </c>
      <c r="C28" t="s">
        <v>23</v>
      </c>
      <c r="D28" t="s">
        <v>556</v>
      </c>
      <c r="E28" s="30"/>
      <c r="F28" s="29" t="s">
        <v>522</v>
      </c>
      <c r="G28" s="29" t="s">
        <v>522</v>
      </c>
      <c r="H28" t="s">
        <v>555</v>
      </c>
      <c r="I28" t="s">
        <v>522</v>
      </c>
      <c r="J28" s="30" t="s">
        <v>37</v>
      </c>
      <c r="K28" t="s">
        <v>522</v>
      </c>
      <c r="M28" t="s">
        <v>37</v>
      </c>
    </row>
    <row r="29" spans="1:14" x14ac:dyDescent="0.3">
      <c r="A29" s="29">
        <v>14</v>
      </c>
      <c r="B29" t="s">
        <v>541</v>
      </c>
      <c r="C29" t="s">
        <v>24</v>
      </c>
      <c r="D29" t="s">
        <v>557</v>
      </c>
      <c r="E29" s="30"/>
      <c r="F29" s="29" t="s">
        <v>522</v>
      </c>
      <c r="G29" s="29" t="s">
        <v>522</v>
      </c>
      <c r="H29" t="s">
        <v>555</v>
      </c>
      <c r="I29" t="s">
        <v>522</v>
      </c>
      <c r="J29" s="30" t="s">
        <v>113</v>
      </c>
      <c r="K29" t="s">
        <v>522</v>
      </c>
      <c r="L29">
        <v>2022</v>
      </c>
      <c r="M29" t="s">
        <v>60</v>
      </c>
    </row>
    <row r="30" spans="1:14" x14ac:dyDescent="0.3">
      <c r="A30" s="29">
        <v>47</v>
      </c>
      <c r="B30" t="s">
        <v>553</v>
      </c>
      <c r="C30" t="s">
        <v>25</v>
      </c>
      <c r="D30" t="s">
        <v>559</v>
      </c>
      <c r="E30" s="30"/>
      <c r="F30" s="29" t="s">
        <v>522</v>
      </c>
      <c r="G30" s="29" t="s">
        <v>522</v>
      </c>
      <c r="H30" t="s">
        <v>522</v>
      </c>
      <c r="I30" t="s">
        <v>555</v>
      </c>
      <c r="J30" s="34" t="s">
        <v>43</v>
      </c>
      <c r="K30" t="s">
        <v>522</v>
      </c>
      <c r="M30" t="s">
        <v>43</v>
      </c>
    </row>
    <row r="31" spans="1:14" x14ac:dyDescent="0.3">
      <c r="A31">
        <v>73</v>
      </c>
      <c r="B31" t="s">
        <v>1021</v>
      </c>
      <c r="C31" t="s">
        <v>478</v>
      </c>
      <c r="E31" s="30"/>
      <c r="F31" s="29" t="s">
        <v>522</v>
      </c>
      <c r="G31" s="29" t="s">
        <v>522</v>
      </c>
      <c r="H31" t="s">
        <v>522</v>
      </c>
      <c r="I31" t="s">
        <v>555</v>
      </c>
      <c r="J31" s="34"/>
    </row>
    <row r="32" spans="1:14" x14ac:dyDescent="0.3">
      <c r="A32" s="29">
        <v>52</v>
      </c>
      <c r="B32" t="s">
        <v>542</v>
      </c>
      <c r="C32" t="s">
        <v>26</v>
      </c>
      <c r="D32" t="s">
        <v>556</v>
      </c>
      <c r="E32" s="30"/>
      <c r="F32" s="29" t="s">
        <v>522</v>
      </c>
      <c r="G32" s="29" t="s">
        <v>522</v>
      </c>
      <c r="H32" t="s">
        <v>555</v>
      </c>
      <c r="I32" t="s">
        <v>522</v>
      </c>
      <c r="J32" s="30" t="s">
        <v>37</v>
      </c>
      <c r="K32" t="s">
        <v>522</v>
      </c>
      <c r="M32" t="s">
        <v>37</v>
      </c>
      <c r="N32" t="s">
        <v>59</v>
      </c>
    </row>
    <row r="33" spans="1:14" x14ac:dyDescent="0.3">
      <c r="A33" s="29">
        <v>65</v>
      </c>
      <c r="B33" t="s">
        <v>543</v>
      </c>
      <c r="C33" t="s">
        <v>27</v>
      </c>
      <c r="D33" t="s">
        <v>556</v>
      </c>
      <c r="E33" s="30" t="s">
        <v>560</v>
      </c>
      <c r="F33" s="29" t="s">
        <v>522</v>
      </c>
      <c r="G33" s="29" t="s">
        <v>666</v>
      </c>
      <c r="H33" t="s">
        <v>666</v>
      </c>
      <c r="I33" t="s">
        <v>555</v>
      </c>
      <c r="J33" s="34" t="s">
        <v>41</v>
      </c>
      <c r="K33" t="s">
        <v>666</v>
      </c>
      <c r="L33">
        <v>2020</v>
      </c>
      <c r="M33" t="s">
        <v>48</v>
      </c>
    </row>
    <row r="34" spans="1:14" x14ac:dyDescent="0.3">
      <c r="A34" s="29">
        <v>50</v>
      </c>
      <c r="B34" t="s">
        <v>544</v>
      </c>
      <c r="C34" t="s">
        <v>28</v>
      </c>
      <c r="D34" t="s">
        <v>557</v>
      </c>
      <c r="E34" s="30"/>
      <c r="F34" s="29" t="s">
        <v>522</v>
      </c>
      <c r="G34" s="29" t="s">
        <v>522</v>
      </c>
      <c r="H34" t="s">
        <v>522</v>
      </c>
      <c r="I34" t="s">
        <v>555</v>
      </c>
      <c r="J34" s="30" t="s">
        <v>43</v>
      </c>
      <c r="K34" t="s">
        <v>522</v>
      </c>
      <c r="M34" t="s">
        <v>61</v>
      </c>
      <c r="N34" t="s">
        <v>33</v>
      </c>
    </row>
    <row r="35" spans="1:14" x14ac:dyDescent="0.3">
      <c r="A35">
        <v>22</v>
      </c>
      <c r="B35" t="s">
        <v>999</v>
      </c>
      <c r="C35" t="s">
        <v>711</v>
      </c>
      <c r="E35" s="30"/>
      <c r="F35" s="29" t="s">
        <v>522</v>
      </c>
      <c r="G35" s="29" t="s">
        <v>522</v>
      </c>
      <c r="H35" t="s">
        <v>522</v>
      </c>
      <c r="I35" t="s">
        <v>522</v>
      </c>
      <c r="J35" s="30"/>
    </row>
    <row r="36" spans="1:14" x14ac:dyDescent="0.3">
      <c r="A36">
        <v>74</v>
      </c>
      <c r="B36" t="s">
        <v>1022</v>
      </c>
      <c r="C36" t="s">
        <v>712</v>
      </c>
      <c r="E36" s="30"/>
      <c r="F36" s="29" t="s">
        <v>522</v>
      </c>
      <c r="G36" s="29" t="s">
        <v>522</v>
      </c>
      <c r="H36" t="s">
        <v>522</v>
      </c>
      <c r="I36" t="s">
        <v>555</v>
      </c>
      <c r="J36" s="30"/>
    </row>
    <row r="37" spans="1:14" x14ac:dyDescent="0.3">
      <c r="A37" s="29">
        <v>23</v>
      </c>
      <c r="B37" t="s">
        <v>545</v>
      </c>
      <c r="C37" t="s">
        <v>29</v>
      </c>
      <c r="D37" t="s">
        <v>558</v>
      </c>
      <c r="E37" s="30"/>
      <c r="F37" s="29" t="s">
        <v>522</v>
      </c>
      <c r="G37" s="29" t="s">
        <v>522</v>
      </c>
      <c r="H37" t="s">
        <v>522</v>
      </c>
      <c r="I37" t="s">
        <v>555</v>
      </c>
      <c r="J37" s="34" t="s">
        <v>43</v>
      </c>
      <c r="K37" t="s">
        <v>522</v>
      </c>
      <c r="M37" t="s">
        <v>62</v>
      </c>
    </row>
    <row r="38" spans="1:14" x14ac:dyDescent="0.3">
      <c r="A38">
        <v>39</v>
      </c>
      <c r="B38" t="s">
        <v>993</v>
      </c>
      <c r="C38" t="s">
        <v>1003</v>
      </c>
      <c r="E38" s="30" t="s">
        <v>560</v>
      </c>
      <c r="F38" s="29" t="s">
        <v>522</v>
      </c>
      <c r="G38" s="29" t="s">
        <v>666</v>
      </c>
      <c r="H38" t="s">
        <v>666</v>
      </c>
      <c r="I38" t="s">
        <v>555</v>
      </c>
      <c r="J38" s="34"/>
    </row>
    <row r="39" spans="1:14" x14ac:dyDescent="0.3">
      <c r="A39" s="29">
        <v>30</v>
      </c>
      <c r="B39" t="s">
        <v>546</v>
      </c>
      <c r="C39" t="s">
        <v>30</v>
      </c>
      <c r="D39" t="s">
        <v>557</v>
      </c>
      <c r="E39" s="30"/>
      <c r="F39" s="29" t="s">
        <v>522</v>
      </c>
      <c r="G39" s="29" t="s">
        <v>522</v>
      </c>
      <c r="H39" t="s">
        <v>522</v>
      </c>
      <c r="I39" t="s">
        <v>555</v>
      </c>
      <c r="J39" s="30" t="s">
        <v>44</v>
      </c>
      <c r="K39" t="s">
        <v>522</v>
      </c>
      <c r="M39" t="s">
        <v>61</v>
      </c>
      <c r="N39" t="s">
        <v>33</v>
      </c>
    </row>
    <row r="40" spans="1:14" ht="15" thickBot="1" x14ac:dyDescent="0.35">
      <c r="A40" s="31">
        <v>40</v>
      </c>
      <c r="B40" s="32" t="s">
        <v>554</v>
      </c>
      <c r="C40" s="32" t="s">
        <v>31</v>
      </c>
      <c r="D40" s="32" t="s">
        <v>556</v>
      </c>
      <c r="E40" s="33"/>
      <c r="F40" s="31" t="s">
        <v>522</v>
      </c>
      <c r="G40" s="31" t="s">
        <v>522</v>
      </c>
      <c r="H40" s="32" t="s">
        <v>522</v>
      </c>
      <c r="I40" s="32" t="s">
        <v>555</v>
      </c>
      <c r="J40" s="35" t="s">
        <v>45</v>
      </c>
      <c r="K40" t="s">
        <v>522</v>
      </c>
      <c r="M40" t="s">
        <v>43</v>
      </c>
    </row>
  </sheetData>
  <autoFilter ref="A1:N1" xr:uid="{00000000-0001-0000-0000-000000000000}">
    <sortState xmlns:xlrd2="http://schemas.microsoft.com/office/spreadsheetml/2017/richdata2" ref="A2:N32">
      <sortCondition ref="C1"/>
    </sortState>
  </autoFilter>
  <conditionalFormatting sqref="F2:K40">
    <cfRule type="cellIs" dxfId="2" priority="1" operator="equal">
      <formula>"AGG"</formula>
    </cfRule>
    <cfRule type="cellIs" dxfId="1" priority="2" operator="equal">
      <formula>"NO"</formula>
    </cfRule>
    <cfRule type="cellIs" dxfId="0" priority="3" operator="equal">
      <formula>"YES"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6960D-74C6-4FFC-A974-4CB6B44034CE}">
  <dimension ref="A1:X39"/>
  <sheetViews>
    <sheetView workbookViewId="0">
      <selection sqref="A1:XFD6"/>
    </sheetView>
  </sheetViews>
  <sheetFormatPr defaultRowHeight="14.4" x14ac:dyDescent="0.3"/>
  <cols>
    <col min="1" max="1" width="74.33203125" bestFit="1" customWidth="1"/>
    <col min="2" max="2" width="10.21875" bestFit="1" customWidth="1"/>
    <col min="3" max="3" width="6.44140625" bestFit="1" customWidth="1"/>
  </cols>
  <sheetData>
    <row r="1" spans="1:24" x14ac:dyDescent="0.3">
      <c r="A1" s="67" t="s">
        <v>1089</v>
      </c>
      <c r="B1" s="61">
        <v>2018</v>
      </c>
      <c r="C1" s="61">
        <v>2019</v>
      </c>
      <c r="D1" s="61">
        <v>2020</v>
      </c>
      <c r="E1" s="61">
        <v>2021</v>
      </c>
      <c r="F1" s="61">
        <v>2022</v>
      </c>
      <c r="G1" s="59">
        <v>2023</v>
      </c>
      <c r="H1" s="59">
        <v>2024</v>
      </c>
      <c r="I1" s="59">
        <v>2025</v>
      </c>
      <c r="J1" s="59">
        <v>2026</v>
      </c>
      <c r="K1" s="59">
        <v>2027</v>
      </c>
      <c r="L1" s="59">
        <v>2028</v>
      </c>
      <c r="M1" s="59">
        <v>2029</v>
      </c>
      <c r="N1" s="59">
        <v>2030</v>
      </c>
      <c r="O1" s="59">
        <v>2031</v>
      </c>
      <c r="P1" s="59">
        <v>2032</v>
      </c>
      <c r="Q1" s="59">
        <v>2033</v>
      </c>
      <c r="R1" s="59">
        <v>2034</v>
      </c>
      <c r="S1" s="59">
        <v>2035</v>
      </c>
      <c r="T1" s="59">
        <v>2036</v>
      </c>
      <c r="U1" s="59">
        <v>2037</v>
      </c>
      <c r="V1" s="59">
        <v>2038</v>
      </c>
      <c r="W1" s="59">
        <v>2039</v>
      </c>
      <c r="X1" s="59">
        <v>2040</v>
      </c>
    </row>
    <row r="2" spans="1:24" x14ac:dyDescent="0.3">
      <c r="A2" s="60" t="s">
        <v>1</v>
      </c>
      <c r="B2" s="62">
        <v>0.35</v>
      </c>
      <c r="C2" s="62">
        <v>0.35</v>
      </c>
      <c r="D2" s="62">
        <v>0.35</v>
      </c>
      <c r="E2" s="62">
        <v>0.36</v>
      </c>
      <c r="F2" s="62">
        <v>0.36</v>
      </c>
      <c r="G2" s="58">
        <v>0.37</v>
      </c>
      <c r="H2" s="58">
        <v>0.38</v>
      </c>
      <c r="I2" s="58">
        <v>0.39</v>
      </c>
      <c r="J2" s="58">
        <v>0.39</v>
      </c>
      <c r="K2" s="58">
        <v>0.4</v>
      </c>
      <c r="L2" s="58">
        <v>0.41</v>
      </c>
      <c r="M2" s="58">
        <v>0.41</v>
      </c>
      <c r="N2" s="58">
        <v>0.42</v>
      </c>
      <c r="O2" s="58">
        <v>0.42</v>
      </c>
      <c r="P2" s="58">
        <v>0.43</v>
      </c>
      <c r="Q2" s="58">
        <v>0.43</v>
      </c>
      <c r="R2" s="58">
        <v>0.44</v>
      </c>
      <c r="S2" s="58">
        <v>0.44</v>
      </c>
      <c r="T2" s="58">
        <v>0.45</v>
      </c>
      <c r="U2" s="58">
        <v>0.46</v>
      </c>
      <c r="V2" s="58">
        <v>0.46</v>
      </c>
      <c r="W2" s="58">
        <v>0.47</v>
      </c>
      <c r="X2" s="58">
        <v>0.47</v>
      </c>
    </row>
    <row r="3" spans="1:24" x14ac:dyDescent="0.3">
      <c r="A3" s="60" t="s">
        <v>6</v>
      </c>
      <c r="B3" s="62">
        <v>0.06</v>
      </c>
      <c r="C3" s="62">
        <v>7.0000000000000007E-2</v>
      </c>
      <c r="D3" s="62">
        <v>7.0000000000000007E-2</v>
      </c>
      <c r="E3" s="62">
        <v>0.08</v>
      </c>
      <c r="F3" s="62">
        <v>0.09</v>
      </c>
      <c r="G3" s="58">
        <v>0.1</v>
      </c>
      <c r="H3" s="58">
        <v>0.11</v>
      </c>
      <c r="I3" s="58">
        <v>0.11</v>
      </c>
      <c r="J3" s="58">
        <v>0.11</v>
      </c>
      <c r="K3" s="58">
        <v>0.12</v>
      </c>
      <c r="L3" s="58">
        <v>0.12</v>
      </c>
      <c r="M3" s="58">
        <v>0.12</v>
      </c>
      <c r="N3" s="58">
        <v>0.12</v>
      </c>
      <c r="O3" s="58">
        <v>0.13</v>
      </c>
      <c r="P3" s="58">
        <v>0.14000000000000001</v>
      </c>
      <c r="Q3" s="58">
        <v>0.15</v>
      </c>
      <c r="R3" s="58">
        <v>0.16</v>
      </c>
      <c r="S3" s="58">
        <v>0.18</v>
      </c>
      <c r="T3" s="58">
        <v>0.19</v>
      </c>
      <c r="U3" s="58">
        <v>0.21</v>
      </c>
      <c r="V3" s="58">
        <v>0.24</v>
      </c>
      <c r="W3" s="58">
        <v>0.26</v>
      </c>
      <c r="X3" s="58">
        <v>0.28999999999999998</v>
      </c>
    </row>
    <row r="4" spans="1:24" x14ac:dyDescent="0.3">
      <c r="A4" s="60" t="s">
        <v>7</v>
      </c>
      <c r="B4" s="62">
        <v>0.17</v>
      </c>
      <c r="C4" s="62">
        <v>0.17</v>
      </c>
      <c r="D4" s="62">
        <v>0.17</v>
      </c>
      <c r="E4" s="62">
        <v>0.17</v>
      </c>
      <c r="F4" s="62">
        <v>0.17</v>
      </c>
      <c r="G4" s="58">
        <v>0.17</v>
      </c>
      <c r="H4" s="58">
        <v>0.17</v>
      </c>
      <c r="I4" s="58">
        <v>0.17</v>
      </c>
      <c r="J4" s="58">
        <v>0.17</v>
      </c>
      <c r="K4" s="58">
        <v>0.17</v>
      </c>
      <c r="L4" s="58">
        <v>0.17</v>
      </c>
      <c r="M4" s="58">
        <v>0.17</v>
      </c>
      <c r="N4" s="58">
        <v>0.18</v>
      </c>
      <c r="O4" s="58">
        <v>0.18</v>
      </c>
      <c r="P4" s="58">
        <v>0.19</v>
      </c>
      <c r="Q4" s="58">
        <v>0.2</v>
      </c>
      <c r="R4" s="58">
        <v>0.21</v>
      </c>
      <c r="S4" s="58">
        <v>0.22</v>
      </c>
      <c r="T4" s="58">
        <v>0.23</v>
      </c>
      <c r="U4" s="58">
        <v>0.24</v>
      </c>
      <c r="V4" s="58">
        <v>0.26</v>
      </c>
      <c r="W4" s="58">
        <v>0.27</v>
      </c>
      <c r="X4" s="58">
        <v>0.28000000000000003</v>
      </c>
    </row>
    <row r="5" spans="1:24" x14ac:dyDescent="0.3">
      <c r="A5" s="60" t="s">
        <v>16</v>
      </c>
      <c r="B5" s="62">
        <v>0.01</v>
      </c>
      <c r="C5" s="62">
        <v>0.01</v>
      </c>
      <c r="D5" s="62">
        <v>0.01</v>
      </c>
      <c r="E5" s="62">
        <v>0.01</v>
      </c>
      <c r="F5" s="62">
        <v>0.02</v>
      </c>
      <c r="G5" s="58">
        <v>0.03</v>
      </c>
      <c r="H5" s="58">
        <v>0.06</v>
      </c>
      <c r="I5" s="58">
        <v>0.06</v>
      </c>
      <c r="J5" s="58">
        <v>0.06</v>
      </c>
      <c r="K5" s="58">
        <v>0.06</v>
      </c>
      <c r="L5" s="58">
        <v>0.05</v>
      </c>
      <c r="M5" s="58">
        <v>0.05</v>
      </c>
      <c r="N5" s="58">
        <v>0.05</v>
      </c>
      <c r="O5" s="58">
        <v>0.05</v>
      </c>
      <c r="P5" s="58">
        <v>0.05</v>
      </c>
      <c r="Q5" s="58">
        <v>0.06</v>
      </c>
      <c r="R5" s="58">
        <v>0.06</v>
      </c>
      <c r="S5" s="58">
        <v>7.0000000000000007E-2</v>
      </c>
      <c r="T5" s="58">
        <v>7.0000000000000007E-2</v>
      </c>
      <c r="U5" s="58">
        <v>0.08</v>
      </c>
      <c r="V5" s="58">
        <v>0.09</v>
      </c>
      <c r="W5" s="58">
        <v>0.1</v>
      </c>
      <c r="X5" s="58">
        <v>0.12</v>
      </c>
    </row>
    <row r="6" spans="1:24" x14ac:dyDescent="0.3">
      <c r="A6" s="60" t="s">
        <v>20</v>
      </c>
      <c r="B6" s="62">
        <v>0</v>
      </c>
      <c r="C6" s="62">
        <v>0</v>
      </c>
      <c r="D6" s="62">
        <v>0</v>
      </c>
      <c r="E6" s="62">
        <v>0</v>
      </c>
      <c r="F6" s="62">
        <v>0.01</v>
      </c>
      <c r="G6" s="58">
        <v>0.01</v>
      </c>
      <c r="H6" s="58">
        <v>0.02</v>
      </c>
      <c r="I6" s="58">
        <v>0.02</v>
      </c>
      <c r="J6" s="58">
        <v>0.02</v>
      </c>
      <c r="K6" s="58">
        <v>0.02</v>
      </c>
      <c r="L6" s="58">
        <v>0.03</v>
      </c>
      <c r="M6" s="58">
        <v>0.03</v>
      </c>
      <c r="N6" s="58">
        <v>0.03</v>
      </c>
      <c r="O6" s="58">
        <v>0.03</v>
      </c>
      <c r="P6" s="58">
        <v>0.04</v>
      </c>
      <c r="Q6" s="58">
        <v>0.04</v>
      </c>
      <c r="R6" s="58">
        <v>0.04</v>
      </c>
      <c r="S6" s="58">
        <v>0.05</v>
      </c>
      <c r="T6" s="58">
        <v>0.06</v>
      </c>
      <c r="U6" s="58">
        <v>0.06</v>
      </c>
      <c r="V6" s="58">
        <v>7.0000000000000007E-2</v>
      </c>
      <c r="W6" s="58">
        <v>0.09</v>
      </c>
      <c r="X6" s="58">
        <v>0.1</v>
      </c>
    </row>
    <row r="7" spans="1:24" x14ac:dyDescent="0.3">
      <c r="A7" s="60"/>
      <c r="G7" s="66"/>
    </row>
    <row r="9" spans="1:24" x14ac:dyDescent="0.3">
      <c r="A9" s="1" t="s">
        <v>1093</v>
      </c>
      <c r="B9" s="68" t="s">
        <v>1090</v>
      </c>
      <c r="C9" s="69">
        <v>2023</v>
      </c>
      <c r="D9" s="69">
        <v>2035</v>
      </c>
      <c r="E9" s="69">
        <v>2050</v>
      </c>
    </row>
    <row r="10" spans="1:24" x14ac:dyDescent="0.3">
      <c r="A10" t="s">
        <v>12</v>
      </c>
      <c r="B10" t="s">
        <v>1091</v>
      </c>
      <c r="C10" s="70">
        <v>0.03</v>
      </c>
      <c r="D10" s="70">
        <v>0.01</v>
      </c>
      <c r="E10" s="70">
        <v>0.03</v>
      </c>
    </row>
    <row r="11" spans="1:24" x14ac:dyDescent="0.3">
      <c r="A11" t="s">
        <v>12</v>
      </c>
      <c r="B11" t="s">
        <v>1092</v>
      </c>
      <c r="C11" s="70">
        <v>0.03</v>
      </c>
      <c r="D11" s="70">
        <v>0.01</v>
      </c>
      <c r="E11" s="70">
        <v>0.05</v>
      </c>
    </row>
    <row r="12" spans="1:24" x14ac:dyDescent="0.3">
      <c r="A12" t="s">
        <v>12</v>
      </c>
      <c r="B12" t="s">
        <v>1094</v>
      </c>
      <c r="C12" s="70">
        <v>0.03</v>
      </c>
      <c r="D12" s="70">
        <v>0.02</v>
      </c>
      <c r="E12" s="70">
        <v>0.15</v>
      </c>
    </row>
    <row r="13" spans="1:24" x14ac:dyDescent="0.3">
      <c r="A13" t="s">
        <v>7</v>
      </c>
      <c r="B13" t="s">
        <v>1091</v>
      </c>
      <c r="C13" s="70">
        <v>0.08</v>
      </c>
      <c r="D13" s="70">
        <v>0.21</v>
      </c>
      <c r="E13" s="70">
        <v>0.32</v>
      </c>
    </row>
    <row r="14" spans="1:24" x14ac:dyDescent="0.3">
      <c r="A14" t="s">
        <v>7</v>
      </c>
      <c r="B14" t="s">
        <v>1092</v>
      </c>
      <c r="C14" s="70">
        <v>0.08</v>
      </c>
      <c r="D14" s="70">
        <v>0.22</v>
      </c>
      <c r="E14" s="70">
        <v>0.39</v>
      </c>
    </row>
    <row r="15" spans="1:24" x14ac:dyDescent="0.3">
      <c r="A15" t="s">
        <v>7</v>
      </c>
      <c r="B15" t="s">
        <v>1094</v>
      </c>
      <c r="C15" s="70">
        <v>0.08</v>
      </c>
      <c r="D15" s="70">
        <v>0.21</v>
      </c>
      <c r="E15" s="70">
        <v>0.39</v>
      </c>
    </row>
    <row r="16" spans="1:24" x14ac:dyDescent="0.3">
      <c r="A16" t="s">
        <v>16</v>
      </c>
      <c r="B16" t="s">
        <v>1091</v>
      </c>
      <c r="C16" s="70">
        <v>0.03</v>
      </c>
      <c r="D16" s="70">
        <v>0.05</v>
      </c>
      <c r="E16" s="70">
        <v>0.22</v>
      </c>
    </row>
    <row r="17" spans="1:5" x14ac:dyDescent="0.3">
      <c r="A17" t="s">
        <v>16</v>
      </c>
      <c r="B17" t="s">
        <v>1092</v>
      </c>
      <c r="C17" s="70">
        <v>0.03</v>
      </c>
      <c r="D17" s="70">
        <v>0.05</v>
      </c>
      <c r="E17" s="70">
        <v>0.22</v>
      </c>
    </row>
    <row r="18" spans="1:5" x14ac:dyDescent="0.3">
      <c r="A18" t="s">
        <v>16</v>
      </c>
      <c r="B18" t="s">
        <v>1094</v>
      </c>
      <c r="C18" s="70">
        <v>0.03</v>
      </c>
      <c r="D18" s="70">
        <v>7.0000000000000007E-2</v>
      </c>
      <c r="E18" s="70">
        <v>0.33</v>
      </c>
    </row>
    <row r="19" spans="1:5" x14ac:dyDescent="0.3">
      <c r="A19" t="s">
        <v>6</v>
      </c>
      <c r="B19" t="s">
        <v>1091</v>
      </c>
      <c r="C19" s="70">
        <v>0.11</v>
      </c>
      <c r="D19" s="70">
        <v>0.15</v>
      </c>
      <c r="E19" s="70">
        <v>0.32</v>
      </c>
    </row>
    <row r="20" spans="1:5" x14ac:dyDescent="0.3">
      <c r="A20" t="s">
        <v>6</v>
      </c>
      <c r="B20" t="s">
        <v>1092</v>
      </c>
      <c r="C20" s="70">
        <v>0.11</v>
      </c>
      <c r="D20" s="70">
        <v>0.17</v>
      </c>
      <c r="E20" s="70">
        <v>0.38</v>
      </c>
    </row>
    <row r="21" spans="1:5" x14ac:dyDescent="0.3">
      <c r="A21" t="s">
        <v>6</v>
      </c>
      <c r="B21" t="s">
        <v>1094</v>
      </c>
      <c r="C21" s="70">
        <v>0.11</v>
      </c>
      <c r="D21" s="70">
        <v>0.17</v>
      </c>
      <c r="E21" s="70">
        <v>0.5</v>
      </c>
    </row>
    <row r="22" spans="1:5" x14ac:dyDescent="0.3">
      <c r="A22" s="71" t="s">
        <v>560</v>
      </c>
      <c r="B22" t="s">
        <v>1091</v>
      </c>
      <c r="C22" s="70">
        <v>0.27</v>
      </c>
      <c r="D22" s="70">
        <v>0.27</v>
      </c>
      <c r="E22" s="70">
        <v>0.32</v>
      </c>
    </row>
    <row r="23" spans="1:5" x14ac:dyDescent="0.3">
      <c r="A23" s="71" t="s">
        <v>560</v>
      </c>
      <c r="B23" t="s">
        <v>1092</v>
      </c>
      <c r="C23" s="70">
        <v>0.27</v>
      </c>
      <c r="D23" s="70">
        <v>0.27</v>
      </c>
      <c r="E23" s="70">
        <v>0.35</v>
      </c>
    </row>
    <row r="24" spans="1:5" x14ac:dyDescent="0.3">
      <c r="A24" s="71" t="s">
        <v>560</v>
      </c>
      <c r="B24" t="s">
        <v>1094</v>
      </c>
      <c r="C24" s="70">
        <v>0.27</v>
      </c>
      <c r="D24" s="70">
        <v>0.28000000000000003</v>
      </c>
      <c r="E24" s="70">
        <v>0.4</v>
      </c>
    </row>
    <row r="25" spans="1:5" x14ac:dyDescent="0.3">
      <c r="A25" s="60"/>
    </row>
    <row r="26" spans="1:5" x14ac:dyDescent="0.3">
      <c r="A26" s="60"/>
    </row>
    <row r="27" spans="1:5" x14ac:dyDescent="0.3">
      <c r="A27" s="1" t="s">
        <v>1076</v>
      </c>
      <c r="B27" s="1" t="s">
        <v>1067</v>
      </c>
      <c r="C27" s="1" t="s">
        <v>1062</v>
      </c>
      <c r="D27" s="1" t="s">
        <v>1066</v>
      </c>
      <c r="E27" s="1" t="s">
        <v>1053</v>
      </c>
    </row>
    <row r="28" spans="1:5" x14ac:dyDescent="0.3">
      <c r="A28" t="s">
        <v>1077</v>
      </c>
      <c r="B28" t="s">
        <v>1068</v>
      </c>
      <c r="C28" t="s">
        <v>1070</v>
      </c>
      <c r="D28" s="2" t="s">
        <v>1069</v>
      </c>
      <c r="E28" t="s">
        <v>1071</v>
      </c>
    </row>
    <row r="29" spans="1:5" x14ac:dyDescent="0.3">
      <c r="A29" t="s">
        <v>7</v>
      </c>
      <c r="B29" t="s">
        <v>1073</v>
      </c>
      <c r="C29" t="s">
        <v>1070</v>
      </c>
      <c r="D29" s="2" t="s">
        <v>1072</v>
      </c>
      <c r="E29" t="s">
        <v>1071</v>
      </c>
    </row>
    <row r="30" spans="1:5" x14ac:dyDescent="0.3">
      <c r="A30" t="s">
        <v>16</v>
      </c>
      <c r="B30" t="s">
        <v>1074</v>
      </c>
      <c r="C30" t="s">
        <v>1070</v>
      </c>
      <c r="D30" s="2" t="s">
        <v>1075</v>
      </c>
      <c r="E30" t="s">
        <v>1071</v>
      </c>
    </row>
    <row r="31" spans="1:5" x14ac:dyDescent="0.3">
      <c r="A31" t="s">
        <v>12</v>
      </c>
      <c r="B31" t="s">
        <v>1079</v>
      </c>
      <c r="C31" t="s">
        <v>1070</v>
      </c>
      <c r="D31" s="2" t="s">
        <v>1078</v>
      </c>
      <c r="E31" t="s">
        <v>1071</v>
      </c>
    </row>
    <row r="32" spans="1:5" x14ac:dyDescent="0.3">
      <c r="A32" t="s">
        <v>6</v>
      </c>
      <c r="B32" t="s">
        <v>1080</v>
      </c>
      <c r="C32" t="s">
        <v>1070</v>
      </c>
      <c r="D32" s="2" t="s">
        <v>1081</v>
      </c>
      <c r="E32" t="s">
        <v>1071</v>
      </c>
    </row>
    <row r="33" spans="1:5" x14ac:dyDescent="0.3">
      <c r="A33" t="s">
        <v>560</v>
      </c>
      <c r="B33" t="s">
        <v>1085</v>
      </c>
      <c r="C33" t="s">
        <v>1070</v>
      </c>
      <c r="D33" s="2" t="s">
        <v>1082</v>
      </c>
      <c r="E33" t="s">
        <v>1071</v>
      </c>
    </row>
    <row r="34" spans="1:5" x14ac:dyDescent="0.3">
      <c r="A34" t="s">
        <v>1077</v>
      </c>
      <c r="B34" t="s">
        <v>1087</v>
      </c>
      <c r="C34" t="s">
        <v>1086</v>
      </c>
      <c r="D34" s="2" t="s">
        <v>1048</v>
      </c>
      <c r="E34" t="s">
        <v>1088</v>
      </c>
    </row>
    <row r="35" spans="1:5" x14ac:dyDescent="0.3">
      <c r="A35" s="60"/>
    </row>
    <row r="36" spans="1:5" x14ac:dyDescent="0.3">
      <c r="A36" s="60"/>
    </row>
    <row r="39" spans="1:5" x14ac:dyDescent="0.3">
      <c r="A39" s="1"/>
      <c r="B39" s="1"/>
      <c r="C39" s="1"/>
      <c r="D39" s="1"/>
    </row>
  </sheetData>
  <hyperlinks>
    <hyperlink ref="D30" r:id="rId1" xr:uid="{9412CFA2-345C-4A22-A1BE-3E8BD93B154F}"/>
    <hyperlink ref="D31" r:id="rId2" xr:uid="{D2EA9DE6-E3BB-4015-A9F7-D06F63EAF89C}"/>
    <hyperlink ref="D28" r:id="rId3" xr:uid="{62244B61-DA8B-4BD8-80E3-EACB0360E82D}"/>
    <hyperlink ref="D29" r:id="rId4" xr:uid="{7D861F97-8C9A-449A-8A31-9044729071CC}"/>
    <hyperlink ref="D32" r:id="rId5" xr:uid="{A010FD6E-15E9-44E6-8A4E-3104E8D9113E}"/>
    <hyperlink ref="D33" r:id="rId6" xr:uid="{0E92D9C9-2AB8-497A-8710-EBF988B3ED9B}"/>
    <hyperlink ref="D34" r:id="rId7" xr:uid="{9AA5C5C7-0CF2-4630-A7CC-8092AEABD0C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49D6-8E85-40A9-B6B5-7C27C0B43556}">
  <dimension ref="A1:BJ43"/>
  <sheetViews>
    <sheetView workbookViewId="0">
      <selection activeCell="E13" sqref="E13"/>
    </sheetView>
  </sheetViews>
  <sheetFormatPr defaultColWidth="11.5546875" defaultRowHeight="14.4" x14ac:dyDescent="0.3"/>
  <cols>
    <col min="1" max="1" width="44.33203125" bestFit="1" customWidth="1"/>
    <col min="2" max="2" width="8.109375" bestFit="1" customWidth="1"/>
    <col min="3" max="3" width="9.109375" bestFit="1" customWidth="1"/>
    <col min="4" max="4" width="7.6640625" bestFit="1" customWidth="1"/>
    <col min="5" max="5" width="8.88671875" bestFit="1" customWidth="1"/>
    <col min="6" max="7" width="7.88671875" bestFit="1" customWidth="1"/>
    <col min="8" max="8" width="8.6640625" bestFit="1" customWidth="1"/>
    <col min="9" max="9" width="8.109375" bestFit="1" customWidth="1"/>
    <col min="10" max="10" width="7.6640625" bestFit="1" customWidth="1"/>
    <col min="11" max="11" width="8.5546875" bestFit="1" customWidth="1"/>
    <col min="12" max="12" width="9.33203125" bestFit="1" customWidth="1"/>
    <col min="13" max="13" width="8.88671875" bestFit="1" customWidth="1"/>
    <col min="14" max="14" width="9.109375" bestFit="1" customWidth="1"/>
    <col min="15" max="15" width="8.33203125" bestFit="1" customWidth="1"/>
    <col min="16" max="16" width="9.109375" bestFit="1" customWidth="1"/>
    <col min="17" max="18" width="8.88671875" bestFit="1" customWidth="1"/>
    <col min="19" max="19" width="9.33203125" bestFit="1" customWidth="1"/>
    <col min="20" max="20" width="8.88671875" bestFit="1" customWidth="1"/>
    <col min="21" max="21" width="9.109375" bestFit="1" customWidth="1"/>
    <col min="22" max="22" width="8.5546875" bestFit="1" customWidth="1"/>
    <col min="23" max="23" width="7.6640625" bestFit="1" customWidth="1"/>
    <col min="24" max="24" width="8.33203125" bestFit="1" customWidth="1"/>
    <col min="25" max="25" width="8.6640625" bestFit="1" customWidth="1"/>
    <col min="26" max="26" width="9.33203125" bestFit="1" customWidth="1"/>
    <col min="27" max="31" width="9.109375" bestFit="1" customWidth="1"/>
    <col min="32" max="32" width="8.109375" bestFit="1" customWidth="1"/>
    <col min="33" max="33" width="9.109375" bestFit="1" customWidth="1"/>
    <col min="34" max="34" width="8.6640625" bestFit="1" customWidth="1"/>
    <col min="35" max="35" width="8.88671875" bestFit="1" customWidth="1"/>
    <col min="36" max="36" width="9.109375" bestFit="1" customWidth="1"/>
    <col min="37" max="37" width="8.88671875" bestFit="1" customWidth="1"/>
    <col min="38" max="38" width="9.109375" bestFit="1" customWidth="1"/>
    <col min="39" max="39" width="8.5546875" bestFit="1" customWidth="1"/>
    <col min="40" max="40" width="9.109375" bestFit="1" customWidth="1"/>
    <col min="41" max="41" width="9.5546875" bestFit="1" customWidth="1"/>
    <col min="42" max="42" width="8.88671875" bestFit="1" customWidth="1"/>
    <col min="43" max="43" width="9.33203125" bestFit="1" customWidth="1"/>
    <col min="44" max="45" width="8.88671875" bestFit="1" customWidth="1"/>
    <col min="46" max="46" width="9.109375" bestFit="1" customWidth="1"/>
    <col min="47" max="47" width="8.33203125" bestFit="1" customWidth="1"/>
    <col min="48" max="48" width="9.33203125" bestFit="1" customWidth="1"/>
    <col min="49" max="49" width="9.109375" bestFit="1" customWidth="1"/>
    <col min="50" max="51" width="8.5546875" bestFit="1" customWidth="1"/>
    <col min="52" max="52" width="8.88671875" bestFit="1" customWidth="1"/>
    <col min="53" max="53" width="8.109375" bestFit="1" customWidth="1"/>
    <col min="54" max="55" width="9.109375" bestFit="1" customWidth="1"/>
    <col min="56" max="56" width="7.6640625" bestFit="1" customWidth="1"/>
    <col min="57" max="57" width="8.5546875" bestFit="1" customWidth="1"/>
    <col min="58" max="59" width="9.109375" bestFit="1" customWidth="1"/>
    <col min="60" max="60" width="7.6640625" bestFit="1" customWidth="1"/>
    <col min="61" max="61" width="9.109375" bestFit="1" customWidth="1"/>
    <col min="62" max="62" width="8.33203125" bestFit="1" customWidth="1"/>
  </cols>
  <sheetData>
    <row r="1" spans="1:62" x14ac:dyDescent="0.3">
      <c r="A1" s="12" t="s">
        <v>623</v>
      </c>
      <c r="B1" s="4" t="s">
        <v>562</v>
      </c>
      <c r="C1" s="4" t="s">
        <v>563</v>
      </c>
      <c r="D1" s="4" t="s">
        <v>564</v>
      </c>
      <c r="E1" s="4" t="s">
        <v>565</v>
      </c>
      <c r="F1" s="4" t="s">
        <v>566</v>
      </c>
      <c r="G1" s="4" t="s">
        <v>567</v>
      </c>
      <c r="H1" s="4" t="s">
        <v>568</v>
      </c>
      <c r="I1" s="4" t="s">
        <v>569</v>
      </c>
      <c r="J1" s="4" t="s">
        <v>570</v>
      </c>
      <c r="K1" s="4" t="s">
        <v>571</v>
      </c>
      <c r="L1" s="4" t="s">
        <v>572</v>
      </c>
      <c r="M1" s="4" t="s">
        <v>573</v>
      </c>
      <c r="N1" s="4" t="s">
        <v>574</v>
      </c>
      <c r="O1" s="4" t="s">
        <v>575</v>
      </c>
      <c r="P1" s="4" t="s">
        <v>576</v>
      </c>
      <c r="Q1" s="4" t="s">
        <v>577</v>
      </c>
      <c r="R1" s="4" t="s">
        <v>578</v>
      </c>
      <c r="S1" s="4" t="s">
        <v>579</v>
      </c>
      <c r="T1" s="4" t="s">
        <v>580</v>
      </c>
      <c r="U1" s="4" t="s">
        <v>581</v>
      </c>
      <c r="V1" s="4" t="s">
        <v>582</v>
      </c>
      <c r="W1" s="4" t="s">
        <v>583</v>
      </c>
      <c r="X1" s="4" t="s">
        <v>584</v>
      </c>
      <c r="Y1" s="4" t="s">
        <v>585</v>
      </c>
      <c r="Z1" s="4" t="s">
        <v>586</v>
      </c>
      <c r="AA1" s="4" t="s">
        <v>587</v>
      </c>
      <c r="AB1" s="4" t="s">
        <v>588</v>
      </c>
      <c r="AC1" s="4" t="s">
        <v>589</v>
      </c>
      <c r="AD1" s="4" t="s">
        <v>590</v>
      </c>
      <c r="AE1" s="4" t="s">
        <v>591</v>
      </c>
      <c r="AF1" s="4" t="s">
        <v>592</v>
      </c>
      <c r="AG1" s="4" t="s">
        <v>593</v>
      </c>
      <c r="AH1" s="4" t="s">
        <v>594</v>
      </c>
      <c r="AI1" s="4" t="s">
        <v>595</v>
      </c>
      <c r="AJ1" s="4" t="s">
        <v>596</v>
      </c>
      <c r="AK1" s="4" t="s">
        <v>597</v>
      </c>
      <c r="AL1" s="4" t="s">
        <v>598</v>
      </c>
      <c r="AM1" s="4" t="s">
        <v>599</v>
      </c>
      <c r="AN1" s="4" t="s">
        <v>600</v>
      </c>
      <c r="AO1" s="4" t="s">
        <v>601</v>
      </c>
      <c r="AP1" s="4" t="s">
        <v>602</v>
      </c>
      <c r="AQ1" s="4" t="s">
        <v>603</v>
      </c>
      <c r="AR1" s="4" t="s">
        <v>604</v>
      </c>
      <c r="AS1" s="4" t="s">
        <v>605</v>
      </c>
      <c r="AT1" s="4" t="s">
        <v>606</v>
      </c>
      <c r="AU1" s="4" t="s">
        <v>607</v>
      </c>
      <c r="AV1" s="4" t="s">
        <v>608</v>
      </c>
      <c r="AW1" s="4" t="s">
        <v>609</v>
      </c>
      <c r="AX1" s="4" t="s">
        <v>610</v>
      </c>
      <c r="AY1" s="4" t="s">
        <v>611</v>
      </c>
      <c r="AZ1" s="4" t="s">
        <v>612</v>
      </c>
      <c r="BA1" s="4" t="s">
        <v>613</v>
      </c>
      <c r="BB1" s="4" t="s">
        <v>614</v>
      </c>
      <c r="BC1" s="4" t="s">
        <v>615</v>
      </c>
      <c r="BD1" s="4" t="s">
        <v>616</v>
      </c>
      <c r="BE1" s="4" t="s">
        <v>617</v>
      </c>
      <c r="BF1" s="4" t="s">
        <v>618</v>
      </c>
      <c r="BG1" s="4" t="s">
        <v>619</v>
      </c>
      <c r="BH1" s="4" t="s">
        <v>620</v>
      </c>
      <c r="BI1" s="4" t="s">
        <v>621</v>
      </c>
      <c r="BJ1" s="4" t="s">
        <v>622</v>
      </c>
    </row>
    <row r="2" spans="1:62" x14ac:dyDescent="0.3">
      <c r="A2" s="13" t="s">
        <v>624</v>
      </c>
      <c r="B2" s="6"/>
      <c r="C2" s="6"/>
      <c r="D2" s="6">
        <v>0.06</v>
      </c>
      <c r="E2" s="6">
        <v>0.15279553072625698</v>
      </c>
      <c r="F2" s="6"/>
      <c r="G2" s="6"/>
      <c r="H2" s="6"/>
      <c r="I2" s="6"/>
      <c r="J2" s="6"/>
      <c r="K2" s="6"/>
      <c r="L2" s="6"/>
      <c r="M2" s="6"/>
      <c r="N2" s="6"/>
      <c r="O2" s="6"/>
      <c r="P2" s="6"/>
      <c r="Q2" s="6">
        <v>7.1152955703038812E-3</v>
      </c>
      <c r="R2" s="6"/>
      <c r="S2" s="6"/>
      <c r="T2" s="6">
        <v>1.9946452865018439E-2</v>
      </c>
      <c r="U2" s="6">
        <v>0.1</v>
      </c>
      <c r="V2" s="6"/>
      <c r="W2" s="6"/>
      <c r="X2" s="6"/>
      <c r="Y2" s="6"/>
      <c r="Z2" s="6">
        <v>3.9E-2</v>
      </c>
      <c r="AA2" s="6"/>
      <c r="AB2" s="6"/>
      <c r="AC2" s="6"/>
      <c r="AD2" s="6"/>
      <c r="AE2" s="6"/>
      <c r="AF2" s="6"/>
      <c r="AG2" s="6"/>
      <c r="AH2" s="6"/>
      <c r="AI2" s="6"/>
      <c r="AJ2" s="6"/>
      <c r="AK2" s="6"/>
      <c r="AL2" s="6"/>
      <c r="AM2" s="6"/>
      <c r="AN2" s="6"/>
      <c r="AO2" s="6"/>
      <c r="AP2" s="6"/>
      <c r="AQ2" s="6"/>
      <c r="AR2" s="6"/>
      <c r="AS2" s="6"/>
      <c r="AT2" s="7"/>
      <c r="AU2" s="7"/>
      <c r="AV2" s="7"/>
      <c r="AW2" s="7"/>
      <c r="AX2" s="7"/>
      <c r="AY2" s="6"/>
      <c r="AZ2" s="6"/>
      <c r="BA2" s="6"/>
      <c r="BB2" s="6"/>
      <c r="BC2" s="6"/>
      <c r="BD2" s="6"/>
      <c r="BE2" s="6"/>
      <c r="BF2" s="6"/>
      <c r="BG2" s="6">
        <v>3.7531806615776084E-2</v>
      </c>
      <c r="BH2" s="6"/>
      <c r="BI2" s="6"/>
      <c r="BJ2" s="6">
        <v>0.05</v>
      </c>
    </row>
    <row r="3" spans="1:62" x14ac:dyDescent="0.3">
      <c r="A3" s="13" t="s">
        <v>625</v>
      </c>
      <c r="B3" s="6"/>
      <c r="C3" s="6"/>
      <c r="D3" s="6">
        <v>0.04</v>
      </c>
      <c r="E3" s="6"/>
      <c r="F3" s="6"/>
      <c r="G3" s="6">
        <v>0.41</v>
      </c>
      <c r="H3" s="6"/>
      <c r="I3" s="6"/>
      <c r="J3" s="6"/>
      <c r="K3" s="6">
        <v>3.8399999999999997E-2</v>
      </c>
      <c r="L3" s="6">
        <v>0.04</v>
      </c>
      <c r="M3" s="6"/>
      <c r="N3" s="6">
        <v>0.1973</v>
      </c>
      <c r="O3" s="6"/>
      <c r="P3" s="6"/>
      <c r="Q3" s="6"/>
      <c r="R3" s="6">
        <v>0.05</v>
      </c>
      <c r="S3" s="6"/>
      <c r="T3" s="6">
        <v>2.3450965844248117E-2</v>
      </c>
      <c r="U3" s="6">
        <v>0.3</v>
      </c>
      <c r="V3" s="7"/>
      <c r="W3" s="6"/>
      <c r="X3" s="6">
        <v>0.01</v>
      </c>
      <c r="Y3" s="6">
        <v>0.03</v>
      </c>
      <c r="Z3" s="6"/>
      <c r="AA3" s="6">
        <v>0.16438356164383561</v>
      </c>
      <c r="AB3" s="6"/>
      <c r="AC3" s="6"/>
      <c r="AD3" s="6">
        <v>5.7177783473648935E-2</v>
      </c>
      <c r="AE3" s="6"/>
      <c r="AF3" s="6">
        <v>0.13427331887201735</v>
      </c>
      <c r="AG3" s="6"/>
      <c r="AH3" s="6">
        <v>9.5000000000000001E-2</v>
      </c>
      <c r="AI3" s="6">
        <v>0.15</v>
      </c>
      <c r="AJ3" s="6"/>
      <c r="AK3" s="6">
        <v>9.79676087646872E-2</v>
      </c>
      <c r="AL3" s="6">
        <v>0.18649093904448105</v>
      </c>
      <c r="AM3" s="6">
        <v>3.7889435895107459E-2</v>
      </c>
      <c r="AN3" s="6">
        <v>2.3728218131090252E-2</v>
      </c>
      <c r="AO3" s="6"/>
      <c r="AP3" s="6"/>
      <c r="AQ3" s="6">
        <v>0.28431372549019607</v>
      </c>
      <c r="AR3" s="6"/>
      <c r="AS3" s="6"/>
      <c r="AT3" s="8"/>
      <c r="AU3" s="8"/>
      <c r="AV3" s="8"/>
      <c r="AW3" s="8"/>
      <c r="AX3" s="8"/>
      <c r="AY3" s="6"/>
      <c r="AZ3" s="6">
        <v>0.18</v>
      </c>
      <c r="BA3" s="6">
        <v>0.22999999999999998</v>
      </c>
      <c r="BB3" s="6">
        <v>0.8</v>
      </c>
      <c r="BC3" s="6">
        <v>0.1</v>
      </c>
      <c r="BD3" s="6"/>
      <c r="BE3" s="6"/>
      <c r="BF3" s="6"/>
      <c r="BG3" s="6"/>
      <c r="BH3" s="6"/>
      <c r="BI3" s="6">
        <v>0.02</v>
      </c>
      <c r="BJ3" s="6">
        <v>0.28050000000000003</v>
      </c>
    </row>
    <row r="4" spans="1:62" x14ac:dyDescent="0.3">
      <c r="A4" s="13" t="s">
        <v>626</v>
      </c>
      <c r="B4" s="6"/>
      <c r="C4" s="6">
        <v>0.1</v>
      </c>
      <c r="D4" s="6"/>
      <c r="E4" s="6"/>
      <c r="F4" s="6"/>
      <c r="G4" s="6"/>
      <c r="H4" s="6">
        <v>0.05</v>
      </c>
      <c r="I4" s="6">
        <v>1.7788461538461538E-2</v>
      </c>
      <c r="J4" s="6">
        <v>0.04</v>
      </c>
      <c r="K4" s="6"/>
      <c r="L4" s="6"/>
      <c r="M4" s="6"/>
      <c r="N4" s="6"/>
      <c r="O4" s="6">
        <v>3.2223415682062301E-2</v>
      </c>
      <c r="P4" s="6"/>
      <c r="Q4" s="6"/>
      <c r="R4" s="6"/>
      <c r="S4" s="6"/>
      <c r="T4" s="6"/>
      <c r="U4" s="6"/>
      <c r="V4" s="6">
        <v>2.8333333333333332E-2</v>
      </c>
      <c r="W4" s="6"/>
      <c r="X4" s="6"/>
      <c r="Y4" s="6"/>
      <c r="Z4" s="6"/>
      <c r="AA4" s="6"/>
      <c r="AB4" s="6"/>
      <c r="AC4" s="6"/>
      <c r="AD4" s="6"/>
      <c r="AE4" s="6"/>
      <c r="AF4" s="6"/>
      <c r="AG4" s="6"/>
      <c r="AH4" s="7"/>
      <c r="AI4" s="6"/>
      <c r="AJ4" s="6"/>
      <c r="AK4" s="6"/>
      <c r="AL4" s="6"/>
      <c r="AM4" s="6"/>
      <c r="AN4" s="6"/>
      <c r="AO4" s="6"/>
      <c r="AP4" s="6"/>
      <c r="AQ4" s="6"/>
      <c r="AR4" s="6"/>
      <c r="AS4" s="6"/>
      <c r="AT4" s="8"/>
      <c r="AU4" s="8"/>
      <c r="AV4" s="8"/>
      <c r="AW4" s="8"/>
      <c r="AX4" s="8"/>
      <c r="AY4" s="6">
        <v>0.45</v>
      </c>
      <c r="AZ4" s="6"/>
      <c r="BA4" s="6"/>
      <c r="BB4" s="6"/>
      <c r="BC4" s="6"/>
      <c r="BD4" s="6"/>
      <c r="BE4" s="6"/>
      <c r="BF4" s="6"/>
      <c r="BG4" s="6"/>
      <c r="BH4" s="6"/>
      <c r="BI4" s="6"/>
      <c r="BJ4" s="6"/>
    </row>
    <row r="5" spans="1:62" x14ac:dyDescent="0.3">
      <c r="A5" s="14" t="s">
        <v>627</v>
      </c>
      <c r="B5" s="6">
        <v>0.21</v>
      </c>
      <c r="C5" s="6"/>
      <c r="D5" s="6"/>
      <c r="E5" s="6"/>
      <c r="F5" s="6"/>
      <c r="G5" s="6"/>
      <c r="H5" s="6"/>
      <c r="I5" s="6"/>
      <c r="J5" s="6"/>
      <c r="K5" s="6"/>
      <c r="L5" s="6">
        <v>0.02</v>
      </c>
      <c r="M5" s="6"/>
      <c r="N5" s="6">
        <v>0.39750000000000002</v>
      </c>
      <c r="O5" s="6">
        <v>0.05</v>
      </c>
      <c r="P5" s="6"/>
      <c r="Q5" s="6"/>
      <c r="R5" s="6"/>
      <c r="S5" s="6"/>
      <c r="T5" s="6"/>
      <c r="U5" s="6"/>
      <c r="V5" s="6"/>
      <c r="W5" s="6"/>
      <c r="X5" s="6"/>
      <c r="Y5" s="6"/>
      <c r="Z5" s="6"/>
      <c r="AA5" s="6"/>
      <c r="AB5" s="6"/>
      <c r="AC5" s="6"/>
      <c r="AD5" s="6"/>
      <c r="AE5" s="6">
        <v>0.64000000000000012</v>
      </c>
      <c r="AF5" s="6">
        <v>0.05</v>
      </c>
      <c r="AG5" s="6"/>
      <c r="AH5" s="6">
        <v>0.25900000000000001</v>
      </c>
      <c r="AI5" s="6"/>
      <c r="AJ5" s="6"/>
      <c r="AK5" s="6">
        <v>9.4443081557022787E-2</v>
      </c>
      <c r="AL5" s="6">
        <v>1.0196252546142131E-2</v>
      </c>
      <c r="AM5" s="6">
        <v>1.4098595997588219E-2</v>
      </c>
      <c r="AN5" s="6">
        <v>5.3224594855284706E-3</v>
      </c>
      <c r="AO5" s="6"/>
      <c r="AP5" s="6"/>
      <c r="AQ5" s="6"/>
      <c r="AR5" s="6"/>
      <c r="AS5" s="6"/>
      <c r="AT5" s="8"/>
      <c r="AU5" s="8"/>
      <c r="AV5" s="8"/>
      <c r="AW5" s="8"/>
      <c r="AX5" s="8"/>
      <c r="AY5" s="6"/>
      <c r="AZ5" s="6"/>
      <c r="BA5" s="6"/>
      <c r="BB5" s="6"/>
      <c r="BC5" s="6"/>
      <c r="BD5" s="6"/>
      <c r="BE5" s="6"/>
      <c r="BF5" s="6"/>
      <c r="BG5" s="6">
        <v>4.8982188295165395E-2</v>
      </c>
      <c r="BH5" s="6"/>
      <c r="BI5" s="6">
        <v>0.86</v>
      </c>
      <c r="BJ5" s="6"/>
    </row>
    <row r="6" spans="1:62" x14ac:dyDescent="0.3">
      <c r="A6" s="15" t="s">
        <v>628</v>
      </c>
      <c r="B6" s="6">
        <v>0.44</v>
      </c>
      <c r="C6" s="7"/>
      <c r="D6" s="7"/>
      <c r="E6" s="7"/>
      <c r="F6" s="7"/>
      <c r="G6" s="7"/>
      <c r="H6" s="7"/>
      <c r="I6" s="7"/>
      <c r="J6" s="7"/>
      <c r="K6" s="7"/>
      <c r="L6" s="7"/>
      <c r="M6" s="7"/>
      <c r="N6" s="6">
        <v>0.10600000000000001</v>
      </c>
      <c r="O6" s="7"/>
      <c r="P6" s="7"/>
      <c r="Q6" s="7"/>
      <c r="R6" s="7"/>
      <c r="S6" s="7"/>
      <c r="T6" s="6">
        <v>0.29329272258379513</v>
      </c>
      <c r="U6" s="7"/>
      <c r="V6" s="7"/>
      <c r="W6" s="6"/>
      <c r="X6" s="7"/>
      <c r="Y6" s="7"/>
      <c r="Z6" s="7"/>
      <c r="AA6" s="7"/>
      <c r="AB6" s="7"/>
      <c r="AC6" s="7"/>
      <c r="AD6" s="7"/>
      <c r="AE6" s="7"/>
      <c r="AF6" s="7"/>
      <c r="AG6" s="6">
        <v>0.06</v>
      </c>
      <c r="AH6" s="7"/>
      <c r="AI6" s="7"/>
      <c r="AJ6" s="7"/>
      <c r="AK6" s="6">
        <v>0.16548070377165297</v>
      </c>
      <c r="AL6" s="6">
        <v>1.7810337239689829E-2</v>
      </c>
      <c r="AM6" s="6">
        <v>2.5064170662379058E-2</v>
      </c>
      <c r="AN6" s="6">
        <v>9.4621501964950588E-3</v>
      </c>
      <c r="AO6" s="6"/>
      <c r="AP6" s="6"/>
      <c r="AQ6" s="6"/>
      <c r="AR6" s="6"/>
      <c r="AS6" s="6"/>
      <c r="AT6" s="8"/>
      <c r="AU6" s="8"/>
      <c r="AV6" s="8"/>
      <c r="AW6" s="8"/>
      <c r="AX6" s="8"/>
      <c r="AY6" s="7"/>
      <c r="AZ6" s="7"/>
      <c r="BA6" s="7"/>
      <c r="BB6" s="7"/>
      <c r="BC6" s="7"/>
      <c r="BD6" s="7"/>
      <c r="BE6" s="7"/>
      <c r="BF6" s="7"/>
      <c r="BG6" s="7"/>
      <c r="BH6" s="7"/>
      <c r="BI6" s="7"/>
      <c r="BJ6" s="7"/>
    </row>
    <row r="7" spans="1:62" x14ac:dyDescent="0.3">
      <c r="A7" s="15" t="s">
        <v>629</v>
      </c>
      <c r="B7" s="6"/>
      <c r="C7" s="7"/>
      <c r="D7" s="7"/>
      <c r="E7" s="7"/>
      <c r="F7" s="7"/>
      <c r="G7" s="7"/>
      <c r="H7" s="7"/>
      <c r="I7" s="7"/>
      <c r="J7" s="6">
        <v>2.5000000000000001E-2</v>
      </c>
      <c r="K7" s="7"/>
      <c r="L7" s="7"/>
      <c r="M7" s="7"/>
      <c r="N7" s="6">
        <v>2.6500000000000003E-2</v>
      </c>
      <c r="O7" s="7"/>
      <c r="P7" s="7"/>
      <c r="Q7" s="7"/>
      <c r="R7" s="7"/>
      <c r="S7" s="7"/>
      <c r="T7" s="7"/>
      <c r="U7" s="7"/>
      <c r="V7" s="7"/>
      <c r="W7" s="7"/>
      <c r="X7" s="7"/>
      <c r="Y7" s="7"/>
      <c r="Z7" s="7"/>
      <c r="AA7" s="7"/>
      <c r="AB7" s="7"/>
      <c r="AC7" s="7"/>
      <c r="AD7" s="7"/>
      <c r="AE7" s="6">
        <v>0.16000000000000003</v>
      </c>
      <c r="AF7" s="7"/>
      <c r="AG7" s="7"/>
      <c r="AH7" s="7"/>
      <c r="AI7" s="7"/>
      <c r="AJ7" s="7"/>
      <c r="AK7" s="7"/>
      <c r="AL7" s="7"/>
      <c r="AM7" s="7"/>
      <c r="AN7" s="7"/>
      <c r="AO7" s="7"/>
      <c r="AP7" s="7"/>
      <c r="AQ7" s="7"/>
      <c r="AR7" s="7"/>
      <c r="AS7" s="7"/>
      <c r="AT7" s="8"/>
      <c r="AU7" s="8"/>
      <c r="AV7" s="8"/>
      <c r="AW7" s="8"/>
      <c r="AX7" s="8"/>
      <c r="AY7" s="7"/>
      <c r="AZ7" s="7"/>
      <c r="BA7" s="7"/>
      <c r="BB7" s="7"/>
      <c r="BC7" s="7"/>
      <c r="BD7" s="7"/>
      <c r="BE7" s="7"/>
      <c r="BF7" s="7"/>
      <c r="BG7" s="7"/>
      <c r="BH7" s="7"/>
      <c r="BI7" s="7"/>
      <c r="BJ7" s="7"/>
    </row>
    <row r="8" spans="1:62" x14ac:dyDescent="0.3">
      <c r="A8" s="13" t="s">
        <v>630</v>
      </c>
      <c r="B8" s="6"/>
      <c r="C8" s="6"/>
      <c r="D8" s="6"/>
      <c r="E8" s="6"/>
      <c r="F8" s="6"/>
      <c r="G8" s="6"/>
      <c r="H8" s="6"/>
      <c r="I8" s="6"/>
      <c r="J8" s="6"/>
      <c r="K8" s="6"/>
      <c r="L8" s="6"/>
      <c r="M8" s="6"/>
      <c r="N8" s="6"/>
      <c r="O8" s="6"/>
      <c r="P8" s="6"/>
      <c r="Q8" s="6"/>
      <c r="R8" s="6"/>
      <c r="S8" s="6"/>
      <c r="T8" s="6"/>
      <c r="U8" s="6"/>
      <c r="V8" s="6"/>
      <c r="W8" s="6"/>
      <c r="X8" s="6"/>
      <c r="Y8" s="6"/>
      <c r="Z8" s="6"/>
      <c r="AA8" s="6"/>
      <c r="AB8" s="6"/>
      <c r="AC8" s="6">
        <v>2.732849972113776E-2</v>
      </c>
      <c r="AD8" s="6"/>
      <c r="AE8" s="6"/>
      <c r="AF8" s="11">
        <v>2.8633405639913231E-3</v>
      </c>
      <c r="AG8" s="6"/>
      <c r="AH8" s="6"/>
      <c r="AI8" s="6"/>
      <c r="AJ8" s="6"/>
      <c r="AK8" s="6"/>
      <c r="AL8" s="6"/>
      <c r="AM8" s="6"/>
      <c r="AN8" s="6"/>
      <c r="AO8" s="6"/>
      <c r="AP8" s="6"/>
      <c r="AQ8" s="6"/>
      <c r="AR8" s="6"/>
      <c r="AS8" s="6"/>
      <c r="AT8" s="7"/>
      <c r="AU8" s="7"/>
      <c r="AV8" s="7"/>
      <c r="AW8" s="7"/>
      <c r="AX8" s="7"/>
      <c r="AY8" s="6"/>
      <c r="AZ8" s="6"/>
      <c r="BA8" s="6"/>
      <c r="BB8" s="6"/>
      <c r="BC8" s="6"/>
      <c r="BD8" s="6">
        <v>0.09</v>
      </c>
      <c r="BE8" s="6">
        <v>2.6213703369243099E-2</v>
      </c>
      <c r="BF8" s="11">
        <v>3.2673593154999769E-3</v>
      </c>
      <c r="BG8" s="6">
        <v>5.8100084817642068E-2</v>
      </c>
      <c r="BH8" s="6"/>
      <c r="BI8" s="6"/>
      <c r="BJ8" s="6"/>
    </row>
    <row r="9" spans="1:62" x14ac:dyDescent="0.3">
      <c r="A9" s="13" t="s">
        <v>631</v>
      </c>
      <c r="B9" s="6"/>
      <c r="C9" s="6"/>
      <c r="D9" s="6"/>
      <c r="E9" s="6"/>
      <c r="F9" s="6"/>
      <c r="G9" s="6"/>
      <c r="H9" s="6"/>
      <c r="I9" s="6"/>
      <c r="J9" s="6">
        <v>0.02</v>
      </c>
      <c r="K9" s="6"/>
      <c r="L9" s="7"/>
      <c r="M9" s="6"/>
      <c r="N9" s="6">
        <v>1.8599999999999998E-2</v>
      </c>
      <c r="O9" s="6"/>
      <c r="P9" s="6"/>
      <c r="Q9" s="6"/>
      <c r="R9" s="6"/>
      <c r="S9" s="6"/>
      <c r="T9" s="6"/>
      <c r="U9" s="6"/>
      <c r="V9" s="6"/>
      <c r="W9" s="6"/>
      <c r="X9" s="6"/>
      <c r="Y9" s="6"/>
      <c r="Z9" s="6"/>
      <c r="AA9" s="6">
        <v>0.49589041095890407</v>
      </c>
      <c r="AB9" s="6"/>
      <c r="AC9" s="6"/>
      <c r="AD9" s="6"/>
      <c r="AE9" s="6"/>
      <c r="AF9" s="6"/>
      <c r="AG9" s="6"/>
      <c r="AH9" s="6"/>
      <c r="AI9" s="6"/>
      <c r="AJ9" s="6"/>
      <c r="AK9" s="6"/>
      <c r="AL9" s="6"/>
      <c r="AM9" s="6"/>
      <c r="AN9" s="6"/>
      <c r="AO9" s="6"/>
      <c r="AP9" s="6"/>
      <c r="AQ9" s="6"/>
      <c r="AR9" s="6"/>
      <c r="AS9" s="6"/>
      <c r="AT9" s="7"/>
      <c r="AU9" s="7"/>
      <c r="AV9" s="7"/>
      <c r="AW9" s="7"/>
      <c r="AX9" s="7"/>
      <c r="AY9" s="6"/>
      <c r="AZ9" s="6"/>
      <c r="BA9" s="6"/>
      <c r="BB9" s="6">
        <v>7.4999999999999997E-2</v>
      </c>
      <c r="BC9" s="6">
        <v>0.45</v>
      </c>
      <c r="BD9" s="6">
        <v>0.26</v>
      </c>
      <c r="BE9" s="6">
        <v>2.2258117853554304E-2</v>
      </c>
      <c r="BF9" s="6"/>
      <c r="BG9" s="6"/>
      <c r="BH9" s="6"/>
      <c r="BI9" s="6"/>
      <c r="BJ9" s="6"/>
    </row>
    <row r="10" spans="1:62" x14ac:dyDescent="0.3">
      <c r="A10" s="13" t="s">
        <v>632</v>
      </c>
      <c r="B10" s="6">
        <v>2.5000000000000001E-2</v>
      </c>
      <c r="C10" s="6"/>
      <c r="D10" s="6"/>
      <c r="E10" s="6"/>
      <c r="F10" s="6"/>
      <c r="G10" s="6"/>
      <c r="H10" s="6"/>
      <c r="I10" s="6"/>
      <c r="J10" s="6"/>
      <c r="K10" s="6"/>
      <c r="L10" s="7"/>
      <c r="M10" s="6"/>
      <c r="N10" s="6">
        <v>3.7199999999999997E-2</v>
      </c>
      <c r="O10" s="6"/>
      <c r="P10" s="6"/>
      <c r="Q10" s="6"/>
      <c r="R10" s="6">
        <v>0.01</v>
      </c>
      <c r="S10" s="6"/>
      <c r="T10" s="6"/>
      <c r="U10" s="6"/>
      <c r="V10" s="6"/>
      <c r="W10" s="6"/>
      <c r="X10" s="6"/>
      <c r="Y10" s="6">
        <v>0.01</v>
      </c>
      <c r="Z10" s="6">
        <v>5.2000000000000005E-2</v>
      </c>
      <c r="AA10" s="7"/>
      <c r="AB10" s="6">
        <v>5.6179775280898861E-2</v>
      </c>
      <c r="AC10" s="6">
        <v>4.7127718906860003E-2</v>
      </c>
      <c r="AD10" s="6">
        <v>5.3234488061673149E-3</v>
      </c>
      <c r="AE10" s="6"/>
      <c r="AF10" s="6"/>
      <c r="AG10" s="6"/>
      <c r="AH10" s="6">
        <v>5.8628571428571426E-2</v>
      </c>
      <c r="AI10" s="6"/>
      <c r="AJ10" s="6"/>
      <c r="AK10" s="7"/>
      <c r="AL10" s="6"/>
      <c r="AM10" s="6"/>
      <c r="AN10" s="6"/>
      <c r="AO10" s="6"/>
      <c r="AP10" s="6"/>
      <c r="AQ10" s="6"/>
      <c r="AR10" s="6"/>
      <c r="AS10" s="6"/>
      <c r="AT10" s="16"/>
      <c r="AU10" s="16"/>
      <c r="AV10" s="16"/>
      <c r="AW10" s="16"/>
      <c r="AX10" s="17">
        <v>0.18333333333333335</v>
      </c>
      <c r="AY10" s="6">
        <v>7.0000000000000007E-2</v>
      </c>
      <c r="AZ10" s="6"/>
      <c r="BA10" s="6">
        <v>0.02</v>
      </c>
      <c r="BB10" s="6">
        <v>7.4999999999999997E-2</v>
      </c>
      <c r="BC10" s="7"/>
      <c r="BD10" s="6">
        <v>0.39</v>
      </c>
      <c r="BE10" s="6">
        <v>9.85716647800262E-2</v>
      </c>
      <c r="BF10" s="6"/>
      <c r="BG10" s="6">
        <v>0.2599660729431722</v>
      </c>
      <c r="BH10" s="6"/>
      <c r="BI10" s="6"/>
      <c r="BJ10" s="6">
        <v>0.05</v>
      </c>
    </row>
    <row r="11" spans="1:62" x14ac:dyDescent="0.3">
      <c r="A11" s="13" t="s">
        <v>633</v>
      </c>
      <c r="B11" s="6"/>
      <c r="C11" s="6"/>
      <c r="D11" s="6"/>
      <c r="E11" s="6">
        <v>6.1944134078212296E-2</v>
      </c>
      <c r="F11" s="6"/>
      <c r="G11" s="6"/>
      <c r="H11" s="6"/>
      <c r="I11" s="6"/>
      <c r="J11" s="6"/>
      <c r="K11" s="6"/>
      <c r="L11" s="6">
        <v>0.05</v>
      </c>
      <c r="M11" s="6"/>
      <c r="N11" s="6"/>
      <c r="O11" s="6">
        <v>0.01</v>
      </c>
      <c r="P11" s="6">
        <v>5.0000000000000001E-3</v>
      </c>
      <c r="Q11" s="6"/>
      <c r="R11" s="6"/>
      <c r="S11" s="6"/>
      <c r="T11" s="7"/>
      <c r="U11" s="6">
        <v>0.05</v>
      </c>
      <c r="V11" s="6"/>
      <c r="W11" s="6"/>
      <c r="X11" s="6">
        <v>5.2200000000000003E-2</v>
      </c>
      <c r="Y11" s="6"/>
      <c r="Z11" s="6"/>
      <c r="AA11" s="7"/>
      <c r="AB11" s="6"/>
      <c r="AC11" s="6"/>
      <c r="AD11" s="6">
        <v>0.01</v>
      </c>
      <c r="AE11" s="6"/>
      <c r="AF11" s="6"/>
      <c r="AG11" s="6">
        <v>5.5384615384615386E-2</v>
      </c>
      <c r="AH11" s="6"/>
      <c r="AI11" s="6"/>
      <c r="AJ11" s="6"/>
      <c r="AK11" s="6">
        <v>0.44299777707208637</v>
      </c>
      <c r="AL11" s="6">
        <v>4.503020318506315E-2</v>
      </c>
      <c r="AM11" s="6"/>
      <c r="AN11" s="6"/>
      <c r="AO11" s="6"/>
      <c r="AP11" s="6"/>
      <c r="AQ11" s="6"/>
      <c r="AR11" s="6"/>
      <c r="AS11" s="6"/>
      <c r="AT11" s="7"/>
      <c r="AU11" s="7"/>
      <c r="AV11" s="7"/>
      <c r="AW11" s="7"/>
      <c r="AX11" s="10"/>
      <c r="AY11" s="6"/>
      <c r="AZ11" s="6"/>
      <c r="BA11" s="6"/>
      <c r="BB11" s="6"/>
      <c r="BC11" s="6"/>
      <c r="BD11" s="6"/>
      <c r="BE11" s="6"/>
      <c r="BF11" s="6"/>
      <c r="BG11" s="6">
        <v>5.8736217133163696E-2</v>
      </c>
      <c r="BH11" s="6"/>
      <c r="BI11" s="6"/>
      <c r="BJ11" s="6"/>
    </row>
    <row r="12" spans="1:62" x14ac:dyDescent="0.3">
      <c r="A12" s="13" t="s">
        <v>634</v>
      </c>
      <c r="B12" s="6"/>
      <c r="C12" s="6"/>
      <c r="D12" s="6">
        <v>0.49</v>
      </c>
      <c r="E12" s="6">
        <v>0.16842905027932961</v>
      </c>
      <c r="F12" s="6">
        <v>0.33432822029199777</v>
      </c>
      <c r="G12" s="6"/>
      <c r="H12" s="6"/>
      <c r="I12" s="6"/>
      <c r="J12" s="6">
        <v>0.30333333333333334</v>
      </c>
      <c r="K12" s="6">
        <v>0.11561999999999999</v>
      </c>
      <c r="L12" s="6">
        <v>0.315</v>
      </c>
      <c r="M12" s="6">
        <v>0.31234899328859062</v>
      </c>
      <c r="N12" s="6"/>
      <c r="O12" s="6">
        <v>0.16326530612244899</v>
      </c>
      <c r="P12" s="6">
        <v>0.28000000000000003</v>
      </c>
      <c r="Q12" s="6">
        <v>0.33106960950764008</v>
      </c>
      <c r="R12" s="6"/>
      <c r="S12" s="6"/>
      <c r="T12" s="6"/>
      <c r="U12" s="6"/>
      <c r="V12" s="6"/>
      <c r="W12" s="6"/>
      <c r="X12" s="6"/>
      <c r="Y12" s="6">
        <v>0.4</v>
      </c>
      <c r="Z12" s="6">
        <v>0.40899999999999997</v>
      </c>
      <c r="AA12" s="6"/>
      <c r="AB12" s="6"/>
      <c r="AC12" s="6"/>
      <c r="AD12" s="6"/>
      <c r="AE12" s="6"/>
      <c r="AF12" s="6"/>
      <c r="AG12" s="6">
        <v>0.03</v>
      </c>
      <c r="AH12" s="6">
        <v>6.2880000000000005E-2</v>
      </c>
      <c r="AI12" s="6"/>
      <c r="AJ12" s="6"/>
      <c r="AK12" s="6"/>
      <c r="AL12" s="6"/>
      <c r="AM12" s="6"/>
      <c r="AN12" s="6"/>
      <c r="AO12" s="6"/>
      <c r="AP12" s="6"/>
      <c r="AQ12" s="6"/>
      <c r="AR12" s="6"/>
      <c r="AS12" s="6"/>
      <c r="AT12" s="7"/>
      <c r="AU12" s="7"/>
      <c r="AV12" s="7"/>
      <c r="AW12" s="7"/>
      <c r="AX12" s="10"/>
      <c r="AY12" s="6"/>
      <c r="AZ12" s="6"/>
      <c r="BA12" s="6"/>
      <c r="BB12" s="6"/>
      <c r="BC12" s="6"/>
      <c r="BD12" s="6"/>
      <c r="BE12" s="6"/>
      <c r="BF12" s="6"/>
      <c r="BG12" s="6"/>
      <c r="BH12" s="6"/>
      <c r="BI12" s="6">
        <v>0.04</v>
      </c>
      <c r="BJ12" s="6"/>
    </row>
    <row r="13" spans="1:62" x14ac:dyDescent="0.3">
      <c r="A13" s="13" t="s">
        <v>635</v>
      </c>
      <c r="B13" s="6"/>
      <c r="C13" s="6"/>
      <c r="D13" s="6"/>
      <c r="E13" s="6"/>
      <c r="F13" s="6"/>
      <c r="G13" s="6"/>
      <c r="H13" s="6"/>
      <c r="I13" s="6"/>
      <c r="J13" s="6"/>
      <c r="K13" s="6"/>
      <c r="L13" s="6"/>
      <c r="M13" s="18"/>
      <c r="N13" s="6">
        <v>7.46E-2</v>
      </c>
      <c r="O13" s="6"/>
      <c r="P13" s="6"/>
      <c r="Q13" s="6"/>
      <c r="R13" s="6"/>
      <c r="S13" s="6"/>
      <c r="T13" s="6"/>
      <c r="U13" s="6"/>
      <c r="V13" s="6"/>
      <c r="W13" s="6"/>
      <c r="X13" s="6"/>
      <c r="Y13" s="6">
        <v>0.02</v>
      </c>
      <c r="Z13" s="6">
        <v>2.3800000000000005E-2</v>
      </c>
      <c r="AA13" s="6"/>
      <c r="AB13" s="6"/>
      <c r="AC13" s="6"/>
      <c r="AD13" s="6"/>
      <c r="AE13" s="6"/>
      <c r="AF13" s="6"/>
      <c r="AG13" s="6"/>
      <c r="AH13" s="6"/>
      <c r="AI13" s="6"/>
      <c r="AJ13" s="6"/>
      <c r="AK13" s="6"/>
      <c r="AL13" s="6"/>
      <c r="AM13" s="6"/>
      <c r="AN13" s="6"/>
      <c r="AO13" s="6"/>
      <c r="AP13" s="6"/>
      <c r="AQ13" s="6"/>
      <c r="AR13" s="6"/>
      <c r="AS13" s="6"/>
      <c r="AT13" s="7"/>
      <c r="AU13" s="7"/>
      <c r="AV13" s="7"/>
      <c r="AW13" s="7"/>
      <c r="AX13" s="10"/>
      <c r="AY13" s="6">
        <v>0.15</v>
      </c>
      <c r="AZ13" s="6">
        <v>0.05</v>
      </c>
      <c r="BA13" s="6">
        <v>0.55000000000000004</v>
      </c>
      <c r="BB13" s="6"/>
      <c r="BC13" s="6"/>
      <c r="BD13" s="6"/>
      <c r="BE13" s="6"/>
      <c r="BF13" s="6"/>
      <c r="BG13" s="6"/>
      <c r="BH13" s="6"/>
      <c r="BI13" s="6"/>
      <c r="BJ13" s="6"/>
    </row>
    <row r="14" spans="1:62" x14ac:dyDescent="0.3">
      <c r="A14" s="13" t="s">
        <v>636</v>
      </c>
      <c r="B14" s="6"/>
      <c r="C14" s="6">
        <v>0.15</v>
      </c>
      <c r="D14" s="6"/>
      <c r="E14" s="6"/>
      <c r="F14" s="6"/>
      <c r="G14" s="6">
        <v>1.7500000000000002E-2</v>
      </c>
      <c r="H14" s="6"/>
      <c r="I14" s="6"/>
      <c r="J14" s="6"/>
      <c r="K14" s="6"/>
      <c r="L14" s="6"/>
      <c r="M14" s="6">
        <v>0.03</v>
      </c>
      <c r="N14" s="6"/>
      <c r="O14" s="6">
        <v>5.2040816326530612E-2</v>
      </c>
      <c r="P14" s="6">
        <v>0.11180327868852459</v>
      </c>
      <c r="Q14" s="6">
        <v>9.5307917888563048E-2</v>
      </c>
      <c r="R14" s="6">
        <v>0.6</v>
      </c>
      <c r="S14" s="6">
        <v>0.38823529411764707</v>
      </c>
      <c r="T14" s="6">
        <v>3.9242605767782941E-2</v>
      </c>
      <c r="U14" s="6">
        <v>4.0000000000000008E-2</v>
      </c>
      <c r="V14" s="6"/>
      <c r="W14" s="11">
        <v>0.10133136265633874</v>
      </c>
      <c r="X14" s="6"/>
      <c r="Y14" s="6">
        <v>0.02</v>
      </c>
      <c r="Z14" s="6">
        <v>5.000000000000001E-3</v>
      </c>
      <c r="AA14" s="6">
        <v>0.33972602739726027</v>
      </c>
      <c r="AB14" s="6">
        <v>5.6179775280898866E-3</v>
      </c>
      <c r="AC14" s="6">
        <v>6.330172894590072E-2</v>
      </c>
      <c r="AD14" s="6">
        <v>0.24497722746899586</v>
      </c>
      <c r="AE14" s="6"/>
      <c r="AF14" s="6">
        <v>0.59286334056399137</v>
      </c>
      <c r="AG14" s="6">
        <v>0.39949999999999997</v>
      </c>
      <c r="AH14" s="6">
        <v>0.36680000000000001</v>
      </c>
      <c r="AI14" s="6">
        <v>0.3</v>
      </c>
      <c r="AJ14" s="6"/>
      <c r="AK14" s="11">
        <v>3.5578722386332313E-3</v>
      </c>
      <c r="AL14" s="11">
        <v>9.1408874767665259E-3</v>
      </c>
      <c r="AM14" s="6">
        <v>0.53557007612460672</v>
      </c>
      <c r="AN14" s="6">
        <v>0.65117702810579359</v>
      </c>
      <c r="AO14" s="6"/>
      <c r="AP14" s="6">
        <v>0.16734196802679147</v>
      </c>
      <c r="AQ14" s="6">
        <v>3.7862643095699068E-2</v>
      </c>
      <c r="AR14" s="6">
        <v>0.17889099160958616</v>
      </c>
      <c r="AS14" s="6">
        <v>0.68103271233680507</v>
      </c>
      <c r="AT14" s="7"/>
      <c r="AU14" s="6">
        <v>0.25</v>
      </c>
      <c r="AV14" s="7"/>
      <c r="AW14" s="7"/>
      <c r="AX14" s="10"/>
      <c r="AY14" s="6">
        <v>0.06</v>
      </c>
      <c r="AZ14" s="6">
        <v>0.48000000000000004</v>
      </c>
      <c r="BA14" s="6">
        <v>7.0000000000000007E-2</v>
      </c>
      <c r="BB14" s="6"/>
      <c r="BC14" s="6"/>
      <c r="BD14" s="6"/>
      <c r="BE14" s="6">
        <v>2.8490390852549508E-2</v>
      </c>
      <c r="BF14" s="6">
        <v>6.1656715716233372E-2</v>
      </c>
      <c r="BG14" s="6">
        <v>3.1170483460559797E-2</v>
      </c>
      <c r="BH14" s="6">
        <v>0.9</v>
      </c>
      <c r="BI14" s="6"/>
      <c r="BJ14" s="7"/>
    </row>
    <row r="15" spans="1:62" x14ac:dyDescent="0.3">
      <c r="A15" s="13" t="s">
        <v>637</v>
      </c>
      <c r="B15" s="6">
        <v>0.17499999999999999</v>
      </c>
      <c r="C15" s="6"/>
      <c r="D15" s="6">
        <v>0.18</v>
      </c>
      <c r="E15" s="6"/>
      <c r="F15" s="6"/>
      <c r="G15" s="6"/>
      <c r="H15" s="6"/>
      <c r="I15" s="6"/>
      <c r="J15" s="6">
        <v>5.0000000000000001E-3</v>
      </c>
      <c r="K15" s="6"/>
      <c r="L15" s="6"/>
      <c r="M15" s="6"/>
      <c r="N15" s="6">
        <v>5.1999999999999998E-2</v>
      </c>
      <c r="O15" s="6"/>
      <c r="P15" s="6"/>
      <c r="Q15" s="6"/>
      <c r="R15" s="6"/>
      <c r="S15" s="6"/>
      <c r="T15" s="6">
        <v>0.28383309800318696</v>
      </c>
      <c r="U15" s="6">
        <v>0.2</v>
      </c>
      <c r="V15" s="6">
        <v>8.4999999999999992E-2</v>
      </c>
      <c r="W15" s="6">
        <v>0.20915032679738563</v>
      </c>
      <c r="X15" s="6">
        <v>0.55559999999999998</v>
      </c>
      <c r="Y15" s="6"/>
      <c r="Z15" s="6">
        <v>9.75E-3</v>
      </c>
      <c r="AA15" s="6"/>
      <c r="AB15" s="6"/>
      <c r="AC15" s="6"/>
      <c r="AD15" s="6"/>
      <c r="AE15" s="6">
        <v>4.8000000000000001E-2</v>
      </c>
      <c r="AF15" s="6">
        <v>1.4999999999999999E-2</v>
      </c>
      <c r="AG15" s="6"/>
      <c r="AH15" s="6">
        <v>2.1000000000000001E-2</v>
      </c>
      <c r="AI15" s="6"/>
      <c r="AJ15" s="6"/>
      <c r="AK15" s="6">
        <v>6.2400762146713237E-2</v>
      </c>
      <c r="AL15" s="6">
        <v>0.12883031301482703</v>
      </c>
      <c r="AM15" s="6">
        <v>7.0921251803662683E-2</v>
      </c>
      <c r="AN15" s="6">
        <v>5.7096024877935921E-2</v>
      </c>
      <c r="AO15" s="6"/>
      <c r="AP15" s="6"/>
      <c r="AQ15" s="6"/>
      <c r="AR15" s="6"/>
      <c r="AS15" s="6"/>
      <c r="AT15" s="6">
        <v>0.33333333333333331</v>
      </c>
      <c r="AU15" s="6">
        <v>0.72222222222222221</v>
      </c>
      <c r="AV15" s="7"/>
      <c r="AW15" s="6"/>
      <c r="AX15" s="17">
        <v>0.18333333333333335</v>
      </c>
      <c r="AY15" s="6"/>
      <c r="AZ15" s="6"/>
      <c r="BA15" s="6"/>
      <c r="BB15" s="6"/>
      <c r="BC15" s="6"/>
      <c r="BD15" s="6"/>
      <c r="BE15" s="6"/>
      <c r="BF15" s="6"/>
      <c r="BG15" s="6"/>
      <c r="BH15" s="6"/>
      <c r="BI15" s="6"/>
      <c r="BJ15" s="6"/>
    </row>
    <row r="16" spans="1:62" x14ac:dyDescent="0.3">
      <c r="A16" s="13" t="s">
        <v>638</v>
      </c>
      <c r="B16" s="6"/>
      <c r="C16" s="6"/>
      <c r="D16" s="6"/>
      <c r="E16" s="6"/>
      <c r="F16" s="6"/>
      <c r="G16" s="7"/>
      <c r="H16" s="7"/>
      <c r="I16" s="6"/>
      <c r="J16" s="6"/>
      <c r="K16" s="6"/>
      <c r="L16" s="6"/>
      <c r="M16" s="6"/>
      <c r="N16" s="6"/>
      <c r="O16" s="6"/>
      <c r="P16" s="6"/>
      <c r="Q16" s="6"/>
      <c r="R16" s="6"/>
      <c r="S16" s="6"/>
      <c r="T16" s="7"/>
      <c r="U16" s="6"/>
      <c r="V16" s="6"/>
      <c r="W16" s="6"/>
      <c r="X16" s="7"/>
      <c r="Y16" s="6"/>
      <c r="Z16" s="6"/>
      <c r="AA16" s="6"/>
      <c r="AB16" s="6">
        <v>4.775280898876403E-2</v>
      </c>
      <c r="AC16" s="7"/>
      <c r="AD16" s="6"/>
      <c r="AE16" s="6"/>
      <c r="AF16" s="6"/>
      <c r="AG16" s="6">
        <v>0.02</v>
      </c>
      <c r="AH16" s="6"/>
      <c r="AI16" s="6"/>
      <c r="AJ16" s="6"/>
      <c r="AK16" s="6"/>
      <c r="AL16" s="6"/>
      <c r="AM16" s="6"/>
      <c r="AN16" s="6"/>
      <c r="AO16" s="6"/>
      <c r="AP16" s="6"/>
      <c r="AQ16" s="6"/>
      <c r="AR16" s="6"/>
      <c r="AS16" s="6"/>
      <c r="AT16" s="7"/>
      <c r="AU16" s="7"/>
      <c r="AV16" s="7"/>
      <c r="AW16" s="7"/>
      <c r="AX16" s="10"/>
      <c r="AY16" s="7"/>
      <c r="AZ16" s="6"/>
      <c r="BA16" s="6"/>
      <c r="BB16" s="6"/>
      <c r="BC16" s="7"/>
      <c r="BD16" s="7"/>
      <c r="BE16" s="6">
        <v>5.202040115487834E-2</v>
      </c>
      <c r="BF16" s="6"/>
      <c r="BG16" s="6"/>
      <c r="BH16" s="6"/>
      <c r="BI16" s="6"/>
      <c r="BJ16" s="6"/>
    </row>
    <row r="17" spans="1:62" x14ac:dyDescent="0.3">
      <c r="A17" s="13" t="s">
        <v>639</v>
      </c>
      <c r="B17" s="6">
        <v>2.5000000000000001E-2</v>
      </c>
      <c r="C17" s="6"/>
      <c r="D17" s="6"/>
      <c r="E17" s="6"/>
      <c r="F17" s="6">
        <v>3.9177433174845851E-2</v>
      </c>
      <c r="G17" s="6"/>
      <c r="H17" s="6"/>
      <c r="I17" s="6"/>
      <c r="J17" s="6"/>
      <c r="K17" s="6">
        <v>5.0457599999999991E-2</v>
      </c>
      <c r="L17" s="6">
        <v>2.7999999999999997E-2</v>
      </c>
      <c r="M17" s="6">
        <v>3.7514124293785311E-2</v>
      </c>
      <c r="N17" s="6"/>
      <c r="O17" s="6">
        <v>0.22</v>
      </c>
      <c r="P17" s="6"/>
      <c r="Q17" s="6"/>
      <c r="R17" s="6"/>
      <c r="S17" s="6"/>
      <c r="T17" s="6"/>
      <c r="U17" s="6"/>
      <c r="V17" s="6"/>
      <c r="W17" s="8"/>
      <c r="X17" s="6"/>
      <c r="Y17" s="6"/>
      <c r="Z17" s="6"/>
      <c r="AA17" s="6"/>
      <c r="AB17" s="6"/>
      <c r="AC17" s="6"/>
      <c r="AD17" s="6"/>
      <c r="AE17" s="6"/>
      <c r="AF17" s="6"/>
      <c r="AG17" s="6"/>
      <c r="AH17" s="6"/>
      <c r="AI17" s="6"/>
      <c r="AJ17" s="6"/>
      <c r="AK17" s="8"/>
      <c r="AL17" s="8"/>
      <c r="AM17" s="8"/>
      <c r="AN17" s="8"/>
      <c r="AO17" s="8"/>
      <c r="AP17" s="8"/>
      <c r="AQ17" s="8"/>
      <c r="AR17" s="8"/>
      <c r="AS17" s="8"/>
      <c r="AT17" s="7"/>
      <c r="AU17" s="7"/>
      <c r="AV17" s="7"/>
      <c r="AW17" s="7"/>
      <c r="AX17" s="10"/>
      <c r="AY17" s="6"/>
      <c r="AZ17" s="6"/>
      <c r="BA17" s="6"/>
      <c r="BB17" s="6"/>
      <c r="BC17" s="6"/>
      <c r="BD17" s="6"/>
      <c r="BE17" s="6"/>
      <c r="BF17" s="6"/>
      <c r="BG17" s="6"/>
      <c r="BH17" s="6"/>
      <c r="BI17" s="6"/>
      <c r="BJ17" s="6"/>
    </row>
    <row r="18" spans="1:62" x14ac:dyDescent="0.3">
      <c r="A18" s="13" t="s">
        <v>640</v>
      </c>
      <c r="B18" s="6"/>
      <c r="C18" s="6"/>
      <c r="D18" s="7"/>
      <c r="E18" s="6"/>
      <c r="F18" s="6">
        <v>0.16598259437845464</v>
      </c>
      <c r="G18" s="6"/>
      <c r="H18" s="6"/>
      <c r="I18" s="6"/>
      <c r="J18" s="6"/>
      <c r="K18" s="6">
        <v>0.14296319999999998</v>
      </c>
      <c r="L18" s="6"/>
      <c r="M18" s="6">
        <v>0.2076510067114094</v>
      </c>
      <c r="N18" s="6"/>
      <c r="O18" s="6"/>
      <c r="P18" s="6">
        <v>0.16</v>
      </c>
      <c r="Q18" s="6"/>
      <c r="R18" s="6"/>
      <c r="S18" s="6"/>
      <c r="T18" s="6">
        <v>0.26606726517469514</v>
      </c>
      <c r="U18" s="6"/>
      <c r="V18" s="6"/>
      <c r="W18" s="6"/>
      <c r="X18" s="6"/>
      <c r="Y18" s="6">
        <v>0.16</v>
      </c>
      <c r="Z18" s="6"/>
      <c r="AA18" s="6"/>
      <c r="AB18" s="6"/>
      <c r="AC18" s="6"/>
      <c r="AD18" s="6"/>
      <c r="AE18" s="6"/>
      <c r="AF18" s="6"/>
      <c r="AG18" s="6"/>
      <c r="AH18" s="6"/>
      <c r="AI18" s="6"/>
      <c r="AJ18" s="6"/>
      <c r="AK18" s="6"/>
      <c r="AL18" s="6"/>
      <c r="AM18" s="6"/>
      <c r="AN18" s="6"/>
      <c r="AO18" s="6"/>
      <c r="AP18" s="6"/>
      <c r="AQ18" s="6"/>
      <c r="AR18" s="6"/>
      <c r="AS18" s="6"/>
      <c r="AT18" s="7"/>
      <c r="AU18" s="7"/>
      <c r="AV18" s="7"/>
      <c r="AW18" s="7"/>
      <c r="AX18" s="10"/>
      <c r="AY18" s="6">
        <v>0.16</v>
      </c>
      <c r="AZ18" s="6"/>
      <c r="BA18" s="6"/>
      <c r="BB18" s="6"/>
      <c r="BC18" s="6"/>
      <c r="BD18" s="6"/>
      <c r="BE18" s="6"/>
      <c r="BF18" s="6"/>
      <c r="BG18" s="6"/>
      <c r="BH18" s="6"/>
      <c r="BI18" s="6">
        <v>0.01</v>
      </c>
      <c r="BJ18" s="6"/>
    </row>
    <row r="19" spans="1:62" x14ac:dyDescent="0.3">
      <c r="A19" s="13" t="s">
        <v>641</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11">
        <v>1.1433351924149468E-2</v>
      </c>
      <c r="AD19" s="6">
        <v>0.42960231865770226</v>
      </c>
      <c r="AE19" s="6"/>
      <c r="AF19" s="6"/>
      <c r="AG19" s="6"/>
      <c r="AH19" s="6"/>
      <c r="AI19" s="6"/>
      <c r="AJ19" s="6"/>
      <c r="AK19" s="6"/>
      <c r="AL19" s="6"/>
      <c r="AM19" s="6"/>
      <c r="AN19" s="6"/>
      <c r="AO19" s="6"/>
      <c r="AP19" s="6"/>
      <c r="AQ19" s="6"/>
      <c r="AR19" s="6"/>
      <c r="AS19" s="6"/>
      <c r="AT19" s="7"/>
      <c r="AU19" s="7"/>
      <c r="AV19" s="7"/>
      <c r="AW19" s="7"/>
      <c r="AX19" s="10"/>
      <c r="AY19" s="6"/>
      <c r="AZ19" s="6"/>
      <c r="BA19" s="6"/>
      <c r="BB19" s="6"/>
      <c r="BC19" s="6"/>
      <c r="BD19" s="6">
        <v>0.04</v>
      </c>
      <c r="BE19" s="6">
        <v>0.32894954402655707</v>
      </c>
      <c r="BF19" s="6">
        <v>0.92336984626956897</v>
      </c>
      <c r="BG19" s="6"/>
      <c r="BH19" s="6"/>
      <c r="BI19" s="6"/>
      <c r="BJ19" s="6"/>
    </row>
    <row r="20" spans="1:62" x14ac:dyDescent="0.3">
      <c r="A20" s="13" t="s">
        <v>642</v>
      </c>
      <c r="B20" s="6"/>
      <c r="C20" s="6"/>
      <c r="D20" s="6"/>
      <c r="E20" s="6"/>
      <c r="F20" s="6"/>
      <c r="G20" s="6"/>
      <c r="H20" s="6"/>
      <c r="I20" s="6"/>
      <c r="J20" s="6"/>
      <c r="K20" s="6"/>
      <c r="L20" s="6"/>
      <c r="M20" s="6"/>
      <c r="N20" s="6"/>
      <c r="O20" s="6"/>
      <c r="P20" s="6"/>
      <c r="Q20" s="6"/>
      <c r="R20" s="6">
        <v>0.1</v>
      </c>
      <c r="S20" s="6">
        <v>0.09</v>
      </c>
      <c r="T20" s="6"/>
      <c r="U20" s="6"/>
      <c r="V20" s="6"/>
      <c r="W20" s="6">
        <v>0.68559674191882458</v>
      </c>
      <c r="X20" s="6"/>
      <c r="Y20" s="6"/>
      <c r="Z20" s="6">
        <v>5.000000000000001E-3</v>
      </c>
      <c r="AA20" s="6"/>
      <c r="AB20" s="6"/>
      <c r="AC20" s="6"/>
      <c r="AD20" s="6"/>
      <c r="AE20" s="6"/>
      <c r="AF20" s="6">
        <v>0.02</v>
      </c>
      <c r="AG20" s="6"/>
      <c r="AH20" s="6"/>
      <c r="AI20" s="6"/>
      <c r="AJ20" s="6"/>
      <c r="AK20" s="6">
        <v>1.0891159199918688E-2</v>
      </c>
      <c r="AL20" s="6">
        <v>2.7981572709944079E-2</v>
      </c>
      <c r="AM20" s="6">
        <v>9.3035285673359988E-2</v>
      </c>
      <c r="AN20" s="6">
        <v>7.6821879608831526E-3</v>
      </c>
      <c r="AO20" s="6"/>
      <c r="AP20" s="6">
        <v>0.79736391432614973</v>
      </c>
      <c r="AQ20" s="6">
        <v>0.18762755298273232</v>
      </c>
      <c r="AR20" s="6">
        <v>0.53283314632144829</v>
      </c>
      <c r="AS20" s="6"/>
      <c r="AT20" s="7"/>
      <c r="AU20" s="7"/>
      <c r="AV20" s="7"/>
      <c r="AW20" s="7"/>
      <c r="AX20" s="10"/>
      <c r="AY20" s="6"/>
      <c r="AZ20" s="6"/>
      <c r="BA20" s="6">
        <v>0.02</v>
      </c>
      <c r="BB20" s="6"/>
      <c r="BC20" s="6"/>
      <c r="BD20" s="6"/>
      <c r="BE20" s="6"/>
      <c r="BF20" s="6"/>
      <c r="BG20" s="6">
        <v>3.0110262934690414E-2</v>
      </c>
      <c r="BH20" s="6"/>
      <c r="BI20" s="6"/>
      <c r="BJ20" s="6"/>
    </row>
    <row r="21" spans="1:62" x14ac:dyDescent="0.3">
      <c r="A21" s="15" t="s">
        <v>643</v>
      </c>
      <c r="B21" s="6"/>
      <c r="C21" s="6"/>
      <c r="D21" s="6"/>
      <c r="E21" s="6"/>
      <c r="F21" s="6"/>
      <c r="G21" s="7"/>
      <c r="H21" s="7"/>
      <c r="I21" s="6"/>
      <c r="J21" s="6"/>
      <c r="K21" s="6"/>
      <c r="L21" s="6"/>
      <c r="M21" s="6"/>
      <c r="N21" s="6"/>
      <c r="O21" s="6"/>
      <c r="P21" s="6"/>
      <c r="Q21" s="6"/>
      <c r="R21" s="6"/>
      <c r="S21" s="6"/>
      <c r="T21" s="7"/>
      <c r="U21" s="6"/>
      <c r="V21" s="6"/>
      <c r="W21" s="19"/>
      <c r="X21" s="7"/>
      <c r="Y21" s="6">
        <v>0.01</v>
      </c>
      <c r="Z21" s="6"/>
      <c r="AA21" s="6"/>
      <c r="AB21" s="6"/>
      <c r="AC21" s="7"/>
      <c r="AD21" s="6"/>
      <c r="AE21" s="6"/>
      <c r="AF21" s="6"/>
      <c r="AG21" s="6"/>
      <c r="AH21" s="6"/>
      <c r="AI21" s="6"/>
      <c r="AJ21" s="6"/>
      <c r="AK21" s="6"/>
      <c r="AL21" s="6"/>
      <c r="AM21" s="6">
        <v>5.777375387203159E-2</v>
      </c>
      <c r="AN21" s="6">
        <v>7.1018404826150711E-2</v>
      </c>
      <c r="AO21" s="6"/>
      <c r="AP21" s="6"/>
      <c r="AQ21" s="6">
        <v>0.35294117647058826</v>
      </c>
      <c r="AR21" s="6">
        <v>7.2413793103448282E-2</v>
      </c>
      <c r="AS21" s="6">
        <v>8.5741528531612141E-2</v>
      </c>
      <c r="AT21" s="8">
        <v>0.33333333333333331</v>
      </c>
      <c r="AU21" s="7"/>
      <c r="AV21" s="7"/>
      <c r="AW21" s="7"/>
      <c r="AX21" s="10"/>
      <c r="AY21" s="7"/>
      <c r="AZ21" s="6"/>
      <c r="BA21" s="6"/>
      <c r="BB21" s="6"/>
      <c r="BC21" s="7"/>
      <c r="BD21" s="7"/>
      <c r="BE21" s="6"/>
      <c r="BF21" s="6"/>
      <c r="BG21" s="6"/>
      <c r="BH21" s="6"/>
      <c r="BI21" s="6"/>
      <c r="BJ21" s="6"/>
    </row>
    <row r="22" spans="1:62" x14ac:dyDescent="0.3">
      <c r="A22" s="15" t="s">
        <v>644</v>
      </c>
      <c r="B22" s="6"/>
      <c r="C22" s="6"/>
      <c r="D22" s="6"/>
      <c r="E22" s="6"/>
      <c r="F22" s="6"/>
      <c r="G22" s="6"/>
      <c r="H22" s="6"/>
      <c r="I22" s="6"/>
      <c r="J22" s="6"/>
      <c r="K22" s="6"/>
      <c r="L22" s="6"/>
      <c r="M22" s="6"/>
      <c r="N22" s="6"/>
      <c r="O22" s="6"/>
      <c r="P22" s="6"/>
      <c r="Q22" s="6"/>
      <c r="R22" s="6">
        <v>0.04</v>
      </c>
      <c r="S22" s="6"/>
      <c r="T22" s="6"/>
      <c r="U22" s="6"/>
      <c r="V22" s="6">
        <v>0.22666666666666666</v>
      </c>
      <c r="W22" s="6"/>
      <c r="X22" s="6"/>
      <c r="Y22" s="6"/>
      <c r="Z22" s="6"/>
      <c r="AA22" s="6"/>
      <c r="AB22" s="6"/>
      <c r="AC22" s="6"/>
      <c r="AD22" s="6"/>
      <c r="AE22" s="6"/>
      <c r="AF22" s="6"/>
      <c r="AG22" s="6"/>
      <c r="AH22" s="6"/>
      <c r="AI22" s="6"/>
      <c r="AJ22" s="6"/>
      <c r="AK22" s="6"/>
      <c r="AL22" s="6"/>
      <c r="AM22" s="6"/>
      <c r="AN22" s="6"/>
      <c r="AO22" s="6"/>
      <c r="AP22" s="6"/>
      <c r="AQ22" s="6"/>
      <c r="AR22" s="6"/>
      <c r="AS22" s="6"/>
      <c r="AT22" s="7"/>
      <c r="AU22" s="7"/>
      <c r="AV22" s="7"/>
      <c r="AW22" s="7"/>
      <c r="AX22" s="10"/>
      <c r="AY22" s="6"/>
      <c r="AZ22" s="6"/>
      <c r="BA22" s="6"/>
      <c r="BB22" s="6"/>
      <c r="BC22" s="6"/>
      <c r="BD22" s="6"/>
      <c r="BE22" s="6"/>
      <c r="BF22" s="6"/>
      <c r="BG22" s="7"/>
      <c r="BH22" s="6"/>
      <c r="BI22" s="6"/>
      <c r="BJ22" s="6"/>
    </row>
    <row r="23" spans="1:62" x14ac:dyDescent="0.3">
      <c r="A23" s="13" t="s">
        <v>645</v>
      </c>
      <c r="B23" s="6"/>
      <c r="C23" s="6">
        <v>0.15</v>
      </c>
      <c r="D23" s="6"/>
      <c r="E23" s="6"/>
      <c r="F23" s="6">
        <v>8.9224811411098601E-2</v>
      </c>
      <c r="G23" s="6"/>
      <c r="H23" s="6"/>
      <c r="I23" s="6"/>
      <c r="J23" s="6">
        <v>0.30333333333333334</v>
      </c>
      <c r="K23" s="6">
        <v>0.31115519999999997</v>
      </c>
      <c r="L23" s="6">
        <v>9.0999999999999998E-2</v>
      </c>
      <c r="M23" s="6">
        <v>0.16</v>
      </c>
      <c r="N23" s="6"/>
      <c r="O23" s="6">
        <v>0.31</v>
      </c>
      <c r="P23" s="6">
        <v>0.12</v>
      </c>
      <c r="Q23" s="6">
        <v>7.0000000000000007E-2</v>
      </c>
      <c r="R23" s="6"/>
      <c r="S23" s="6"/>
      <c r="T23" s="7"/>
      <c r="U23" s="6"/>
      <c r="V23" s="6"/>
      <c r="W23" s="6"/>
      <c r="X23" s="6"/>
      <c r="Y23" s="6"/>
      <c r="Z23" s="6">
        <v>0.30710000000000004</v>
      </c>
      <c r="AA23" s="6"/>
      <c r="AB23" s="6"/>
      <c r="AC23" s="6"/>
      <c r="AD23" s="6"/>
      <c r="AE23" s="6"/>
      <c r="AF23" s="6"/>
      <c r="AG23" s="6"/>
      <c r="AH23" s="6"/>
      <c r="AI23" s="6"/>
      <c r="AJ23" s="6"/>
      <c r="AK23" s="6"/>
      <c r="AL23" s="6"/>
      <c r="AM23" s="6"/>
      <c r="AN23" s="6"/>
      <c r="AO23" s="6"/>
      <c r="AP23" s="6"/>
      <c r="AQ23" s="6"/>
      <c r="AR23" s="6"/>
      <c r="AS23" s="6"/>
      <c r="AT23" s="7"/>
      <c r="AU23" s="7"/>
      <c r="AV23" s="7"/>
      <c r="AW23" s="7"/>
      <c r="AX23" s="10"/>
      <c r="AY23" s="7"/>
      <c r="AZ23" s="6"/>
      <c r="BA23" s="6"/>
      <c r="BB23" s="6"/>
      <c r="BC23" s="6"/>
      <c r="BD23" s="6"/>
      <c r="BE23" s="6"/>
      <c r="BF23" s="6"/>
      <c r="BG23" s="6"/>
      <c r="BH23" s="6"/>
      <c r="BI23" s="6"/>
      <c r="BJ23" s="6"/>
    </row>
    <row r="24" spans="1:62" x14ac:dyDescent="0.3">
      <c r="A24" s="13" t="s">
        <v>646</v>
      </c>
      <c r="B24" s="6">
        <v>2.5000000000000001E-2</v>
      </c>
      <c r="C24" s="6"/>
      <c r="D24" s="7"/>
      <c r="E24" s="6">
        <v>6.7597765363128486E-3</v>
      </c>
      <c r="F24" s="6">
        <v>0.03</v>
      </c>
      <c r="G24" s="6"/>
      <c r="H24" s="6"/>
      <c r="I24" s="6"/>
      <c r="J24" s="6"/>
      <c r="K24" s="6">
        <v>1.7000000000000001E-2</v>
      </c>
      <c r="L24" s="6">
        <v>0.26100000000000001</v>
      </c>
      <c r="M24" s="6"/>
      <c r="N24" s="6"/>
      <c r="O24" s="6"/>
      <c r="P24" s="6"/>
      <c r="Q24" s="6"/>
      <c r="R24" s="6"/>
      <c r="S24" s="6"/>
      <c r="T24" s="6">
        <v>5.0715923917025119E-2</v>
      </c>
      <c r="U24" s="6">
        <v>0.1</v>
      </c>
      <c r="V24" s="6">
        <v>5.6666666666666664E-2</v>
      </c>
      <c r="W24" s="6"/>
      <c r="X24" s="6">
        <v>0.15</v>
      </c>
      <c r="Y24" s="6"/>
      <c r="Z24" s="6"/>
      <c r="AA24" s="6"/>
      <c r="AB24" s="6"/>
      <c r="AC24" s="6"/>
      <c r="AD24" s="6"/>
      <c r="AE24" s="6"/>
      <c r="AF24" s="6"/>
      <c r="AG24" s="6"/>
      <c r="AH24" s="6"/>
      <c r="AI24" s="6"/>
      <c r="AJ24" s="6"/>
      <c r="AK24" s="6"/>
      <c r="AL24" s="6"/>
      <c r="AM24" s="6"/>
      <c r="AN24" s="6"/>
      <c r="AO24" s="6"/>
      <c r="AP24" s="6"/>
      <c r="AQ24" s="6"/>
      <c r="AR24" s="6"/>
      <c r="AS24" s="6"/>
      <c r="AT24" s="7"/>
      <c r="AU24" s="7"/>
      <c r="AV24" s="7"/>
      <c r="AW24" s="7"/>
      <c r="AX24" s="10"/>
      <c r="AY24" s="6"/>
      <c r="AZ24" s="6"/>
      <c r="BA24" s="6"/>
      <c r="BB24" s="6"/>
      <c r="BC24" s="6"/>
      <c r="BD24" s="6"/>
      <c r="BE24" s="6"/>
      <c r="BF24" s="6"/>
      <c r="BG24" s="6"/>
      <c r="BH24" s="6"/>
      <c r="BI24" s="6"/>
      <c r="BJ24" s="6"/>
    </row>
    <row r="25" spans="1:62" x14ac:dyDescent="0.3">
      <c r="A25" s="13" t="s">
        <v>647</v>
      </c>
      <c r="B25" s="6">
        <v>0.05</v>
      </c>
      <c r="C25" s="8"/>
      <c r="D25" s="8"/>
      <c r="E25" s="8"/>
      <c r="F25" s="8"/>
      <c r="G25" s="8"/>
      <c r="H25" s="6">
        <v>0.05</v>
      </c>
      <c r="I25" s="8"/>
      <c r="J25" s="8"/>
      <c r="K25" s="8"/>
      <c r="L25" s="6">
        <v>6.9999999999999993E-2</v>
      </c>
      <c r="M25" s="8">
        <v>7.796610169491526E-2</v>
      </c>
      <c r="N25" s="8"/>
      <c r="O25" s="8"/>
      <c r="P25" s="8"/>
      <c r="Q25" s="8">
        <v>9.5307917888563048E-2</v>
      </c>
      <c r="R25" s="8"/>
      <c r="S25" s="8"/>
      <c r="T25" s="7"/>
      <c r="U25" s="8"/>
      <c r="V25" s="7"/>
      <c r="W25" s="8"/>
      <c r="X25" s="8"/>
      <c r="Y25" s="7"/>
      <c r="Z25" s="8"/>
      <c r="AA25" s="8"/>
      <c r="AB25" s="8"/>
      <c r="AC25" s="8"/>
      <c r="AD25" s="8"/>
      <c r="AE25" s="8"/>
      <c r="AF25" s="8"/>
      <c r="AG25" s="8"/>
      <c r="AH25" s="8"/>
      <c r="AI25" s="8"/>
      <c r="AJ25" s="7"/>
      <c r="AK25" s="8"/>
      <c r="AL25" s="8"/>
      <c r="AM25" s="8"/>
      <c r="AN25" s="8"/>
      <c r="AO25" s="8"/>
      <c r="AP25" s="8"/>
      <c r="AQ25" s="8"/>
      <c r="AR25" s="8"/>
      <c r="AS25" s="8"/>
      <c r="AT25" s="7"/>
      <c r="AU25" s="7"/>
      <c r="AV25" s="7"/>
      <c r="AW25" s="7"/>
      <c r="AX25" s="10"/>
      <c r="AY25" s="7"/>
      <c r="AZ25" s="8"/>
      <c r="BA25" s="8"/>
      <c r="BB25" s="8"/>
      <c r="BC25" s="8"/>
      <c r="BD25" s="8"/>
      <c r="BE25" s="8"/>
      <c r="BF25" s="8"/>
      <c r="BG25" s="8"/>
      <c r="BH25" s="8"/>
      <c r="BI25" s="8"/>
      <c r="BJ25" s="8"/>
    </row>
    <row r="26" spans="1:62" x14ac:dyDescent="0.3">
      <c r="A26" s="13" t="s">
        <v>648</v>
      </c>
      <c r="B26" s="7"/>
      <c r="C26" s="6">
        <v>0.22</v>
      </c>
      <c r="D26" s="6">
        <v>9.5000000000000001E-2</v>
      </c>
      <c r="E26" s="6">
        <v>4.3311731843575417E-2</v>
      </c>
      <c r="F26" s="6">
        <v>2.0403555047798255E-2</v>
      </c>
      <c r="G26" s="6">
        <v>0.1308333333333333</v>
      </c>
      <c r="H26" s="7"/>
      <c r="I26" s="6">
        <v>7.781153846153846E-2</v>
      </c>
      <c r="J26" s="6"/>
      <c r="K26" s="6">
        <v>0.14192399999999999</v>
      </c>
      <c r="L26" s="7"/>
      <c r="M26" s="6"/>
      <c r="N26" s="6">
        <v>2.76E-2</v>
      </c>
      <c r="O26" s="6">
        <v>4.1632653061224434E-2</v>
      </c>
      <c r="P26" s="6">
        <v>0.14237704918032784</v>
      </c>
      <c r="Q26" s="7"/>
      <c r="R26" s="6">
        <v>0.05</v>
      </c>
      <c r="S26" s="6">
        <v>0.26</v>
      </c>
      <c r="T26" s="7"/>
      <c r="U26" s="6">
        <v>0.05</v>
      </c>
      <c r="V26" s="6">
        <v>2.8333333333333332E-2</v>
      </c>
      <c r="W26" s="11">
        <v>3.9215686274509803E-3</v>
      </c>
      <c r="X26" s="6">
        <v>0.02</v>
      </c>
      <c r="Y26" s="6">
        <v>0.11</v>
      </c>
      <c r="Z26" s="6"/>
      <c r="AA26" s="6"/>
      <c r="AB26" s="6">
        <v>1.6853932584269659E-2</v>
      </c>
      <c r="AC26" s="6">
        <v>1.5337423312883434E-2</v>
      </c>
      <c r="AD26" s="6">
        <v>0.13481752400481084</v>
      </c>
      <c r="AE26" s="6">
        <v>8.0000000000000002E-3</v>
      </c>
      <c r="AF26" s="6">
        <v>7.4999999999999997E-2</v>
      </c>
      <c r="AG26" s="6">
        <v>0.15049999999999999</v>
      </c>
      <c r="AH26" s="6">
        <v>4.0440000000000004E-2</v>
      </c>
      <c r="AI26" s="6"/>
      <c r="AJ26" s="6">
        <v>0.1</v>
      </c>
      <c r="AK26" s="6">
        <v>9.3045411241664017E-2</v>
      </c>
      <c r="AL26" s="6">
        <v>8.3800109829763866E-2</v>
      </c>
      <c r="AM26" s="6">
        <v>2.1373527940829851E-2</v>
      </c>
      <c r="AN26" s="11">
        <v>3.7075340829828521E-3</v>
      </c>
      <c r="AO26" s="6">
        <v>0.970873786407767</v>
      </c>
      <c r="AP26" s="6">
        <v>3.5294117647058823E-2</v>
      </c>
      <c r="AQ26" s="6">
        <v>3.725490196078432E-2</v>
      </c>
      <c r="AR26" s="6">
        <v>5.1724137931034482E-2</v>
      </c>
      <c r="AS26" s="6">
        <v>1.7647058823529412E-2</v>
      </c>
      <c r="AT26" s="6">
        <v>0.33333333333333331</v>
      </c>
      <c r="AU26" s="6">
        <v>2.7777777777777776E-2</v>
      </c>
      <c r="AV26" s="6">
        <v>0.55000000000000004</v>
      </c>
      <c r="AW26" s="6">
        <v>0.55000000000000004</v>
      </c>
      <c r="AX26" s="17">
        <v>0.18333333333333335</v>
      </c>
      <c r="AY26" s="6">
        <v>0.11</v>
      </c>
      <c r="AZ26" s="6">
        <v>0.29000000000000004</v>
      </c>
      <c r="BA26" s="6"/>
      <c r="BB26" s="6">
        <v>0.05</v>
      </c>
      <c r="BC26" s="6"/>
      <c r="BD26" s="6">
        <v>0.16</v>
      </c>
      <c r="BE26" s="6">
        <v>3.7393637993971232E-2</v>
      </c>
      <c r="BF26" s="6">
        <v>1.1706078698697758E-2</v>
      </c>
      <c r="BG26" s="6">
        <v>6.9974554707379136E-2</v>
      </c>
      <c r="BH26" s="6"/>
      <c r="BI26" s="6">
        <v>1.7000000000000005E-2</v>
      </c>
      <c r="BJ26" s="6">
        <v>0.1</v>
      </c>
    </row>
    <row r="27" spans="1:62" x14ac:dyDescent="0.3">
      <c r="A27" s="13" t="s">
        <v>649</v>
      </c>
      <c r="B27" s="6">
        <v>0.05</v>
      </c>
      <c r="C27" s="6"/>
      <c r="D27" s="6">
        <v>9.5000000000000001E-2</v>
      </c>
      <c r="E27" s="6"/>
      <c r="F27" s="6"/>
      <c r="G27" s="6">
        <v>0.1308333333333333</v>
      </c>
      <c r="H27" s="6"/>
      <c r="I27" s="6">
        <v>1.9E-2</v>
      </c>
      <c r="J27" s="6"/>
      <c r="K27" s="6"/>
      <c r="L27" s="6"/>
      <c r="M27" s="6"/>
      <c r="N27" s="6">
        <v>6.2700000000000006E-2</v>
      </c>
      <c r="O27" s="6"/>
      <c r="P27" s="6"/>
      <c r="Q27" s="6">
        <v>0.03</v>
      </c>
      <c r="R27" s="6"/>
      <c r="S27" s="6"/>
      <c r="T27" s="6"/>
      <c r="U27" s="6">
        <v>0.05</v>
      </c>
      <c r="V27" s="6"/>
      <c r="W27" s="6"/>
      <c r="X27" s="6">
        <v>7.22E-2</v>
      </c>
      <c r="Y27" s="6"/>
      <c r="Z27" s="6"/>
      <c r="AA27" s="6"/>
      <c r="AB27" s="6"/>
      <c r="AC27" s="6"/>
      <c r="AD27" s="6"/>
      <c r="AE27" s="6"/>
      <c r="AF27" s="6">
        <v>0.03</v>
      </c>
      <c r="AG27" s="6"/>
      <c r="AH27" s="6"/>
      <c r="AI27" s="6">
        <v>0.05</v>
      </c>
      <c r="AJ27" s="6">
        <v>0.1</v>
      </c>
      <c r="AK27" s="6"/>
      <c r="AL27" s="6"/>
      <c r="AM27" s="6"/>
      <c r="AN27" s="6"/>
      <c r="AO27" s="6">
        <v>2.9126213592233011E-2</v>
      </c>
      <c r="AP27" s="6"/>
      <c r="AQ27" s="6"/>
      <c r="AR27" s="6"/>
      <c r="AS27" s="6"/>
      <c r="AT27" s="7"/>
      <c r="AU27" s="7"/>
      <c r="AV27" s="7"/>
      <c r="AW27" s="7"/>
      <c r="AX27" s="7"/>
      <c r="AY27" s="6"/>
      <c r="AZ27" s="6"/>
      <c r="BA27" s="6">
        <v>0.11</v>
      </c>
      <c r="BB27" s="6"/>
      <c r="BC27" s="6"/>
      <c r="BD27" s="6">
        <v>0.06</v>
      </c>
      <c r="BE27" s="6">
        <v>3.7393637993971232E-2</v>
      </c>
      <c r="BF27" s="6"/>
      <c r="BG27" s="6">
        <v>3.7531806615776084E-2</v>
      </c>
      <c r="BH27" s="6">
        <v>0.1</v>
      </c>
      <c r="BI27" s="6"/>
      <c r="BJ27" s="6">
        <v>0.1</v>
      </c>
    </row>
    <row r="28" spans="1:62" x14ac:dyDescent="0.3">
      <c r="A28" s="13" t="s">
        <v>650</v>
      </c>
      <c r="B28" s="6"/>
      <c r="C28" s="6"/>
      <c r="D28" s="6">
        <v>0.04</v>
      </c>
      <c r="E28" s="6"/>
      <c r="F28" s="6"/>
      <c r="G28" s="6">
        <v>0.1308333333333333</v>
      </c>
      <c r="H28" s="6"/>
      <c r="I28" s="6"/>
      <c r="J28" s="6"/>
      <c r="K28" s="6"/>
      <c r="L28" s="6"/>
      <c r="M28" s="6"/>
      <c r="N28" s="6"/>
      <c r="O28" s="6"/>
      <c r="P28" s="6"/>
      <c r="Q28" s="6"/>
      <c r="R28" s="6"/>
      <c r="S28" s="6"/>
      <c r="T28" s="6">
        <v>2.3450965844248117E-2</v>
      </c>
      <c r="U28" s="6">
        <v>0.05</v>
      </c>
      <c r="V28" s="8">
        <v>0.22666666666666666</v>
      </c>
      <c r="W28" s="6"/>
      <c r="X28" s="6"/>
      <c r="Y28" s="6"/>
      <c r="Z28" s="6"/>
      <c r="AA28" s="6"/>
      <c r="AB28" s="6"/>
      <c r="AC28" s="6"/>
      <c r="AD28" s="6"/>
      <c r="AE28" s="6"/>
      <c r="AF28" s="6"/>
      <c r="AG28" s="6"/>
      <c r="AH28" s="6">
        <v>0.02</v>
      </c>
      <c r="AI28" s="6">
        <v>0.05</v>
      </c>
      <c r="AJ28" s="7"/>
      <c r="AK28" s="6">
        <v>1.4925373134328358E-2</v>
      </c>
      <c r="AL28" s="6">
        <v>0.35969247666117515</v>
      </c>
      <c r="AM28" s="6">
        <v>2.0402003943519403E-2</v>
      </c>
      <c r="AN28" s="11">
        <v>2.7188583275207581E-3</v>
      </c>
      <c r="AO28" s="6"/>
      <c r="AP28" s="6"/>
      <c r="AQ28" s="6">
        <v>0.1</v>
      </c>
      <c r="AR28" s="6"/>
      <c r="AS28" s="6"/>
      <c r="AT28" s="7"/>
      <c r="AU28" s="7"/>
      <c r="AV28" s="6">
        <v>0.45</v>
      </c>
      <c r="AW28" s="6">
        <v>0.45</v>
      </c>
      <c r="AX28" s="6">
        <v>0.45</v>
      </c>
      <c r="AY28" s="6"/>
      <c r="AZ28" s="6"/>
      <c r="BA28" s="6"/>
      <c r="BB28" s="6"/>
      <c r="BC28" s="6">
        <v>0.45</v>
      </c>
      <c r="BD28" s="6"/>
      <c r="BE28" s="6"/>
      <c r="BF28" s="6"/>
      <c r="BG28" s="6">
        <v>0.36789652247667515</v>
      </c>
      <c r="BH28" s="6"/>
      <c r="BI28" s="6">
        <v>2.3E-2</v>
      </c>
      <c r="BJ28" s="6">
        <v>6.9500000000000006E-2</v>
      </c>
    </row>
    <row r="29" spans="1:62" x14ac:dyDescent="0.3">
      <c r="A29" s="13" t="s">
        <v>651</v>
      </c>
      <c r="B29" s="6"/>
      <c r="C29" s="6"/>
      <c r="D29" s="6"/>
      <c r="E29" s="6">
        <v>1.1675977653631285E-2</v>
      </c>
      <c r="F29" s="6">
        <v>0.20162362863527156</v>
      </c>
      <c r="G29" s="6"/>
      <c r="H29" s="6"/>
      <c r="I29" s="6"/>
      <c r="J29" s="6"/>
      <c r="K29" s="6"/>
      <c r="L29" s="6">
        <v>0.02</v>
      </c>
      <c r="M29" s="11">
        <v>4.5197740112994352E-3</v>
      </c>
      <c r="N29" s="6"/>
      <c r="O29" s="6"/>
      <c r="P29" s="6"/>
      <c r="Q29" s="6"/>
      <c r="R29" s="6"/>
      <c r="S29" s="6">
        <v>0.2</v>
      </c>
      <c r="T29" s="6"/>
      <c r="U29" s="6"/>
      <c r="V29" s="6"/>
      <c r="W29" s="6"/>
      <c r="X29" s="6"/>
      <c r="Y29" s="6"/>
      <c r="Z29" s="6"/>
      <c r="AA29" s="6"/>
      <c r="AB29" s="6"/>
      <c r="AC29" s="6"/>
      <c r="AD29" s="6"/>
      <c r="AE29" s="6"/>
      <c r="AF29" s="6"/>
      <c r="AG29" s="6">
        <v>0.11470588235294117</v>
      </c>
      <c r="AH29" s="6"/>
      <c r="AI29" s="6"/>
      <c r="AJ29" s="6"/>
      <c r="AK29" s="6"/>
      <c r="AL29" s="6"/>
      <c r="AM29" s="6"/>
      <c r="AN29" s="6"/>
      <c r="AO29" s="6"/>
      <c r="AP29" s="6"/>
      <c r="AQ29" s="6"/>
      <c r="AR29" s="6"/>
      <c r="AS29" s="6"/>
      <c r="AT29" s="7"/>
      <c r="AU29" s="7"/>
      <c r="AV29" s="7"/>
      <c r="AW29" s="7"/>
      <c r="AX29" s="7"/>
      <c r="AY29" s="6"/>
      <c r="AZ29" s="6"/>
      <c r="BA29" s="6"/>
      <c r="BB29" s="6"/>
      <c r="BC29" s="6"/>
      <c r="BD29" s="6"/>
      <c r="BE29" s="6"/>
      <c r="BF29" s="6"/>
      <c r="BG29" s="6"/>
      <c r="BH29" s="6"/>
      <c r="BI29" s="6"/>
      <c r="BJ29" s="6"/>
    </row>
    <row r="30" spans="1:62" x14ac:dyDescent="0.3">
      <c r="A30" s="13" t="s">
        <v>652</v>
      </c>
      <c r="B30" s="6"/>
      <c r="C30" s="6"/>
      <c r="D30" s="6"/>
      <c r="E30" s="6"/>
      <c r="F30" s="6"/>
      <c r="G30" s="6"/>
      <c r="H30" s="6"/>
      <c r="I30" s="6">
        <v>0.53200000000000003</v>
      </c>
      <c r="J30" s="6"/>
      <c r="K30" s="6"/>
      <c r="L30" s="6"/>
      <c r="M30" s="6"/>
      <c r="N30" s="6"/>
      <c r="O30" s="6"/>
      <c r="P30" s="6"/>
      <c r="Q30" s="6"/>
      <c r="R30" s="6"/>
      <c r="S30" s="6"/>
      <c r="T30" s="6"/>
      <c r="U30" s="6"/>
      <c r="V30" s="6"/>
      <c r="W30" s="6"/>
      <c r="X30" s="6"/>
      <c r="Y30" s="6"/>
      <c r="Z30" s="6">
        <v>9.75E-3</v>
      </c>
      <c r="AA30" s="6"/>
      <c r="AB30" s="6"/>
      <c r="AC30" s="6"/>
      <c r="AD30" s="6"/>
      <c r="AE30" s="6"/>
      <c r="AF30" s="6"/>
      <c r="AG30" s="6"/>
      <c r="AH30" s="6"/>
      <c r="AI30" s="6"/>
      <c r="AJ30" s="6"/>
      <c r="AK30" s="6"/>
      <c r="AL30" s="6"/>
      <c r="AM30" s="6"/>
      <c r="AN30" s="6"/>
      <c r="AO30" s="6"/>
      <c r="AP30" s="6"/>
      <c r="AQ30" s="6"/>
      <c r="AR30" s="6"/>
      <c r="AS30" s="6"/>
      <c r="AT30" s="7"/>
      <c r="AU30" s="7"/>
      <c r="AV30" s="7"/>
      <c r="AW30" s="7"/>
      <c r="AX30" s="7"/>
      <c r="AY30" s="6"/>
      <c r="AZ30" s="6"/>
      <c r="BA30" s="6"/>
      <c r="BB30" s="6"/>
      <c r="BC30" s="6"/>
      <c r="BD30" s="6"/>
      <c r="BE30" s="6"/>
      <c r="BF30" s="6"/>
      <c r="BG30" s="6"/>
      <c r="BH30" s="6"/>
      <c r="BI30" s="6">
        <v>0.03</v>
      </c>
      <c r="BJ30" s="6"/>
    </row>
    <row r="31" spans="1:62" x14ac:dyDescent="0.3">
      <c r="A31" s="13" t="s">
        <v>653</v>
      </c>
      <c r="B31" s="6"/>
      <c r="C31" s="6"/>
      <c r="D31" s="6"/>
      <c r="E31" s="6"/>
      <c r="F31" s="6"/>
      <c r="G31" s="6"/>
      <c r="H31" s="6"/>
      <c r="I31" s="6">
        <v>0.11399999999999999</v>
      </c>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7"/>
      <c r="AU31" s="7"/>
      <c r="AV31" s="7"/>
      <c r="AW31" s="7"/>
      <c r="AX31" s="7"/>
      <c r="AY31" s="6"/>
      <c r="AZ31" s="6"/>
      <c r="BA31" s="6"/>
      <c r="BB31" s="6"/>
      <c r="BC31" s="6"/>
      <c r="BD31" s="6"/>
      <c r="BE31" s="6"/>
      <c r="BF31" s="6"/>
      <c r="BG31" s="6"/>
      <c r="BH31" s="6"/>
      <c r="BI31" s="6"/>
      <c r="BJ31" s="6"/>
    </row>
    <row r="32" spans="1:62" x14ac:dyDescent="0.3">
      <c r="A32" s="13" t="s">
        <v>654</v>
      </c>
      <c r="B32" s="6"/>
      <c r="C32" s="6"/>
      <c r="D32" s="6"/>
      <c r="E32" s="6"/>
      <c r="F32" s="6"/>
      <c r="G32" s="6"/>
      <c r="H32" s="6"/>
      <c r="I32" s="6">
        <v>1.14E-2</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7"/>
      <c r="AU32" s="7"/>
      <c r="AV32" s="7"/>
      <c r="AW32" s="7"/>
      <c r="AX32" s="7"/>
      <c r="AY32" s="6"/>
      <c r="AZ32" s="6"/>
      <c r="BA32" s="6"/>
      <c r="BB32" s="6"/>
      <c r="BC32" s="6"/>
      <c r="BD32" s="6"/>
      <c r="BE32" s="9">
        <v>2.9126337076936775E-3</v>
      </c>
      <c r="BF32" s="6"/>
      <c r="BG32" s="6"/>
      <c r="BH32" s="6"/>
      <c r="BI32" s="6"/>
      <c r="BJ32" s="6">
        <v>0.1</v>
      </c>
    </row>
    <row r="33" spans="1:62" x14ac:dyDescent="0.3">
      <c r="A33" s="13" t="s">
        <v>655</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v>3.8742877422662123E-2</v>
      </c>
      <c r="AE33" s="6"/>
      <c r="AF33" s="6"/>
      <c r="AG33" s="6"/>
      <c r="AH33" s="6"/>
      <c r="AI33" s="6"/>
      <c r="AJ33" s="6"/>
      <c r="AK33" s="6"/>
      <c r="AL33" s="6"/>
      <c r="AM33" s="6"/>
      <c r="AN33" s="6"/>
      <c r="AO33" s="6"/>
      <c r="AP33" s="6"/>
      <c r="AQ33" s="6"/>
      <c r="AR33" s="6"/>
      <c r="AS33" s="6"/>
      <c r="AT33" s="7"/>
      <c r="AU33" s="7"/>
      <c r="AV33" s="7"/>
      <c r="AW33" s="7"/>
      <c r="AX33" s="7"/>
      <c r="AY33" s="6"/>
      <c r="AZ33" s="6"/>
      <c r="BA33" s="6"/>
      <c r="BB33" s="6"/>
      <c r="BC33" s="6"/>
      <c r="BD33" s="6"/>
      <c r="BE33" s="6"/>
      <c r="BF33" s="6"/>
      <c r="BG33" s="6"/>
      <c r="BH33" s="6"/>
      <c r="BI33" s="6"/>
      <c r="BJ33" s="6"/>
    </row>
    <row r="34" spans="1:62" x14ac:dyDescent="0.3">
      <c r="A34" s="13" t="s">
        <v>656</v>
      </c>
      <c r="B34" s="6"/>
      <c r="C34" s="6"/>
      <c r="D34" s="6"/>
      <c r="E34" s="6"/>
      <c r="F34" s="6"/>
      <c r="G34" s="6"/>
      <c r="H34" s="6"/>
      <c r="I34" s="6">
        <v>0.22799999999999998</v>
      </c>
      <c r="J34" s="6"/>
      <c r="K34" s="6"/>
      <c r="L34" s="6"/>
      <c r="M34" s="6"/>
      <c r="N34" s="6"/>
      <c r="O34" s="6"/>
      <c r="P34" s="6"/>
      <c r="Q34" s="6"/>
      <c r="R34" s="6"/>
      <c r="S34" s="6"/>
      <c r="T34" s="6"/>
      <c r="U34" s="6"/>
      <c r="V34" s="6"/>
      <c r="W34" s="6"/>
      <c r="X34" s="6"/>
      <c r="Y34" s="6"/>
      <c r="Z34" s="6">
        <v>1.95E-2</v>
      </c>
      <c r="AA34" s="6"/>
      <c r="AB34" s="6"/>
      <c r="AC34" s="6"/>
      <c r="AD34" s="6"/>
      <c r="AE34" s="6">
        <v>0.06</v>
      </c>
      <c r="AF34" s="6"/>
      <c r="AG34" s="6">
        <v>0.12461538461538461</v>
      </c>
      <c r="AH34" s="6">
        <v>1.3371428571428571E-2</v>
      </c>
      <c r="AI34" s="6"/>
      <c r="AJ34" s="6"/>
      <c r="AK34" s="6"/>
      <c r="AL34" s="6"/>
      <c r="AM34" s="6"/>
      <c r="AN34" s="6"/>
      <c r="AO34" s="6"/>
      <c r="AP34" s="6"/>
      <c r="AQ34" s="6"/>
      <c r="AR34" s="6"/>
      <c r="AS34" s="6"/>
      <c r="AT34" s="7"/>
      <c r="AU34" s="7"/>
      <c r="AV34" s="7"/>
      <c r="AW34" s="7"/>
      <c r="AX34" s="7"/>
      <c r="AY34" s="6"/>
      <c r="AZ34" s="6"/>
      <c r="BA34" s="6"/>
      <c r="BB34" s="6"/>
      <c r="BC34" s="6"/>
      <c r="BD34" s="6"/>
      <c r="BE34" s="6"/>
      <c r="BF34" s="6"/>
      <c r="BG34" s="6"/>
      <c r="BH34" s="6"/>
      <c r="BI34" s="6"/>
      <c r="BJ34" s="6"/>
    </row>
    <row r="35" spans="1:62" x14ac:dyDescent="0.3">
      <c r="A35" s="13" t="s">
        <v>657</v>
      </c>
      <c r="B35" s="6"/>
      <c r="C35" s="6"/>
      <c r="D35" s="6"/>
      <c r="E35" s="6"/>
      <c r="F35" s="6"/>
      <c r="G35" s="6"/>
      <c r="H35" s="6"/>
      <c r="I35" s="6"/>
      <c r="J35" s="6"/>
      <c r="K35" s="6"/>
      <c r="L35" s="6"/>
      <c r="M35" s="6"/>
      <c r="N35" s="6"/>
      <c r="O35" s="6"/>
      <c r="P35" s="6"/>
      <c r="Q35" s="6">
        <v>0.1203889489118691</v>
      </c>
      <c r="R35" s="6"/>
      <c r="S35" s="6"/>
      <c r="T35" s="6"/>
      <c r="U35" s="6"/>
      <c r="V35" s="6"/>
      <c r="W35" s="6"/>
      <c r="X35" s="6"/>
      <c r="Y35" s="6"/>
      <c r="Z35" s="6"/>
      <c r="AA35" s="6"/>
      <c r="AB35" s="6"/>
      <c r="AC35" s="6"/>
      <c r="AD35" s="6"/>
      <c r="AE35" s="6">
        <v>8.3999999999999991E-2</v>
      </c>
      <c r="AF35" s="6"/>
      <c r="AG35" s="6">
        <v>1.5294117647058824E-2</v>
      </c>
      <c r="AH35" s="6"/>
      <c r="AI35" s="6"/>
      <c r="AJ35" s="7"/>
      <c r="AK35" s="6"/>
      <c r="AL35" s="6"/>
      <c r="AM35" s="6"/>
      <c r="AN35" s="6"/>
      <c r="AO35" s="6"/>
      <c r="AP35" s="6"/>
      <c r="AQ35" s="6"/>
      <c r="AR35" s="6"/>
      <c r="AS35" s="6"/>
      <c r="AT35" s="7"/>
      <c r="AU35" s="7"/>
      <c r="AV35" s="7"/>
      <c r="AW35" s="7"/>
      <c r="AX35" s="7"/>
      <c r="AY35" s="6"/>
      <c r="AZ35" s="6"/>
      <c r="BA35" s="6"/>
      <c r="BB35" s="6"/>
      <c r="BC35" s="6"/>
      <c r="BD35" s="6"/>
      <c r="BE35" s="6"/>
      <c r="BF35" s="6"/>
      <c r="BG35" s="6"/>
      <c r="BH35" s="6"/>
      <c r="BI35" s="6"/>
      <c r="BJ35" s="6"/>
    </row>
    <row r="36" spans="1:62" x14ac:dyDescent="0.3">
      <c r="A36" s="13" t="s">
        <v>658</v>
      </c>
      <c r="B36" s="6"/>
      <c r="C36" s="6"/>
      <c r="D36" s="6"/>
      <c r="E36" s="6">
        <v>0.52558659217877102</v>
      </c>
      <c r="F36" s="6"/>
      <c r="G36" s="6"/>
      <c r="H36" s="6"/>
      <c r="I36" s="6"/>
      <c r="J36" s="6"/>
      <c r="K36" s="9">
        <v>2E-3</v>
      </c>
      <c r="L36" s="6"/>
      <c r="M36" s="6"/>
      <c r="N36" s="6"/>
      <c r="O36" s="6"/>
      <c r="P36" s="6"/>
      <c r="Q36" s="6"/>
      <c r="R36" s="6"/>
      <c r="S36" s="6"/>
      <c r="T36" s="6"/>
      <c r="U36" s="6"/>
      <c r="V36" s="6"/>
      <c r="W36" s="6"/>
      <c r="X36" s="6">
        <v>0.14000000000000001</v>
      </c>
      <c r="Y36" s="6"/>
      <c r="Z36" s="6"/>
      <c r="AA36" s="6"/>
      <c r="AB36" s="6"/>
      <c r="AC36" s="6"/>
      <c r="AD36" s="6"/>
      <c r="AE36" s="6"/>
      <c r="AF36" s="6"/>
      <c r="AG36" s="6"/>
      <c r="AH36" s="6"/>
      <c r="AI36" s="6"/>
      <c r="AJ36" s="6"/>
      <c r="AK36" s="6"/>
      <c r="AL36" s="6"/>
      <c r="AM36" s="6"/>
      <c r="AN36" s="6"/>
      <c r="AO36" s="6"/>
      <c r="AP36" s="6"/>
      <c r="AQ36" s="6"/>
      <c r="AR36" s="6"/>
      <c r="AS36" s="6"/>
      <c r="AT36" s="7"/>
      <c r="AU36" s="7"/>
      <c r="AV36" s="7"/>
      <c r="AW36" s="7"/>
      <c r="AX36" s="7"/>
      <c r="AY36" s="6"/>
      <c r="AZ36" s="6"/>
      <c r="BA36" s="6"/>
      <c r="BB36" s="6"/>
      <c r="BC36" s="6"/>
      <c r="BD36" s="6"/>
      <c r="BE36" s="6"/>
      <c r="BF36" s="6"/>
      <c r="BG36" s="6"/>
      <c r="BH36" s="6"/>
      <c r="BI36" s="6"/>
      <c r="BJ36" s="6"/>
    </row>
    <row r="37" spans="1:62" x14ac:dyDescent="0.3">
      <c r="A37" s="13" t="s">
        <v>659</v>
      </c>
      <c r="B37" s="6"/>
      <c r="C37" s="6"/>
      <c r="D37" s="6"/>
      <c r="E37" s="6"/>
      <c r="F37" s="6"/>
      <c r="G37" s="6"/>
      <c r="H37" s="6"/>
      <c r="I37" s="6"/>
      <c r="J37" s="6"/>
      <c r="K37" s="6"/>
      <c r="L37" s="6"/>
      <c r="M37" s="6"/>
      <c r="N37" s="6"/>
      <c r="O37" s="6"/>
      <c r="P37" s="6"/>
      <c r="Q37" s="6">
        <v>0.05</v>
      </c>
      <c r="R37" s="6"/>
      <c r="S37" s="6"/>
      <c r="T37" s="6"/>
      <c r="U37" s="6"/>
      <c r="V37" s="6"/>
      <c r="W37" s="6"/>
      <c r="X37" s="6"/>
      <c r="Y37" s="6"/>
      <c r="Z37" s="6"/>
      <c r="AA37" s="6"/>
      <c r="AB37" s="6"/>
      <c r="AC37" s="6"/>
      <c r="AD37" s="6"/>
      <c r="AE37" s="6"/>
      <c r="AF37" s="6"/>
      <c r="AG37" s="6"/>
      <c r="AH37" s="6"/>
      <c r="AI37" s="6">
        <v>0.05</v>
      </c>
      <c r="AJ37" s="6"/>
      <c r="AK37" s="6"/>
      <c r="AL37" s="6"/>
      <c r="AM37" s="6"/>
      <c r="AN37" s="6"/>
      <c r="AO37" s="6"/>
      <c r="AP37" s="6"/>
      <c r="AQ37" s="6"/>
      <c r="AR37" s="6"/>
      <c r="AS37" s="6"/>
      <c r="AT37" s="7"/>
      <c r="AU37" s="7"/>
      <c r="AV37" s="7"/>
      <c r="AW37" s="7"/>
      <c r="AX37" s="7"/>
      <c r="AY37" s="6"/>
      <c r="AZ37" s="6"/>
      <c r="BA37" s="6"/>
      <c r="BB37" s="6"/>
      <c r="BC37" s="6"/>
      <c r="BD37" s="6"/>
      <c r="BE37" s="6"/>
      <c r="BF37" s="6"/>
      <c r="BG37" s="6"/>
      <c r="BH37" s="6"/>
      <c r="BI37" s="6"/>
      <c r="BJ37" s="6"/>
    </row>
    <row r="38" spans="1:62" x14ac:dyDescent="0.3">
      <c r="A38" s="15" t="s">
        <v>660</v>
      </c>
      <c r="B38" s="6"/>
      <c r="C38" s="6"/>
      <c r="D38" s="6"/>
      <c r="E38" s="6"/>
      <c r="F38" s="6"/>
      <c r="G38" s="6">
        <v>0.18</v>
      </c>
      <c r="H38" s="6"/>
      <c r="I38" s="6"/>
      <c r="J38" s="6"/>
      <c r="K38" s="6"/>
      <c r="L38" s="6"/>
      <c r="M38" s="6"/>
      <c r="N38" s="6"/>
      <c r="O38" s="6"/>
      <c r="P38" s="6"/>
      <c r="Q38" s="6"/>
      <c r="R38" s="6">
        <v>0.05</v>
      </c>
      <c r="S38" s="6">
        <v>6.1764705882352944E-2</v>
      </c>
      <c r="T38" s="6"/>
      <c r="U38" s="6">
        <v>0.06</v>
      </c>
      <c r="V38" s="6"/>
      <c r="W38" s="6"/>
      <c r="X38" s="6"/>
      <c r="Y38" s="6"/>
      <c r="Z38" s="6"/>
      <c r="AA38" s="6"/>
      <c r="AB38" s="6"/>
      <c r="AC38" s="6"/>
      <c r="AD38" s="6">
        <v>7.9358820166012742E-2</v>
      </c>
      <c r="AE38" s="6"/>
      <c r="AF38" s="6">
        <v>0.08</v>
      </c>
      <c r="AG38" s="6"/>
      <c r="AH38" s="6"/>
      <c r="AI38" s="6">
        <v>0.4</v>
      </c>
      <c r="AJ38" s="6"/>
      <c r="AK38" s="6"/>
      <c r="AL38" s="6"/>
      <c r="AM38" s="6"/>
      <c r="AN38" s="6"/>
      <c r="AO38" s="6"/>
      <c r="AP38" s="6"/>
      <c r="AQ38" s="6"/>
      <c r="AR38" s="6"/>
      <c r="AS38" s="6"/>
      <c r="AT38" s="7"/>
      <c r="AU38" s="7"/>
      <c r="AV38" s="7"/>
      <c r="AW38" s="7"/>
      <c r="AX38" s="7"/>
      <c r="AY38" s="6"/>
      <c r="AZ38" s="6"/>
      <c r="BA38" s="6"/>
      <c r="BB38" s="6"/>
      <c r="BC38" s="6"/>
      <c r="BD38" s="6"/>
      <c r="BE38" s="6"/>
      <c r="BF38" s="6"/>
      <c r="BG38" s="6"/>
      <c r="BH38" s="6"/>
      <c r="BI38" s="6"/>
      <c r="BJ38" s="6"/>
    </row>
    <row r="39" spans="1:62" x14ac:dyDescent="0.3">
      <c r="A39" s="15" t="s">
        <v>661</v>
      </c>
      <c r="B39" s="8"/>
      <c r="C39" s="8"/>
      <c r="D39" s="8"/>
      <c r="E39" s="8"/>
      <c r="F39" s="8"/>
      <c r="G39" s="8"/>
      <c r="H39" s="8">
        <v>0.9</v>
      </c>
      <c r="I39" s="8"/>
      <c r="J39" s="8"/>
      <c r="K39" s="8"/>
      <c r="L39" s="8"/>
      <c r="M39" s="8"/>
      <c r="N39" s="8"/>
      <c r="O39" s="8"/>
      <c r="P39" s="8"/>
      <c r="Q39" s="8"/>
      <c r="R39" s="8"/>
      <c r="S39" s="8"/>
      <c r="T39" s="7"/>
      <c r="U39" s="8"/>
      <c r="V39" s="8"/>
      <c r="W39" s="8"/>
      <c r="X39" s="8"/>
      <c r="Y39" s="8"/>
      <c r="Z39" s="8"/>
      <c r="AA39" s="8"/>
      <c r="AB39" s="8"/>
      <c r="AC39" s="8"/>
      <c r="AD39" s="8"/>
      <c r="AE39" s="8"/>
      <c r="AF39" s="8"/>
      <c r="AG39" s="8"/>
      <c r="AH39" s="8"/>
      <c r="AI39" s="8"/>
      <c r="AJ39" s="8"/>
      <c r="AK39" s="8"/>
      <c r="AL39" s="8"/>
      <c r="AM39" s="8"/>
      <c r="AN39" s="8"/>
      <c r="AO39" s="8"/>
      <c r="AP39" s="8"/>
      <c r="AQ39" s="8"/>
      <c r="AR39" s="8"/>
      <c r="AS39" s="8"/>
      <c r="AT39" s="7"/>
      <c r="AU39" s="7"/>
      <c r="AV39" s="7"/>
      <c r="AW39" s="7"/>
      <c r="AX39" s="7"/>
      <c r="AY39" s="7"/>
      <c r="AZ39" s="8"/>
      <c r="BA39" s="8"/>
      <c r="BB39" s="8"/>
      <c r="BC39" s="8"/>
      <c r="BD39" s="8"/>
      <c r="BE39" s="8"/>
      <c r="BF39" s="8"/>
      <c r="BG39" s="8"/>
      <c r="BH39" s="8"/>
      <c r="BI39" s="8"/>
      <c r="BJ39" s="8"/>
    </row>
    <row r="40" spans="1:62" x14ac:dyDescent="0.3">
      <c r="A40" s="13" t="s">
        <v>662</v>
      </c>
      <c r="B40" s="6"/>
      <c r="C40" s="6">
        <v>0.12</v>
      </c>
      <c r="D40" s="6"/>
      <c r="E40" s="6"/>
      <c r="F40" s="6"/>
      <c r="G40" s="6"/>
      <c r="H40" s="6"/>
      <c r="I40" s="6"/>
      <c r="J40" s="6"/>
      <c r="K40" s="6"/>
      <c r="L40" s="6"/>
      <c r="M40" s="6"/>
      <c r="N40" s="6"/>
      <c r="O40" s="6"/>
      <c r="P40" s="6">
        <v>5.0819672131147547E-2</v>
      </c>
      <c r="Q40" s="6"/>
      <c r="R40" s="6">
        <v>0.1</v>
      </c>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7"/>
      <c r="AU40" s="7"/>
      <c r="AV40" s="7"/>
      <c r="AW40" s="7"/>
      <c r="AX40" s="7"/>
      <c r="AY40" s="6"/>
      <c r="AZ40" s="6"/>
      <c r="BA40" s="6"/>
      <c r="BB40" s="6"/>
      <c r="BC40" s="6"/>
      <c r="BD40" s="6"/>
      <c r="BE40" s="6"/>
      <c r="BF40" s="6"/>
      <c r="BG40" s="6"/>
      <c r="BH40" s="6"/>
      <c r="BI40" s="6"/>
      <c r="BJ40" s="6"/>
    </row>
    <row r="41" spans="1:62" x14ac:dyDescent="0.3">
      <c r="A41" s="13" t="s">
        <v>663</v>
      </c>
      <c r="B41" s="6"/>
      <c r="C41" s="6">
        <v>0.26</v>
      </c>
      <c r="D41" s="6"/>
      <c r="E41" s="6">
        <v>2.9497206703910612E-2</v>
      </c>
      <c r="F41" s="6">
        <v>0.11925975706053325</v>
      </c>
      <c r="G41" s="6"/>
      <c r="H41" s="6"/>
      <c r="I41" s="6"/>
      <c r="J41" s="6">
        <v>0.30333333333333334</v>
      </c>
      <c r="K41" s="6">
        <v>0.18048</v>
      </c>
      <c r="L41" s="6">
        <v>0.105</v>
      </c>
      <c r="M41" s="6">
        <v>0.16999999999999998</v>
      </c>
      <c r="N41" s="6"/>
      <c r="O41" s="6">
        <v>0.12083780880773362</v>
      </c>
      <c r="P41" s="6">
        <v>0.13</v>
      </c>
      <c r="Q41" s="6">
        <v>0.20081031023306067</v>
      </c>
      <c r="R41" s="6"/>
      <c r="S41" s="6"/>
      <c r="T41" s="6"/>
      <c r="U41" s="6"/>
      <c r="V41" s="6">
        <v>2.8333333333333332E-2</v>
      </c>
      <c r="W41" s="6"/>
      <c r="X41" s="6"/>
      <c r="Y41" s="6">
        <v>0.24</v>
      </c>
      <c r="Z41" s="6">
        <v>0.12010000000000001</v>
      </c>
      <c r="AA41" s="6"/>
      <c r="AB41" s="6">
        <v>0.87359550561797739</v>
      </c>
      <c r="AC41" s="6">
        <v>0.83547127718906866</v>
      </c>
      <c r="AD41" s="6"/>
      <c r="AE41" s="6"/>
      <c r="AF41" s="6"/>
      <c r="AG41" s="6">
        <v>0.03</v>
      </c>
      <c r="AH41" s="6">
        <v>6.2880000000000005E-2</v>
      </c>
      <c r="AI41" s="6"/>
      <c r="AJ41" s="6"/>
      <c r="AK41" s="6">
        <v>1.4290250873293109E-2</v>
      </c>
      <c r="AL41" s="6">
        <v>0.13102690829214717</v>
      </c>
      <c r="AM41" s="6">
        <v>0.12387189808691505</v>
      </c>
      <c r="AN41" s="6">
        <v>0.16808713400561928</v>
      </c>
      <c r="AO41" s="6"/>
      <c r="AP41" s="6"/>
      <c r="AQ41" s="6"/>
      <c r="AR41" s="6">
        <v>0.16413793103448274</v>
      </c>
      <c r="AS41" s="6">
        <v>0.21557870030805337</v>
      </c>
      <c r="AT41" s="7"/>
      <c r="AU41" s="7"/>
      <c r="AV41" s="7"/>
      <c r="AW41" s="7"/>
      <c r="AX41" s="7"/>
      <c r="AY41" s="6"/>
      <c r="AZ41" s="6"/>
      <c r="BA41" s="6"/>
      <c r="BB41" s="6"/>
      <c r="BC41" s="6"/>
      <c r="BD41" s="6"/>
      <c r="BE41" s="6">
        <v>0.36579626826755529</v>
      </c>
      <c r="BF41" s="6"/>
      <c r="BG41" s="6"/>
      <c r="BH41" s="6"/>
      <c r="BI41" s="6"/>
      <c r="BJ41" s="6">
        <v>0.25</v>
      </c>
    </row>
    <row r="42" spans="1:62" x14ac:dyDescent="0.3">
      <c r="A42" s="13" t="s">
        <v>664</v>
      </c>
      <c r="B42" s="8"/>
      <c r="C42" s="8"/>
      <c r="D42" s="8"/>
      <c r="E42" s="8"/>
      <c r="F42" s="8"/>
      <c r="G42" s="8"/>
      <c r="H42" s="8"/>
      <c r="I42" s="8"/>
      <c r="J42" s="8"/>
      <c r="K42" s="8"/>
      <c r="L42" s="8"/>
      <c r="M42" s="8"/>
      <c r="N42" s="8"/>
      <c r="O42" s="8"/>
      <c r="P42" s="8"/>
      <c r="Q42" s="8"/>
      <c r="R42" s="8"/>
      <c r="S42" s="8"/>
      <c r="T42" s="8"/>
      <c r="U42" s="8"/>
      <c r="V42" s="8">
        <v>0.32</v>
      </c>
      <c r="W42" s="8"/>
      <c r="X42" s="8"/>
      <c r="Y42" s="8"/>
      <c r="Z42" s="8"/>
      <c r="AA42" s="8"/>
      <c r="AB42" s="8"/>
      <c r="AC42" s="8"/>
      <c r="AD42" s="8"/>
      <c r="AE42" s="8"/>
      <c r="AF42" s="8"/>
      <c r="AG42" s="8"/>
      <c r="AH42" s="8"/>
      <c r="AI42" s="8"/>
      <c r="AJ42" s="8">
        <v>0.8</v>
      </c>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x14ac:dyDescent="0.3">
      <c r="A43" s="5" t="s">
        <v>64</v>
      </c>
      <c r="B43" s="20">
        <f>SUM(B1:B42)</f>
        <v>1.0000000000000002</v>
      </c>
      <c r="C43" s="20">
        <f t="shared" ref="C43:BJ43" si="0">SUM(C1:C42)</f>
        <v>1</v>
      </c>
      <c r="D43" s="20">
        <f t="shared" si="0"/>
        <v>1</v>
      </c>
      <c r="E43" s="20">
        <f t="shared" si="0"/>
        <v>1</v>
      </c>
      <c r="F43" s="20">
        <f t="shared" si="0"/>
        <v>0.99999999999999989</v>
      </c>
      <c r="G43" s="20">
        <f t="shared" si="0"/>
        <v>1</v>
      </c>
      <c r="H43" s="20">
        <f t="shared" si="0"/>
        <v>1</v>
      </c>
      <c r="I43" s="20">
        <f t="shared" si="0"/>
        <v>1</v>
      </c>
      <c r="J43" s="20">
        <f t="shared" si="0"/>
        <v>1</v>
      </c>
      <c r="K43" s="20">
        <f t="shared" si="0"/>
        <v>1</v>
      </c>
      <c r="L43" s="20">
        <f t="shared" si="0"/>
        <v>0.99999999999999989</v>
      </c>
      <c r="M43" s="20">
        <f t="shared" si="0"/>
        <v>1</v>
      </c>
      <c r="N43" s="20">
        <f t="shared" si="0"/>
        <v>0.99999999999999989</v>
      </c>
      <c r="O43" s="20">
        <f t="shared" si="0"/>
        <v>1</v>
      </c>
      <c r="P43" s="20">
        <f t="shared" si="0"/>
        <v>1</v>
      </c>
      <c r="Q43" s="20">
        <f t="shared" si="0"/>
        <v>1</v>
      </c>
      <c r="R43" s="20">
        <f t="shared" si="0"/>
        <v>1.0000000000000002</v>
      </c>
      <c r="S43" s="20">
        <f t="shared" si="0"/>
        <v>1</v>
      </c>
      <c r="T43" s="20">
        <f t="shared" si="0"/>
        <v>1</v>
      </c>
      <c r="U43" s="20">
        <f t="shared" si="0"/>
        <v>1</v>
      </c>
      <c r="V43" s="20">
        <f t="shared" si="0"/>
        <v>1</v>
      </c>
      <c r="W43" s="20">
        <f t="shared" si="0"/>
        <v>0.99999999999999989</v>
      </c>
      <c r="X43" s="20">
        <f t="shared" si="0"/>
        <v>1</v>
      </c>
      <c r="Y43" s="20">
        <f t="shared" si="0"/>
        <v>1</v>
      </c>
      <c r="Z43" s="20">
        <f t="shared" si="0"/>
        <v>1.0000000000000002</v>
      </c>
      <c r="AA43" s="20">
        <f t="shared" si="0"/>
        <v>1</v>
      </c>
      <c r="AB43" s="20">
        <f t="shared" si="0"/>
        <v>0.99999999999999978</v>
      </c>
      <c r="AC43" s="20">
        <f t="shared" si="0"/>
        <v>1</v>
      </c>
      <c r="AD43" s="20">
        <f t="shared" si="0"/>
        <v>1</v>
      </c>
      <c r="AE43" s="20">
        <f t="shared" si="0"/>
        <v>1.0000000000000002</v>
      </c>
      <c r="AF43" s="20">
        <f t="shared" si="0"/>
        <v>1</v>
      </c>
      <c r="AG43" s="20">
        <f t="shared" si="0"/>
        <v>1</v>
      </c>
      <c r="AH43" s="20">
        <f t="shared" si="0"/>
        <v>1</v>
      </c>
      <c r="AI43" s="20">
        <f t="shared" si="0"/>
        <v>1</v>
      </c>
      <c r="AJ43" s="20">
        <f t="shared" si="0"/>
        <v>1</v>
      </c>
      <c r="AK43" s="20">
        <f t="shared" si="0"/>
        <v>1</v>
      </c>
      <c r="AL43" s="20">
        <f t="shared" si="0"/>
        <v>0.99999999999999978</v>
      </c>
      <c r="AM43" s="20">
        <f t="shared" si="0"/>
        <v>0.99999999999999989</v>
      </c>
      <c r="AN43" s="20">
        <f t="shared" si="0"/>
        <v>1.0000000000000002</v>
      </c>
      <c r="AO43" s="20">
        <f t="shared" si="0"/>
        <v>1</v>
      </c>
      <c r="AP43" s="20">
        <f t="shared" si="0"/>
        <v>1</v>
      </c>
      <c r="AQ43" s="20">
        <f t="shared" si="0"/>
        <v>1</v>
      </c>
      <c r="AR43" s="20">
        <f t="shared" si="0"/>
        <v>0.99999999999999989</v>
      </c>
      <c r="AS43" s="20">
        <f t="shared" si="0"/>
        <v>1</v>
      </c>
      <c r="AT43" s="20">
        <f t="shared" si="0"/>
        <v>1</v>
      </c>
      <c r="AU43" s="20">
        <f t="shared" si="0"/>
        <v>1</v>
      </c>
      <c r="AV43" s="20">
        <f t="shared" si="0"/>
        <v>1</v>
      </c>
      <c r="AW43" s="20">
        <f t="shared" si="0"/>
        <v>1</v>
      </c>
      <c r="AX43" s="20">
        <f t="shared" si="0"/>
        <v>1</v>
      </c>
      <c r="AY43" s="20">
        <f t="shared" si="0"/>
        <v>1</v>
      </c>
      <c r="AZ43" s="20">
        <f t="shared" si="0"/>
        <v>1</v>
      </c>
      <c r="BA43" s="20">
        <f t="shared" si="0"/>
        <v>1.0000000000000002</v>
      </c>
      <c r="BB43" s="20">
        <f t="shared" si="0"/>
        <v>1</v>
      </c>
      <c r="BC43" s="20">
        <f t="shared" si="0"/>
        <v>1</v>
      </c>
      <c r="BD43" s="20">
        <f t="shared" si="0"/>
        <v>1</v>
      </c>
      <c r="BE43" s="20">
        <f t="shared" si="0"/>
        <v>1</v>
      </c>
      <c r="BF43" s="20">
        <f t="shared" si="0"/>
        <v>1</v>
      </c>
      <c r="BG43" s="20">
        <f t="shared" si="0"/>
        <v>0.99999999999999989</v>
      </c>
      <c r="BH43" s="20">
        <f t="shared" si="0"/>
        <v>1</v>
      </c>
      <c r="BI43" s="20">
        <f t="shared" si="0"/>
        <v>1</v>
      </c>
      <c r="BJ43" s="20">
        <f t="shared" si="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A0E7-F236-444D-9F56-C9C1A68EE911}">
  <dimension ref="A1:I235"/>
  <sheetViews>
    <sheetView topLeftCell="A116" workbookViewId="0">
      <selection activeCell="F134" sqref="F134"/>
    </sheetView>
  </sheetViews>
  <sheetFormatPr defaultRowHeight="14.4" x14ac:dyDescent="0.3"/>
  <cols>
    <col min="1" max="1" width="26.5546875" bestFit="1" customWidth="1"/>
    <col min="2" max="2" width="11.44140625" bestFit="1" customWidth="1"/>
    <col min="3" max="3" width="49.6640625" bestFit="1" customWidth="1"/>
    <col min="4" max="4" width="13" bestFit="1" customWidth="1"/>
    <col min="5" max="5" width="21.5546875" bestFit="1" customWidth="1"/>
    <col min="6" max="6" width="7.5546875" bestFit="1" customWidth="1"/>
    <col min="7" max="7" width="11" bestFit="1" customWidth="1"/>
    <col min="8" max="8" width="33.6640625" bestFit="1" customWidth="1"/>
  </cols>
  <sheetData>
    <row r="1" spans="1:8" s="1" customFormat="1" x14ac:dyDescent="0.3">
      <c r="A1" s="1" t="s">
        <v>98</v>
      </c>
      <c r="B1" s="1" t="s">
        <v>105</v>
      </c>
      <c r="C1" s="1" t="s">
        <v>97</v>
      </c>
      <c r="D1" s="1" t="s">
        <v>1031</v>
      </c>
      <c r="E1" s="1" t="s">
        <v>124</v>
      </c>
      <c r="F1" s="1" t="s">
        <v>99</v>
      </c>
      <c r="G1" s="1" t="s">
        <v>101</v>
      </c>
      <c r="H1" s="1" t="s">
        <v>1032</v>
      </c>
    </row>
    <row r="2" spans="1:8" x14ac:dyDescent="0.3">
      <c r="A2" t="s">
        <v>133</v>
      </c>
      <c r="B2" t="s">
        <v>228</v>
      </c>
      <c r="C2" t="s">
        <v>135</v>
      </c>
      <c r="D2" t="s">
        <v>1033</v>
      </c>
      <c r="E2" t="s">
        <v>136</v>
      </c>
      <c r="F2">
        <v>2023</v>
      </c>
      <c r="G2">
        <v>1310000</v>
      </c>
    </row>
    <row r="3" spans="1:8" x14ac:dyDescent="0.3">
      <c r="A3" t="s">
        <v>133</v>
      </c>
      <c r="B3" t="s">
        <v>228</v>
      </c>
      <c r="C3" t="s">
        <v>153</v>
      </c>
      <c r="D3" t="s">
        <v>1033</v>
      </c>
      <c r="E3" t="s">
        <v>136</v>
      </c>
      <c r="F3">
        <v>2023</v>
      </c>
      <c r="G3">
        <v>1010000</v>
      </c>
    </row>
    <row r="4" spans="1:8" x14ac:dyDescent="0.3">
      <c r="A4" t="s">
        <v>133</v>
      </c>
      <c r="B4" t="s">
        <v>228</v>
      </c>
      <c r="C4" t="s">
        <v>135</v>
      </c>
      <c r="D4" t="s">
        <v>1033</v>
      </c>
      <c r="E4" t="s">
        <v>136</v>
      </c>
      <c r="F4">
        <v>2024</v>
      </c>
      <c r="G4">
        <v>1310000</v>
      </c>
    </row>
    <row r="5" spans="1:8" x14ac:dyDescent="0.3">
      <c r="A5" t="s">
        <v>133</v>
      </c>
      <c r="B5" t="s">
        <v>228</v>
      </c>
      <c r="C5" t="s">
        <v>153</v>
      </c>
      <c r="D5" t="s">
        <v>1033</v>
      </c>
      <c r="E5" t="s">
        <v>136</v>
      </c>
      <c r="F5">
        <v>2024</v>
      </c>
      <c r="G5">
        <v>1010000</v>
      </c>
    </row>
    <row r="6" spans="1:8" x14ac:dyDescent="0.3">
      <c r="A6" t="s">
        <v>96</v>
      </c>
      <c r="B6" t="s">
        <v>228</v>
      </c>
      <c r="C6" t="s">
        <v>107</v>
      </c>
      <c r="D6" t="s">
        <v>1034</v>
      </c>
      <c r="E6" t="s">
        <v>154</v>
      </c>
      <c r="F6">
        <v>2023</v>
      </c>
      <c r="G6">
        <v>70000</v>
      </c>
    </row>
    <row r="7" spans="1:8" x14ac:dyDescent="0.3">
      <c r="A7" t="s">
        <v>96</v>
      </c>
      <c r="B7" t="s">
        <v>228</v>
      </c>
      <c r="C7" t="s">
        <v>107</v>
      </c>
      <c r="D7" t="s">
        <v>1033</v>
      </c>
      <c r="E7" t="s">
        <v>154</v>
      </c>
      <c r="F7">
        <v>2023</v>
      </c>
      <c r="G7">
        <v>78300</v>
      </c>
    </row>
    <row r="8" spans="1:8" x14ac:dyDescent="0.3">
      <c r="A8" t="s">
        <v>96</v>
      </c>
      <c r="B8" t="s">
        <v>228</v>
      </c>
      <c r="C8" t="s">
        <v>107</v>
      </c>
      <c r="D8" t="s">
        <v>1033</v>
      </c>
      <c r="E8" t="s">
        <v>154</v>
      </c>
      <c r="F8">
        <v>2024</v>
      </c>
      <c r="G8">
        <v>78400</v>
      </c>
    </row>
    <row r="9" spans="1:8" x14ac:dyDescent="0.3">
      <c r="A9" t="s">
        <v>96</v>
      </c>
      <c r="B9" t="s">
        <v>228</v>
      </c>
      <c r="C9" t="s">
        <v>107</v>
      </c>
      <c r="D9" t="s">
        <v>1034</v>
      </c>
      <c r="E9" t="s">
        <v>154</v>
      </c>
      <c r="F9">
        <v>2024</v>
      </c>
      <c r="G9">
        <v>72000</v>
      </c>
    </row>
    <row r="10" spans="1:8" x14ac:dyDescent="0.3">
      <c r="A10" t="s">
        <v>162</v>
      </c>
      <c r="B10" t="s">
        <v>228</v>
      </c>
      <c r="C10" t="s">
        <v>163</v>
      </c>
      <c r="D10" t="s">
        <v>1035</v>
      </c>
      <c r="E10" t="s">
        <v>136</v>
      </c>
      <c r="F10">
        <v>2024</v>
      </c>
      <c r="G10" t="s">
        <v>179</v>
      </c>
    </row>
    <row r="11" spans="1:8" x14ac:dyDescent="0.3">
      <c r="A11" t="s">
        <v>162</v>
      </c>
      <c r="B11" t="s">
        <v>228</v>
      </c>
      <c r="C11" t="s">
        <v>163</v>
      </c>
      <c r="D11" t="s">
        <v>1034</v>
      </c>
      <c r="E11" t="s">
        <v>136</v>
      </c>
      <c r="F11">
        <v>2023</v>
      </c>
      <c r="G11">
        <v>106000</v>
      </c>
    </row>
    <row r="12" spans="1:8" x14ac:dyDescent="0.3">
      <c r="A12" t="s">
        <v>162</v>
      </c>
      <c r="B12" t="s">
        <v>228</v>
      </c>
      <c r="C12" t="s">
        <v>163</v>
      </c>
      <c r="D12" t="s">
        <v>1034</v>
      </c>
      <c r="E12" t="s">
        <v>136</v>
      </c>
      <c r="F12">
        <v>2024</v>
      </c>
      <c r="G12">
        <v>100000</v>
      </c>
    </row>
    <row r="13" spans="1:8" x14ac:dyDescent="0.3">
      <c r="A13" t="s">
        <v>2</v>
      </c>
      <c r="B13" t="s">
        <v>228</v>
      </c>
      <c r="C13" t="s">
        <v>36</v>
      </c>
      <c r="D13" t="s">
        <v>1034</v>
      </c>
      <c r="E13" t="s">
        <v>136</v>
      </c>
      <c r="F13">
        <v>2024</v>
      </c>
      <c r="G13">
        <v>58000</v>
      </c>
    </row>
    <row r="14" spans="1:8" x14ac:dyDescent="0.3">
      <c r="A14" t="s">
        <v>2</v>
      </c>
      <c r="B14" t="s">
        <v>228</v>
      </c>
      <c r="C14" t="s">
        <v>36</v>
      </c>
      <c r="D14" t="s">
        <v>1034</v>
      </c>
      <c r="E14" t="s">
        <v>136</v>
      </c>
      <c r="F14">
        <v>2023</v>
      </c>
      <c r="G14">
        <v>61500</v>
      </c>
    </row>
    <row r="15" spans="1:8" x14ac:dyDescent="0.3">
      <c r="A15" t="s">
        <v>2</v>
      </c>
      <c r="B15" t="s">
        <v>228</v>
      </c>
      <c r="C15" t="s">
        <v>36</v>
      </c>
      <c r="D15" t="s">
        <v>1033</v>
      </c>
      <c r="E15" t="s">
        <v>136</v>
      </c>
      <c r="F15">
        <v>2024</v>
      </c>
      <c r="G15">
        <v>81000</v>
      </c>
    </row>
    <row r="16" spans="1:8" x14ac:dyDescent="0.3">
      <c r="A16" t="s">
        <v>183</v>
      </c>
      <c r="B16" t="s">
        <v>228</v>
      </c>
      <c r="C16" t="s">
        <v>184</v>
      </c>
      <c r="D16" t="s">
        <v>1034</v>
      </c>
      <c r="E16" t="s">
        <v>136</v>
      </c>
      <c r="F16">
        <v>2024</v>
      </c>
      <c r="G16">
        <v>1200000</v>
      </c>
    </row>
    <row r="17" spans="1:8" x14ac:dyDescent="0.3">
      <c r="A17" t="s">
        <v>183</v>
      </c>
      <c r="B17" t="s">
        <v>228</v>
      </c>
      <c r="C17" t="s">
        <v>184</v>
      </c>
      <c r="D17" t="s">
        <v>1034</v>
      </c>
      <c r="E17" t="s">
        <v>136</v>
      </c>
      <c r="F17">
        <v>2023</v>
      </c>
      <c r="G17">
        <v>1240000</v>
      </c>
    </row>
    <row r="18" spans="1:8" x14ac:dyDescent="0.3">
      <c r="A18" t="s">
        <v>188</v>
      </c>
      <c r="B18" t="s">
        <v>228</v>
      </c>
      <c r="C18" t="s">
        <v>189</v>
      </c>
      <c r="D18" t="s">
        <v>1034</v>
      </c>
      <c r="E18" t="s">
        <v>154</v>
      </c>
      <c r="F18">
        <v>2024</v>
      </c>
      <c r="G18">
        <v>8200</v>
      </c>
      <c r="H18" t="s">
        <v>192</v>
      </c>
    </row>
    <row r="19" spans="1:8" x14ac:dyDescent="0.3">
      <c r="A19" t="s">
        <v>188</v>
      </c>
      <c r="B19" t="s">
        <v>228</v>
      </c>
      <c r="C19" t="s">
        <v>189</v>
      </c>
      <c r="D19" t="s">
        <v>1034</v>
      </c>
      <c r="E19" t="s">
        <v>154</v>
      </c>
      <c r="F19">
        <v>2023</v>
      </c>
      <c r="G19">
        <v>8080</v>
      </c>
      <c r="H19" t="s">
        <v>192</v>
      </c>
    </row>
    <row r="20" spans="1:8" x14ac:dyDescent="0.3">
      <c r="A20" t="s">
        <v>193</v>
      </c>
      <c r="B20" t="s">
        <v>228</v>
      </c>
      <c r="C20" t="s">
        <v>194</v>
      </c>
      <c r="D20" t="s">
        <v>1034</v>
      </c>
      <c r="E20" t="s">
        <v>195</v>
      </c>
      <c r="F20">
        <v>2024</v>
      </c>
      <c r="G20">
        <v>142000</v>
      </c>
    </row>
    <row r="21" spans="1:8" x14ac:dyDescent="0.3">
      <c r="A21" t="s">
        <v>193</v>
      </c>
      <c r="B21" t="s">
        <v>228</v>
      </c>
      <c r="C21" t="s">
        <v>203</v>
      </c>
      <c r="D21" t="s">
        <v>1034</v>
      </c>
      <c r="E21" t="s">
        <v>195</v>
      </c>
      <c r="F21">
        <v>2024</v>
      </c>
      <c r="G21">
        <v>450000</v>
      </c>
      <c r="H21" t="s">
        <v>205</v>
      </c>
    </row>
    <row r="22" spans="1:8" x14ac:dyDescent="0.3">
      <c r="A22" t="s">
        <v>193</v>
      </c>
      <c r="B22" t="s">
        <v>228</v>
      </c>
      <c r="C22" t="s">
        <v>203</v>
      </c>
      <c r="D22" t="s">
        <v>1034</v>
      </c>
      <c r="E22" t="s">
        <v>195</v>
      </c>
      <c r="F22">
        <v>2023</v>
      </c>
      <c r="G22">
        <v>438000</v>
      </c>
      <c r="H22" t="s">
        <v>205</v>
      </c>
    </row>
    <row r="23" spans="1:8" x14ac:dyDescent="0.3">
      <c r="A23" t="s">
        <v>193</v>
      </c>
      <c r="B23" t="s">
        <v>228</v>
      </c>
      <c r="C23" t="s">
        <v>203</v>
      </c>
      <c r="D23" t="s">
        <v>1035</v>
      </c>
      <c r="E23" t="s">
        <v>195</v>
      </c>
      <c r="F23">
        <v>2024</v>
      </c>
      <c r="G23">
        <v>29000000</v>
      </c>
    </row>
    <row r="24" spans="1:8" x14ac:dyDescent="0.3">
      <c r="A24" t="s">
        <v>193</v>
      </c>
      <c r="B24" t="s">
        <v>228</v>
      </c>
      <c r="C24" t="s">
        <v>194</v>
      </c>
      <c r="D24" t="s">
        <v>1034</v>
      </c>
      <c r="E24" t="s">
        <v>195</v>
      </c>
      <c r="F24">
        <v>2023</v>
      </c>
      <c r="G24">
        <v>141000</v>
      </c>
    </row>
    <row r="25" spans="1:8" x14ac:dyDescent="0.3">
      <c r="A25" t="s">
        <v>206</v>
      </c>
      <c r="B25" t="s">
        <v>228</v>
      </c>
      <c r="C25" t="s">
        <v>207</v>
      </c>
      <c r="D25" t="s">
        <v>1034</v>
      </c>
      <c r="E25" t="s">
        <v>136</v>
      </c>
      <c r="F25">
        <v>2024</v>
      </c>
      <c r="G25">
        <v>360</v>
      </c>
    </row>
    <row r="26" spans="1:8" x14ac:dyDescent="0.3">
      <c r="A26" t="s">
        <v>206</v>
      </c>
      <c r="B26" t="s">
        <v>228</v>
      </c>
      <c r="C26" t="s">
        <v>207</v>
      </c>
      <c r="D26" t="s">
        <v>1034</v>
      </c>
      <c r="E26" t="s">
        <v>136</v>
      </c>
      <c r="F26">
        <v>2023</v>
      </c>
      <c r="G26">
        <v>325</v>
      </c>
    </row>
    <row r="27" spans="1:8" x14ac:dyDescent="0.3">
      <c r="A27" t="s">
        <v>212</v>
      </c>
      <c r="B27" t="s">
        <v>228</v>
      </c>
      <c r="C27" t="s">
        <v>37</v>
      </c>
      <c r="D27" t="s">
        <v>1034</v>
      </c>
      <c r="E27" t="s">
        <v>136</v>
      </c>
      <c r="F27">
        <v>2023</v>
      </c>
      <c r="G27">
        <v>16200</v>
      </c>
    </row>
    <row r="28" spans="1:8" x14ac:dyDescent="0.3">
      <c r="A28" t="s">
        <v>212</v>
      </c>
      <c r="B28" t="s">
        <v>228</v>
      </c>
      <c r="C28" t="s">
        <v>37</v>
      </c>
      <c r="D28" t="s">
        <v>1034</v>
      </c>
      <c r="E28" t="s">
        <v>136</v>
      </c>
      <c r="F28">
        <v>2024</v>
      </c>
      <c r="G28">
        <v>16000</v>
      </c>
    </row>
    <row r="29" spans="1:8" x14ac:dyDescent="0.3">
      <c r="A29" t="s">
        <v>216</v>
      </c>
      <c r="B29" t="s">
        <v>228</v>
      </c>
      <c r="C29" t="s">
        <v>217</v>
      </c>
      <c r="D29" t="s">
        <v>1034</v>
      </c>
      <c r="E29" t="s">
        <v>154</v>
      </c>
      <c r="F29">
        <v>2023</v>
      </c>
      <c r="G29">
        <v>3938</v>
      </c>
      <c r="H29" t="s">
        <v>229</v>
      </c>
    </row>
    <row r="30" spans="1:8" x14ac:dyDescent="0.3">
      <c r="A30" t="s">
        <v>216</v>
      </c>
      <c r="B30" t="s">
        <v>228</v>
      </c>
      <c r="C30" t="s">
        <v>217</v>
      </c>
      <c r="D30" t="s">
        <v>1034</v>
      </c>
      <c r="E30" t="s">
        <v>154</v>
      </c>
      <c r="F30">
        <v>2024</v>
      </c>
      <c r="G30">
        <v>4570</v>
      </c>
      <c r="H30" t="s">
        <v>229</v>
      </c>
    </row>
    <row r="31" spans="1:8" x14ac:dyDescent="0.3">
      <c r="A31" t="s">
        <v>216</v>
      </c>
      <c r="B31" t="s">
        <v>228</v>
      </c>
      <c r="C31" t="s">
        <v>217</v>
      </c>
      <c r="D31" t="s">
        <v>1035</v>
      </c>
      <c r="E31" t="s">
        <v>154</v>
      </c>
      <c r="F31">
        <v>2024</v>
      </c>
      <c r="G31">
        <v>1086100</v>
      </c>
      <c r="H31" t="s">
        <v>229</v>
      </c>
    </row>
    <row r="32" spans="1:8" x14ac:dyDescent="0.3">
      <c r="A32" t="s">
        <v>230</v>
      </c>
      <c r="B32" t="s">
        <v>228</v>
      </c>
      <c r="C32" t="s">
        <v>231</v>
      </c>
      <c r="D32" t="s">
        <v>1034</v>
      </c>
      <c r="E32" t="s">
        <v>136</v>
      </c>
      <c r="F32">
        <v>2024</v>
      </c>
      <c r="G32">
        <v>400000</v>
      </c>
      <c r="H32" t="s">
        <v>236</v>
      </c>
    </row>
    <row r="33" spans="1:8" x14ac:dyDescent="0.3">
      <c r="A33" t="s">
        <v>230</v>
      </c>
      <c r="B33" t="s">
        <v>228</v>
      </c>
      <c r="C33" t="s">
        <v>231</v>
      </c>
      <c r="D33" t="s">
        <v>1034</v>
      </c>
      <c r="E33" t="s">
        <v>136</v>
      </c>
      <c r="F33">
        <v>2023</v>
      </c>
      <c r="G33">
        <v>395000</v>
      </c>
      <c r="H33" t="s">
        <v>236</v>
      </c>
    </row>
    <row r="34" spans="1:8" x14ac:dyDescent="0.3">
      <c r="A34" t="s">
        <v>237</v>
      </c>
      <c r="B34" t="s">
        <v>228</v>
      </c>
      <c r="C34" t="s">
        <v>238</v>
      </c>
      <c r="D34" t="s">
        <v>1034</v>
      </c>
      <c r="E34" t="s">
        <v>136</v>
      </c>
      <c r="F34">
        <v>2023</v>
      </c>
      <c r="G34">
        <v>24100</v>
      </c>
    </row>
    <row r="35" spans="1:8" x14ac:dyDescent="0.3">
      <c r="A35" t="s">
        <v>237</v>
      </c>
      <c r="B35" t="s">
        <v>228</v>
      </c>
      <c r="C35" t="s">
        <v>238</v>
      </c>
      <c r="D35" t="s">
        <v>1034</v>
      </c>
      <c r="E35" t="s">
        <v>136</v>
      </c>
      <c r="F35">
        <v>2024</v>
      </c>
      <c r="G35">
        <v>24000</v>
      </c>
    </row>
    <row r="36" spans="1:8" x14ac:dyDescent="0.3">
      <c r="A36" t="s">
        <v>243</v>
      </c>
      <c r="B36" t="s">
        <v>228</v>
      </c>
      <c r="C36" t="s">
        <v>245</v>
      </c>
      <c r="D36" t="s">
        <v>1034</v>
      </c>
      <c r="E36" t="s">
        <v>154</v>
      </c>
      <c r="F36">
        <v>2024</v>
      </c>
      <c r="G36">
        <v>4000000</v>
      </c>
    </row>
    <row r="37" spans="1:8" x14ac:dyDescent="0.3">
      <c r="A37" t="s">
        <v>243</v>
      </c>
      <c r="B37" t="s">
        <v>228</v>
      </c>
      <c r="C37" t="s">
        <v>248</v>
      </c>
      <c r="D37" t="s">
        <v>1034</v>
      </c>
      <c r="E37" t="s">
        <v>154</v>
      </c>
      <c r="F37">
        <v>2024</v>
      </c>
      <c r="G37">
        <v>3800000</v>
      </c>
    </row>
    <row r="38" spans="1:8" x14ac:dyDescent="0.3">
      <c r="A38" t="s">
        <v>243</v>
      </c>
      <c r="B38" t="s">
        <v>228</v>
      </c>
      <c r="C38" t="s">
        <v>245</v>
      </c>
      <c r="D38" t="s">
        <v>1034</v>
      </c>
      <c r="E38" t="s">
        <v>154</v>
      </c>
      <c r="F38">
        <v>2023</v>
      </c>
      <c r="G38">
        <v>4100000</v>
      </c>
    </row>
    <row r="39" spans="1:8" x14ac:dyDescent="0.3">
      <c r="A39" t="s">
        <v>243</v>
      </c>
      <c r="B39" t="s">
        <v>228</v>
      </c>
      <c r="C39" t="s">
        <v>248</v>
      </c>
      <c r="D39" t="s">
        <v>1034</v>
      </c>
      <c r="E39" t="s">
        <v>154</v>
      </c>
      <c r="F39">
        <v>2023</v>
      </c>
      <c r="G39">
        <v>3800000</v>
      </c>
    </row>
    <row r="40" spans="1:8" x14ac:dyDescent="0.3">
      <c r="A40" t="s">
        <v>5</v>
      </c>
      <c r="B40" t="s">
        <v>228</v>
      </c>
      <c r="C40" t="s">
        <v>249</v>
      </c>
      <c r="D40" t="s">
        <v>1034</v>
      </c>
      <c r="E40" t="s">
        <v>154</v>
      </c>
      <c r="F40">
        <v>2024</v>
      </c>
      <c r="G40">
        <v>47000</v>
      </c>
    </row>
    <row r="41" spans="1:8" x14ac:dyDescent="0.3">
      <c r="A41" t="s">
        <v>5</v>
      </c>
      <c r="B41" t="s">
        <v>228</v>
      </c>
      <c r="C41" t="s">
        <v>249</v>
      </c>
      <c r="D41" t="s">
        <v>1034</v>
      </c>
      <c r="E41" t="s">
        <v>154</v>
      </c>
      <c r="F41">
        <v>2023</v>
      </c>
      <c r="G41">
        <v>45200</v>
      </c>
    </row>
    <row r="42" spans="1:8" x14ac:dyDescent="0.3">
      <c r="A42" t="s">
        <v>5</v>
      </c>
      <c r="B42" t="s">
        <v>228</v>
      </c>
      <c r="C42" t="s">
        <v>249</v>
      </c>
      <c r="D42" t="s">
        <v>1035</v>
      </c>
      <c r="E42" t="s">
        <v>154</v>
      </c>
      <c r="F42">
        <v>2024</v>
      </c>
      <c r="G42" t="s">
        <v>254</v>
      </c>
    </row>
    <row r="43" spans="1:8" x14ac:dyDescent="0.3">
      <c r="A43" t="s">
        <v>255</v>
      </c>
      <c r="B43" t="s">
        <v>228</v>
      </c>
      <c r="C43" t="s">
        <v>256</v>
      </c>
      <c r="D43" t="s">
        <v>1034</v>
      </c>
      <c r="E43" t="s">
        <v>154</v>
      </c>
      <c r="F43">
        <v>2024</v>
      </c>
      <c r="G43">
        <v>21000</v>
      </c>
    </row>
    <row r="44" spans="1:8" x14ac:dyDescent="0.3">
      <c r="A44" t="s">
        <v>255</v>
      </c>
      <c r="B44" t="s">
        <v>228</v>
      </c>
      <c r="C44" t="s">
        <v>262</v>
      </c>
      <c r="D44" t="s">
        <v>1034</v>
      </c>
      <c r="E44" t="s">
        <v>154</v>
      </c>
      <c r="F44">
        <v>2024</v>
      </c>
      <c r="G44">
        <v>4300</v>
      </c>
    </row>
    <row r="45" spans="1:8" x14ac:dyDescent="0.3">
      <c r="A45" t="s">
        <v>255</v>
      </c>
      <c r="B45" t="s">
        <v>228</v>
      </c>
      <c r="C45" t="s">
        <v>264</v>
      </c>
      <c r="D45" t="s">
        <v>1034</v>
      </c>
      <c r="E45" t="s">
        <v>154</v>
      </c>
      <c r="F45">
        <v>2024</v>
      </c>
      <c r="G45">
        <v>4400</v>
      </c>
    </row>
    <row r="46" spans="1:8" x14ac:dyDescent="0.3">
      <c r="A46" t="s">
        <v>255</v>
      </c>
      <c r="B46" t="s">
        <v>228</v>
      </c>
      <c r="C46" t="s">
        <v>256</v>
      </c>
      <c r="D46" t="s">
        <v>1034</v>
      </c>
      <c r="E46" t="s">
        <v>154</v>
      </c>
      <c r="F46">
        <v>2023</v>
      </c>
      <c r="G46">
        <v>20300</v>
      </c>
    </row>
    <row r="47" spans="1:8" x14ac:dyDescent="0.3">
      <c r="A47" t="s">
        <v>255</v>
      </c>
      <c r="B47" t="s">
        <v>228</v>
      </c>
      <c r="C47" t="s">
        <v>262</v>
      </c>
      <c r="D47" t="s">
        <v>1034</v>
      </c>
      <c r="E47" t="s">
        <v>154</v>
      </c>
      <c r="F47">
        <v>2023</v>
      </c>
      <c r="G47">
        <v>4200</v>
      </c>
    </row>
    <row r="48" spans="1:8" x14ac:dyDescent="0.3">
      <c r="A48" t="s">
        <v>255</v>
      </c>
      <c r="B48" t="s">
        <v>228</v>
      </c>
      <c r="C48" t="s">
        <v>264</v>
      </c>
      <c r="D48" t="s">
        <v>1034</v>
      </c>
      <c r="E48" t="s">
        <v>154</v>
      </c>
      <c r="F48">
        <v>2023</v>
      </c>
      <c r="G48">
        <v>44400</v>
      </c>
    </row>
    <row r="49" spans="1:8" x14ac:dyDescent="0.3">
      <c r="A49" t="s">
        <v>6</v>
      </c>
      <c r="B49" t="s">
        <v>228</v>
      </c>
      <c r="C49" t="s">
        <v>267</v>
      </c>
      <c r="D49" t="s">
        <v>1034</v>
      </c>
      <c r="E49" t="s">
        <v>136</v>
      </c>
      <c r="F49">
        <v>2024</v>
      </c>
      <c r="G49">
        <v>290000</v>
      </c>
    </row>
    <row r="50" spans="1:8" x14ac:dyDescent="0.3">
      <c r="A50" t="s">
        <v>6</v>
      </c>
      <c r="B50" t="s">
        <v>228</v>
      </c>
      <c r="C50" t="s">
        <v>267</v>
      </c>
      <c r="D50" t="s">
        <v>1034</v>
      </c>
      <c r="E50" t="s">
        <v>136</v>
      </c>
      <c r="F50">
        <v>2023</v>
      </c>
      <c r="G50">
        <v>238000</v>
      </c>
    </row>
    <row r="51" spans="1:8" x14ac:dyDescent="0.3">
      <c r="A51" t="s">
        <v>6</v>
      </c>
      <c r="B51" t="s">
        <v>228</v>
      </c>
      <c r="C51" t="s">
        <v>267</v>
      </c>
      <c r="D51" t="s">
        <v>1035</v>
      </c>
      <c r="E51" t="s">
        <v>136</v>
      </c>
      <c r="F51">
        <v>2024</v>
      </c>
      <c r="G51">
        <v>11000000</v>
      </c>
    </row>
    <row r="52" spans="1:8" x14ac:dyDescent="0.3">
      <c r="A52" t="s">
        <v>108</v>
      </c>
      <c r="B52" t="s">
        <v>228</v>
      </c>
      <c r="C52" t="s">
        <v>110</v>
      </c>
      <c r="D52" t="s">
        <v>1034</v>
      </c>
      <c r="E52" t="s">
        <v>154</v>
      </c>
      <c r="F52">
        <v>2024</v>
      </c>
      <c r="G52">
        <v>27000</v>
      </c>
    </row>
    <row r="53" spans="1:8" x14ac:dyDescent="0.3">
      <c r="A53" t="s">
        <v>108</v>
      </c>
      <c r="B53" t="s">
        <v>228</v>
      </c>
      <c r="C53" t="s">
        <v>109</v>
      </c>
      <c r="D53" t="s">
        <v>1034</v>
      </c>
      <c r="E53" t="s">
        <v>154</v>
      </c>
      <c r="F53">
        <v>2024</v>
      </c>
      <c r="G53">
        <v>23000</v>
      </c>
    </row>
    <row r="54" spans="1:8" x14ac:dyDescent="0.3">
      <c r="A54" t="s">
        <v>108</v>
      </c>
      <c r="B54" t="s">
        <v>228</v>
      </c>
      <c r="C54" t="s">
        <v>109</v>
      </c>
      <c r="D54" t="s">
        <v>1035</v>
      </c>
      <c r="E54" t="s">
        <v>154</v>
      </c>
      <c r="F54">
        <v>2024</v>
      </c>
      <c r="G54">
        <v>980000</v>
      </c>
    </row>
    <row r="55" spans="1:8" x14ac:dyDescent="0.3">
      <c r="A55" t="s">
        <v>108</v>
      </c>
      <c r="B55" t="s">
        <v>228</v>
      </c>
      <c r="C55" t="s">
        <v>109</v>
      </c>
      <c r="D55" t="s">
        <v>1034</v>
      </c>
      <c r="E55" t="s">
        <v>154</v>
      </c>
      <c r="F55">
        <v>2023</v>
      </c>
      <c r="G55">
        <v>22600</v>
      </c>
    </row>
    <row r="56" spans="1:8" x14ac:dyDescent="0.3">
      <c r="A56" t="s">
        <v>108</v>
      </c>
      <c r="B56" t="s">
        <v>228</v>
      </c>
      <c r="C56" t="s">
        <v>110</v>
      </c>
      <c r="D56" t="s">
        <v>1034</v>
      </c>
      <c r="E56" t="s">
        <v>154</v>
      </c>
      <c r="F56">
        <v>2023</v>
      </c>
      <c r="G56">
        <v>27000</v>
      </c>
    </row>
    <row r="57" spans="1:8" x14ac:dyDescent="0.3">
      <c r="A57" t="s">
        <v>276</v>
      </c>
      <c r="B57" t="s">
        <v>228</v>
      </c>
      <c r="C57" t="s">
        <v>277</v>
      </c>
      <c r="D57" t="s">
        <v>1034</v>
      </c>
      <c r="E57" t="s">
        <v>278</v>
      </c>
      <c r="F57">
        <v>2024</v>
      </c>
      <c r="G57">
        <v>41</v>
      </c>
      <c r="H57" t="s">
        <v>139</v>
      </c>
    </row>
    <row r="58" spans="1:8" x14ac:dyDescent="0.3">
      <c r="A58" t="s">
        <v>276</v>
      </c>
      <c r="B58" t="s">
        <v>228</v>
      </c>
      <c r="C58" t="s">
        <v>277</v>
      </c>
      <c r="D58" t="s">
        <v>1034</v>
      </c>
      <c r="E58" t="s">
        <v>278</v>
      </c>
      <c r="F58">
        <v>2023</v>
      </c>
      <c r="G58">
        <v>41</v>
      </c>
      <c r="H58" t="s">
        <v>139</v>
      </c>
    </row>
    <row r="59" spans="1:8" x14ac:dyDescent="0.3">
      <c r="A59" t="s">
        <v>276</v>
      </c>
      <c r="B59" t="s">
        <v>228</v>
      </c>
      <c r="C59" t="s">
        <v>277</v>
      </c>
      <c r="D59" t="s">
        <v>1035</v>
      </c>
      <c r="E59" t="s">
        <v>278</v>
      </c>
      <c r="F59">
        <v>2024</v>
      </c>
      <c r="G59">
        <v>1700</v>
      </c>
    </row>
    <row r="60" spans="1:8" x14ac:dyDescent="0.3">
      <c r="A60" t="s">
        <v>281</v>
      </c>
      <c r="B60" t="s">
        <v>228</v>
      </c>
      <c r="C60" t="s">
        <v>266</v>
      </c>
      <c r="D60" t="s">
        <v>1034</v>
      </c>
      <c r="E60" t="s">
        <v>154</v>
      </c>
      <c r="F60">
        <v>2024</v>
      </c>
      <c r="G60">
        <v>3000</v>
      </c>
    </row>
    <row r="61" spans="1:8" x14ac:dyDescent="0.3">
      <c r="A61" t="s">
        <v>281</v>
      </c>
      <c r="B61" t="s">
        <v>228</v>
      </c>
      <c r="C61" t="s">
        <v>266</v>
      </c>
      <c r="D61" t="s">
        <v>1034</v>
      </c>
      <c r="E61" t="s">
        <v>154</v>
      </c>
      <c r="F61">
        <v>2023</v>
      </c>
      <c r="G61">
        <v>3010</v>
      </c>
    </row>
    <row r="62" spans="1:8" x14ac:dyDescent="0.3">
      <c r="A62" t="s">
        <v>283</v>
      </c>
      <c r="B62" t="s">
        <v>228</v>
      </c>
      <c r="C62" t="s">
        <v>266</v>
      </c>
      <c r="D62" t="s">
        <v>1034</v>
      </c>
      <c r="E62" t="s">
        <v>154</v>
      </c>
      <c r="F62">
        <v>2024</v>
      </c>
      <c r="G62">
        <v>33000</v>
      </c>
    </row>
    <row r="63" spans="1:8" x14ac:dyDescent="0.3">
      <c r="A63" t="s">
        <v>283</v>
      </c>
      <c r="B63" t="s">
        <v>228</v>
      </c>
      <c r="C63" t="s">
        <v>266</v>
      </c>
      <c r="D63" t="s">
        <v>1034</v>
      </c>
      <c r="E63" t="s">
        <v>154</v>
      </c>
      <c r="F63">
        <v>2023</v>
      </c>
      <c r="G63">
        <v>33400</v>
      </c>
    </row>
    <row r="64" spans="1:8" x14ac:dyDescent="0.3">
      <c r="A64" t="s">
        <v>288</v>
      </c>
      <c r="B64" t="s">
        <v>228</v>
      </c>
      <c r="C64" t="s">
        <v>266</v>
      </c>
      <c r="D64" t="s">
        <v>1034</v>
      </c>
      <c r="E64" t="s">
        <v>154</v>
      </c>
      <c r="F64">
        <v>2024</v>
      </c>
      <c r="G64">
        <v>9500</v>
      </c>
    </row>
    <row r="65" spans="1:8" x14ac:dyDescent="0.3">
      <c r="A65" t="s">
        <v>288</v>
      </c>
      <c r="B65" t="s">
        <v>228</v>
      </c>
      <c r="C65" t="s">
        <v>266</v>
      </c>
      <c r="D65" t="s">
        <v>1035</v>
      </c>
      <c r="E65" t="s">
        <v>154</v>
      </c>
      <c r="F65">
        <v>2024</v>
      </c>
      <c r="G65">
        <v>320000</v>
      </c>
    </row>
    <row r="66" spans="1:8" x14ac:dyDescent="0.3">
      <c r="A66" t="s">
        <v>288</v>
      </c>
      <c r="B66" t="s">
        <v>228</v>
      </c>
      <c r="C66" t="s">
        <v>266</v>
      </c>
      <c r="D66" t="s">
        <v>1034</v>
      </c>
      <c r="E66" t="s">
        <v>154</v>
      </c>
      <c r="F66">
        <v>2023</v>
      </c>
      <c r="G66">
        <v>9530</v>
      </c>
    </row>
    <row r="67" spans="1:8" x14ac:dyDescent="0.3">
      <c r="A67" t="s">
        <v>290</v>
      </c>
      <c r="B67" t="s">
        <v>228</v>
      </c>
      <c r="C67" t="s">
        <v>42</v>
      </c>
      <c r="D67" t="s">
        <v>1034</v>
      </c>
      <c r="E67" t="s">
        <v>291</v>
      </c>
      <c r="F67">
        <v>2024</v>
      </c>
      <c r="G67">
        <v>760000</v>
      </c>
    </row>
    <row r="68" spans="1:8" x14ac:dyDescent="0.3">
      <c r="A68" t="s">
        <v>290</v>
      </c>
      <c r="B68" t="s">
        <v>228</v>
      </c>
      <c r="C68" t="s">
        <v>42</v>
      </c>
      <c r="D68" t="s">
        <v>1033</v>
      </c>
      <c r="E68" t="s">
        <v>291</v>
      </c>
      <c r="F68">
        <v>2024</v>
      </c>
      <c r="G68">
        <v>1100000</v>
      </c>
      <c r="H68" t="s">
        <v>294</v>
      </c>
    </row>
    <row r="69" spans="1:8" x14ac:dyDescent="0.3">
      <c r="A69" t="s">
        <v>290</v>
      </c>
      <c r="B69" t="s">
        <v>228</v>
      </c>
      <c r="C69" t="s">
        <v>42</v>
      </c>
      <c r="D69" t="s">
        <v>1034</v>
      </c>
      <c r="E69" t="s">
        <v>291</v>
      </c>
      <c r="F69">
        <v>2023</v>
      </c>
      <c r="G69">
        <v>633000</v>
      </c>
    </row>
    <row r="70" spans="1:8" x14ac:dyDescent="0.3">
      <c r="A70" t="s">
        <v>295</v>
      </c>
      <c r="B70" t="s">
        <v>228</v>
      </c>
      <c r="C70" t="s">
        <v>266</v>
      </c>
      <c r="D70" t="s">
        <v>1034</v>
      </c>
      <c r="E70" t="s">
        <v>136</v>
      </c>
      <c r="F70">
        <v>2024</v>
      </c>
      <c r="G70">
        <v>980000</v>
      </c>
    </row>
    <row r="71" spans="1:8" x14ac:dyDescent="0.3">
      <c r="A71" t="s">
        <v>295</v>
      </c>
      <c r="B71" t="s">
        <v>228</v>
      </c>
      <c r="C71" t="s">
        <v>266</v>
      </c>
      <c r="D71" t="s">
        <v>1034</v>
      </c>
      <c r="E71" t="s">
        <v>136</v>
      </c>
      <c r="F71">
        <v>2023</v>
      </c>
      <c r="G71">
        <v>972000</v>
      </c>
    </row>
    <row r="72" spans="1:8" x14ac:dyDescent="0.3">
      <c r="A72" t="s">
        <v>297</v>
      </c>
      <c r="B72" t="s">
        <v>228</v>
      </c>
      <c r="C72" t="s">
        <v>298</v>
      </c>
      <c r="D72" t="s">
        <v>1034</v>
      </c>
      <c r="E72" t="s">
        <v>299</v>
      </c>
      <c r="F72">
        <v>2024</v>
      </c>
      <c r="G72">
        <v>72000</v>
      </c>
    </row>
    <row r="73" spans="1:8" x14ac:dyDescent="0.3">
      <c r="A73" t="s">
        <v>297</v>
      </c>
      <c r="B73" t="s">
        <v>228</v>
      </c>
      <c r="C73" t="s">
        <v>298</v>
      </c>
      <c r="D73" t="s">
        <v>1035</v>
      </c>
      <c r="E73" t="s">
        <v>299</v>
      </c>
      <c r="F73">
        <v>2024</v>
      </c>
      <c r="G73" t="s">
        <v>179</v>
      </c>
    </row>
    <row r="74" spans="1:8" x14ac:dyDescent="0.3">
      <c r="A74" t="s">
        <v>297</v>
      </c>
      <c r="B74" t="s">
        <v>228</v>
      </c>
      <c r="C74" t="s">
        <v>298</v>
      </c>
      <c r="D74" t="s">
        <v>1034</v>
      </c>
      <c r="E74" t="s">
        <v>299</v>
      </c>
      <c r="F74">
        <v>2023</v>
      </c>
      <c r="G74">
        <v>71800</v>
      </c>
    </row>
    <row r="75" spans="1:8" x14ac:dyDescent="0.3">
      <c r="A75" t="s">
        <v>307</v>
      </c>
      <c r="B75" t="s">
        <v>228</v>
      </c>
      <c r="C75" t="s">
        <v>308</v>
      </c>
      <c r="D75" t="s">
        <v>1034</v>
      </c>
      <c r="E75" t="s">
        <v>136</v>
      </c>
      <c r="F75">
        <v>2024</v>
      </c>
      <c r="G75">
        <v>3300</v>
      </c>
    </row>
    <row r="76" spans="1:8" x14ac:dyDescent="0.3">
      <c r="A76" t="s">
        <v>307</v>
      </c>
      <c r="B76" t="s">
        <v>228</v>
      </c>
      <c r="C76" t="s">
        <v>308</v>
      </c>
      <c r="D76" t="s">
        <v>1035</v>
      </c>
      <c r="E76" t="s">
        <v>136</v>
      </c>
      <c r="F76">
        <v>2024</v>
      </c>
      <c r="G76">
        <v>64000</v>
      </c>
    </row>
    <row r="77" spans="1:8" x14ac:dyDescent="0.3">
      <c r="A77" t="s">
        <v>307</v>
      </c>
      <c r="B77" t="s">
        <v>228</v>
      </c>
      <c r="C77" t="s">
        <v>308</v>
      </c>
      <c r="D77" t="s">
        <v>1034</v>
      </c>
      <c r="E77" t="s">
        <v>136</v>
      </c>
      <c r="F77">
        <v>2023</v>
      </c>
      <c r="G77">
        <v>3250</v>
      </c>
    </row>
    <row r="78" spans="1:8" x14ac:dyDescent="0.3">
      <c r="A78" t="s">
        <v>12</v>
      </c>
      <c r="B78" t="s">
        <v>228</v>
      </c>
      <c r="C78" t="s">
        <v>43</v>
      </c>
      <c r="D78" t="s">
        <v>1034</v>
      </c>
      <c r="E78" t="s">
        <v>136</v>
      </c>
      <c r="F78">
        <v>2024</v>
      </c>
      <c r="G78">
        <v>1600000</v>
      </c>
    </row>
    <row r="79" spans="1:8" x14ac:dyDescent="0.3">
      <c r="A79" t="s">
        <v>12</v>
      </c>
      <c r="B79" t="s">
        <v>228</v>
      </c>
      <c r="C79" t="s">
        <v>43</v>
      </c>
      <c r="D79" t="s">
        <v>1035</v>
      </c>
      <c r="E79" t="s">
        <v>136</v>
      </c>
      <c r="F79">
        <v>2024</v>
      </c>
      <c r="G79">
        <v>290000000</v>
      </c>
    </row>
    <row r="80" spans="1:8" x14ac:dyDescent="0.3">
      <c r="A80" t="s">
        <v>12</v>
      </c>
      <c r="B80" t="s">
        <v>228</v>
      </c>
      <c r="C80" t="s">
        <v>43</v>
      </c>
      <c r="D80" t="s">
        <v>1034</v>
      </c>
      <c r="E80" t="s">
        <v>136</v>
      </c>
      <c r="F80">
        <v>2023</v>
      </c>
      <c r="G80">
        <v>1530000</v>
      </c>
    </row>
    <row r="81" spans="1:8" x14ac:dyDescent="0.3">
      <c r="A81" t="s">
        <v>316</v>
      </c>
      <c r="B81" t="s">
        <v>228</v>
      </c>
      <c r="C81" t="s">
        <v>266</v>
      </c>
      <c r="D81" t="s">
        <v>1034</v>
      </c>
      <c r="E81" t="s">
        <v>154</v>
      </c>
      <c r="F81">
        <v>2023</v>
      </c>
      <c r="G81">
        <v>157000</v>
      </c>
    </row>
    <row r="82" spans="1:8" x14ac:dyDescent="0.3">
      <c r="A82" t="s">
        <v>316</v>
      </c>
      <c r="B82" t="s">
        <v>228</v>
      </c>
      <c r="C82" t="s">
        <v>266</v>
      </c>
      <c r="D82" t="s">
        <v>1034</v>
      </c>
      <c r="E82" t="s">
        <v>154</v>
      </c>
      <c r="F82">
        <v>2024</v>
      </c>
      <c r="G82">
        <v>160000</v>
      </c>
    </row>
    <row r="83" spans="1:8" x14ac:dyDescent="0.3">
      <c r="A83" t="s">
        <v>319</v>
      </c>
      <c r="B83" t="s">
        <v>228</v>
      </c>
      <c r="C83" t="s">
        <v>321</v>
      </c>
      <c r="D83" t="s">
        <v>1034</v>
      </c>
      <c r="E83" t="s">
        <v>322</v>
      </c>
      <c r="F83">
        <v>2023</v>
      </c>
      <c r="G83">
        <v>176</v>
      </c>
    </row>
    <row r="84" spans="1:8" x14ac:dyDescent="0.3">
      <c r="A84" t="s">
        <v>319</v>
      </c>
      <c r="B84" t="s">
        <v>228</v>
      </c>
      <c r="C84" t="s">
        <v>321</v>
      </c>
      <c r="D84" t="s">
        <v>1034</v>
      </c>
      <c r="E84" t="s">
        <v>322</v>
      </c>
      <c r="F84">
        <v>2024</v>
      </c>
      <c r="G84">
        <v>180</v>
      </c>
    </row>
    <row r="85" spans="1:8" x14ac:dyDescent="0.3">
      <c r="A85" t="s">
        <v>13</v>
      </c>
      <c r="B85" t="s">
        <v>228</v>
      </c>
      <c r="C85" t="s">
        <v>37</v>
      </c>
      <c r="D85" t="s">
        <v>1034</v>
      </c>
      <c r="E85" t="s">
        <v>136</v>
      </c>
      <c r="F85">
        <v>2024</v>
      </c>
      <c r="G85">
        <v>1080</v>
      </c>
    </row>
    <row r="86" spans="1:8" x14ac:dyDescent="0.3">
      <c r="A86" t="s">
        <v>13</v>
      </c>
      <c r="B86" t="s">
        <v>228</v>
      </c>
      <c r="C86" t="s">
        <v>37</v>
      </c>
      <c r="D86" t="s">
        <v>1034</v>
      </c>
      <c r="E86" t="s">
        <v>136</v>
      </c>
      <c r="F86">
        <v>2023</v>
      </c>
      <c r="G86">
        <v>1020</v>
      </c>
    </row>
    <row r="87" spans="1:8" x14ac:dyDescent="0.3">
      <c r="A87" t="s">
        <v>13</v>
      </c>
      <c r="B87" t="s">
        <v>228</v>
      </c>
      <c r="C87" t="s">
        <v>37</v>
      </c>
      <c r="D87" t="s">
        <v>1035</v>
      </c>
      <c r="E87" t="s">
        <v>136</v>
      </c>
      <c r="F87">
        <v>2024</v>
      </c>
      <c r="G87">
        <v>1800</v>
      </c>
    </row>
    <row r="88" spans="1:8" x14ac:dyDescent="0.3">
      <c r="A88" t="s">
        <v>326</v>
      </c>
      <c r="B88" t="s">
        <v>228</v>
      </c>
      <c r="C88" t="s">
        <v>327</v>
      </c>
      <c r="D88" t="s">
        <v>1035</v>
      </c>
      <c r="E88" t="s">
        <v>136</v>
      </c>
      <c r="F88">
        <v>2024</v>
      </c>
      <c r="G88">
        <v>6200000</v>
      </c>
    </row>
    <row r="89" spans="1:8" x14ac:dyDescent="0.3">
      <c r="A89" t="s">
        <v>326</v>
      </c>
      <c r="B89" t="s">
        <v>228</v>
      </c>
      <c r="C89" t="s">
        <v>327</v>
      </c>
      <c r="D89" t="s">
        <v>1034</v>
      </c>
      <c r="E89" t="s">
        <v>136</v>
      </c>
      <c r="F89">
        <v>2023</v>
      </c>
      <c r="G89">
        <v>32600</v>
      </c>
      <c r="H89" t="s">
        <v>330</v>
      </c>
    </row>
    <row r="90" spans="1:8" x14ac:dyDescent="0.3">
      <c r="A90" t="s">
        <v>326</v>
      </c>
      <c r="B90" t="s">
        <v>228</v>
      </c>
      <c r="C90" t="s">
        <v>327</v>
      </c>
      <c r="D90" t="s">
        <v>1034</v>
      </c>
      <c r="E90" t="s">
        <v>136</v>
      </c>
      <c r="F90">
        <v>2024</v>
      </c>
      <c r="G90">
        <v>33000</v>
      </c>
      <c r="H90" t="s">
        <v>330</v>
      </c>
    </row>
    <row r="91" spans="1:8" x14ac:dyDescent="0.3">
      <c r="A91" t="s">
        <v>331</v>
      </c>
      <c r="B91" t="s">
        <v>228</v>
      </c>
      <c r="C91" t="s">
        <v>335</v>
      </c>
      <c r="D91" t="s">
        <v>1034</v>
      </c>
      <c r="E91" t="s">
        <v>333</v>
      </c>
      <c r="F91">
        <v>2024</v>
      </c>
      <c r="G91">
        <v>1900</v>
      </c>
      <c r="H91" t="s">
        <v>139</v>
      </c>
    </row>
    <row r="92" spans="1:8" x14ac:dyDescent="0.3">
      <c r="A92" t="s">
        <v>331</v>
      </c>
      <c r="B92" t="s">
        <v>228</v>
      </c>
      <c r="C92" t="s">
        <v>332</v>
      </c>
      <c r="D92" t="s">
        <v>1034</v>
      </c>
      <c r="E92" t="s">
        <v>333</v>
      </c>
      <c r="F92">
        <v>2024</v>
      </c>
      <c r="G92">
        <v>1300</v>
      </c>
    </row>
    <row r="93" spans="1:8" x14ac:dyDescent="0.3">
      <c r="A93" t="s">
        <v>331</v>
      </c>
      <c r="B93" t="s">
        <v>228</v>
      </c>
      <c r="C93" t="s">
        <v>332</v>
      </c>
      <c r="D93" t="s">
        <v>1034</v>
      </c>
      <c r="E93" t="s">
        <v>333</v>
      </c>
      <c r="F93">
        <v>2023</v>
      </c>
      <c r="G93">
        <v>1310</v>
      </c>
    </row>
    <row r="94" spans="1:8" x14ac:dyDescent="0.3">
      <c r="A94" t="s">
        <v>331</v>
      </c>
      <c r="B94" t="s">
        <v>228</v>
      </c>
      <c r="C94" t="s">
        <v>335</v>
      </c>
      <c r="D94" t="s">
        <v>1034</v>
      </c>
      <c r="E94" t="s">
        <v>333</v>
      </c>
      <c r="F94">
        <v>2023</v>
      </c>
      <c r="G94">
        <v>1890</v>
      </c>
      <c r="H94" t="s">
        <v>139</v>
      </c>
    </row>
    <row r="95" spans="1:8" x14ac:dyDescent="0.3">
      <c r="A95" t="s">
        <v>336</v>
      </c>
      <c r="B95" t="s">
        <v>228</v>
      </c>
      <c r="C95" t="s">
        <v>337</v>
      </c>
      <c r="D95" t="s">
        <v>1034</v>
      </c>
      <c r="E95" t="s">
        <v>154</v>
      </c>
      <c r="F95">
        <v>2024</v>
      </c>
      <c r="G95">
        <v>2500000</v>
      </c>
    </row>
    <row r="96" spans="1:8" x14ac:dyDescent="0.3">
      <c r="A96" t="s">
        <v>336</v>
      </c>
      <c r="B96" t="s">
        <v>228</v>
      </c>
      <c r="C96" t="s">
        <v>337</v>
      </c>
      <c r="D96" t="s">
        <v>1035</v>
      </c>
      <c r="E96" t="s">
        <v>154</v>
      </c>
      <c r="F96">
        <v>2024</v>
      </c>
      <c r="G96">
        <v>200000</v>
      </c>
      <c r="H96" t="s">
        <v>338</v>
      </c>
    </row>
    <row r="97" spans="1:8" x14ac:dyDescent="0.3">
      <c r="A97" t="s">
        <v>336</v>
      </c>
      <c r="B97" t="s">
        <v>228</v>
      </c>
      <c r="C97" t="s">
        <v>337</v>
      </c>
      <c r="D97" t="s">
        <v>1034</v>
      </c>
      <c r="E97" t="s">
        <v>154</v>
      </c>
      <c r="F97">
        <v>2023</v>
      </c>
      <c r="G97">
        <v>2530000</v>
      </c>
    </row>
    <row r="98" spans="1:8" x14ac:dyDescent="0.3">
      <c r="A98" t="s">
        <v>336</v>
      </c>
      <c r="B98" t="s">
        <v>228</v>
      </c>
      <c r="C98" t="s">
        <v>342</v>
      </c>
      <c r="D98" t="s">
        <v>1034</v>
      </c>
      <c r="E98" t="s">
        <v>154</v>
      </c>
      <c r="F98">
        <v>2024</v>
      </c>
      <c r="G98">
        <v>1600000</v>
      </c>
    </row>
    <row r="99" spans="1:8" x14ac:dyDescent="0.3">
      <c r="A99" t="s">
        <v>336</v>
      </c>
      <c r="B99" t="s">
        <v>228</v>
      </c>
      <c r="C99" t="s">
        <v>342</v>
      </c>
      <c r="D99" t="s">
        <v>1035</v>
      </c>
      <c r="E99" t="s">
        <v>154</v>
      </c>
      <c r="F99">
        <v>2024</v>
      </c>
      <c r="G99">
        <v>88000</v>
      </c>
      <c r="H99" t="s">
        <v>343</v>
      </c>
    </row>
    <row r="100" spans="1:8" x14ac:dyDescent="0.3">
      <c r="A100" t="s">
        <v>336</v>
      </c>
      <c r="B100" t="s">
        <v>228</v>
      </c>
      <c r="C100" t="s">
        <v>342</v>
      </c>
      <c r="D100" t="s">
        <v>1034</v>
      </c>
      <c r="E100" t="s">
        <v>154</v>
      </c>
      <c r="F100">
        <v>2023</v>
      </c>
      <c r="G100">
        <v>1560000</v>
      </c>
    </row>
    <row r="101" spans="1:8" x14ac:dyDescent="0.3">
      <c r="A101" t="s">
        <v>15</v>
      </c>
      <c r="B101" t="s">
        <v>228</v>
      </c>
      <c r="C101" t="s">
        <v>355</v>
      </c>
      <c r="D101" t="s">
        <v>1034</v>
      </c>
      <c r="E101" t="s">
        <v>154</v>
      </c>
      <c r="F101">
        <v>2024</v>
      </c>
      <c r="G101">
        <v>4300</v>
      </c>
    </row>
    <row r="102" spans="1:8" x14ac:dyDescent="0.3">
      <c r="A102" t="s">
        <v>15</v>
      </c>
      <c r="B102" t="s">
        <v>228</v>
      </c>
      <c r="C102" t="s">
        <v>355</v>
      </c>
      <c r="D102" t="s">
        <v>1034</v>
      </c>
      <c r="E102" t="s">
        <v>154</v>
      </c>
      <c r="F102">
        <v>2023</v>
      </c>
      <c r="G102">
        <v>4370</v>
      </c>
    </row>
    <row r="103" spans="1:8" x14ac:dyDescent="0.3">
      <c r="A103" t="s">
        <v>15</v>
      </c>
      <c r="B103" t="s">
        <v>228</v>
      </c>
      <c r="C103" t="s">
        <v>355</v>
      </c>
      <c r="D103" t="s">
        <v>1034</v>
      </c>
      <c r="E103" t="s">
        <v>154</v>
      </c>
      <c r="F103">
        <v>2022</v>
      </c>
      <c r="G103">
        <v>4460</v>
      </c>
    </row>
    <row r="104" spans="1:8" x14ac:dyDescent="0.3">
      <c r="A104" t="s">
        <v>15</v>
      </c>
      <c r="B104" t="s">
        <v>228</v>
      </c>
      <c r="C104" t="s">
        <v>355</v>
      </c>
      <c r="D104" t="s">
        <v>1035</v>
      </c>
      <c r="E104" t="s">
        <v>154</v>
      </c>
      <c r="F104">
        <v>2024</v>
      </c>
      <c r="G104">
        <v>96000</v>
      </c>
    </row>
    <row r="105" spans="1:8" x14ac:dyDescent="0.3">
      <c r="A105" t="s">
        <v>357</v>
      </c>
      <c r="B105" t="s">
        <v>228</v>
      </c>
      <c r="C105" t="s">
        <v>358</v>
      </c>
      <c r="D105" t="s">
        <v>1034</v>
      </c>
      <c r="E105" t="s">
        <v>154</v>
      </c>
      <c r="F105">
        <v>2024</v>
      </c>
      <c r="G105">
        <v>420000</v>
      </c>
    </row>
    <row r="106" spans="1:8" x14ac:dyDescent="0.3">
      <c r="A106" t="s">
        <v>357</v>
      </c>
      <c r="B106" t="s">
        <v>228</v>
      </c>
      <c r="C106" t="s">
        <v>358</v>
      </c>
      <c r="D106" t="s">
        <v>1034</v>
      </c>
      <c r="E106" t="s">
        <v>154</v>
      </c>
      <c r="F106">
        <v>2023</v>
      </c>
      <c r="G106">
        <v>424000</v>
      </c>
    </row>
    <row r="107" spans="1:8" x14ac:dyDescent="0.3">
      <c r="A107" t="s">
        <v>364</v>
      </c>
      <c r="B107" t="s">
        <v>228</v>
      </c>
      <c r="C107" t="s">
        <v>365</v>
      </c>
      <c r="D107" t="s">
        <v>1034</v>
      </c>
      <c r="E107" t="s">
        <v>136</v>
      </c>
      <c r="F107">
        <v>2024</v>
      </c>
      <c r="G107">
        <v>240000</v>
      </c>
      <c r="H107" t="s">
        <v>205</v>
      </c>
    </row>
    <row r="108" spans="1:8" x14ac:dyDescent="0.3">
      <c r="A108" t="s">
        <v>364</v>
      </c>
      <c r="B108" t="s">
        <v>228</v>
      </c>
      <c r="C108" t="s">
        <v>365</v>
      </c>
      <c r="D108" t="s">
        <v>1035</v>
      </c>
      <c r="E108" t="s">
        <v>136</v>
      </c>
      <c r="F108">
        <v>2024</v>
      </c>
      <c r="G108">
        <v>30000000</v>
      </c>
    </row>
    <row r="109" spans="1:8" x14ac:dyDescent="0.3">
      <c r="A109" t="s">
        <v>364</v>
      </c>
      <c r="B109" t="s">
        <v>228</v>
      </c>
      <c r="C109" t="s">
        <v>365</v>
      </c>
      <c r="D109" t="s">
        <v>1034</v>
      </c>
      <c r="E109" t="s">
        <v>136</v>
      </c>
      <c r="F109">
        <v>2023</v>
      </c>
      <c r="G109">
        <v>204000</v>
      </c>
      <c r="H109" t="s">
        <v>205</v>
      </c>
    </row>
    <row r="110" spans="1:8" x14ac:dyDescent="0.3">
      <c r="A110" t="s">
        <v>369</v>
      </c>
      <c r="B110" t="s">
        <v>228</v>
      </c>
      <c r="C110" t="s">
        <v>370</v>
      </c>
      <c r="D110" t="s">
        <v>1034</v>
      </c>
      <c r="E110" t="s">
        <v>154</v>
      </c>
      <c r="F110">
        <v>2024</v>
      </c>
      <c r="G110">
        <v>22000</v>
      </c>
      <c r="H110" t="s">
        <v>205</v>
      </c>
    </row>
    <row r="111" spans="1:8" x14ac:dyDescent="0.3">
      <c r="A111" t="s">
        <v>369</v>
      </c>
      <c r="B111" t="s">
        <v>228</v>
      </c>
      <c r="C111" t="s">
        <v>370</v>
      </c>
      <c r="D111" t="s">
        <v>1034</v>
      </c>
      <c r="E111" t="s">
        <v>154</v>
      </c>
      <c r="F111">
        <v>2023</v>
      </c>
      <c r="G111">
        <v>22200</v>
      </c>
      <c r="H111" t="s">
        <v>205</v>
      </c>
    </row>
    <row r="112" spans="1:8" x14ac:dyDescent="0.3">
      <c r="A112" t="s">
        <v>369</v>
      </c>
      <c r="B112" t="s">
        <v>228</v>
      </c>
      <c r="C112" t="s">
        <v>370</v>
      </c>
      <c r="D112" t="s">
        <v>1035</v>
      </c>
      <c r="E112" t="s">
        <v>154</v>
      </c>
      <c r="F112">
        <v>2024</v>
      </c>
      <c r="G112">
        <v>7700000</v>
      </c>
    </row>
    <row r="113" spans="1:8" x14ac:dyDescent="0.3">
      <c r="A113" t="s">
        <v>372</v>
      </c>
      <c r="B113" t="s">
        <v>228</v>
      </c>
      <c r="C113" t="s">
        <v>373</v>
      </c>
      <c r="D113" t="s">
        <v>1034</v>
      </c>
      <c r="E113" t="s">
        <v>154</v>
      </c>
      <c r="F113">
        <v>2023</v>
      </c>
      <c r="G113">
        <v>900</v>
      </c>
    </row>
    <row r="114" spans="1:8" x14ac:dyDescent="0.3">
      <c r="A114" t="s">
        <v>372</v>
      </c>
      <c r="B114" t="s">
        <v>228</v>
      </c>
      <c r="C114" t="s">
        <v>373</v>
      </c>
      <c r="D114" t="s">
        <v>1034</v>
      </c>
      <c r="E114" t="s">
        <v>154</v>
      </c>
      <c r="F114">
        <v>2024</v>
      </c>
      <c r="G114">
        <v>1000</v>
      </c>
    </row>
    <row r="115" spans="1:8" x14ac:dyDescent="0.3">
      <c r="A115" t="s">
        <v>372</v>
      </c>
      <c r="B115" t="s">
        <v>228</v>
      </c>
      <c r="C115" t="s">
        <v>373</v>
      </c>
      <c r="D115" t="s">
        <v>1033</v>
      </c>
      <c r="E115" t="s">
        <v>154</v>
      </c>
      <c r="F115">
        <v>2024</v>
      </c>
      <c r="G115">
        <v>2100</v>
      </c>
    </row>
    <row r="116" spans="1:8" x14ac:dyDescent="0.3">
      <c r="A116" t="s">
        <v>372</v>
      </c>
      <c r="B116" t="s">
        <v>228</v>
      </c>
      <c r="C116" t="s">
        <v>373</v>
      </c>
      <c r="D116" t="s">
        <v>1035</v>
      </c>
      <c r="E116" t="s">
        <v>154</v>
      </c>
      <c r="F116">
        <v>2024</v>
      </c>
      <c r="G116">
        <v>2104</v>
      </c>
    </row>
    <row r="117" spans="1:8" x14ac:dyDescent="0.3">
      <c r="A117" t="s">
        <v>17</v>
      </c>
      <c r="B117" t="s">
        <v>228</v>
      </c>
      <c r="C117" t="s">
        <v>375</v>
      </c>
      <c r="D117" t="s">
        <v>1034</v>
      </c>
      <c r="E117" t="s">
        <v>154</v>
      </c>
      <c r="F117">
        <v>2022</v>
      </c>
      <c r="G117">
        <v>19800</v>
      </c>
    </row>
    <row r="118" spans="1:8" x14ac:dyDescent="0.3">
      <c r="A118" t="s">
        <v>17</v>
      </c>
      <c r="B118" t="s">
        <v>228</v>
      </c>
      <c r="C118" t="s">
        <v>375</v>
      </c>
      <c r="D118" t="s">
        <v>1034</v>
      </c>
      <c r="E118" t="s">
        <v>154</v>
      </c>
      <c r="F118">
        <v>2023</v>
      </c>
      <c r="G118">
        <v>19600</v>
      </c>
    </row>
    <row r="119" spans="1:8" x14ac:dyDescent="0.3">
      <c r="A119" t="s">
        <v>17</v>
      </c>
      <c r="B119" t="s">
        <v>228</v>
      </c>
      <c r="C119" t="s">
        <v>375</v>
      </c>
      <c r="D119" t="s">
        <v>1035</v>
      </c>
      <c r="E119" t="s">
        <v>154</v>
      </c>
      <c r="F119">
        <v>2024</v>
      </c>
      <c r="G119">
        <v>1700000</v>
      </c>
      <c r="H119" t="s">
        <v>139</v>
      </c>
    </row>
    <row r="120" spans="1:8" x14ac:dyDescent="0.3">
      <c r="A120" t="s">
        <v>17</v>
      </c>
      <c r="B120" t="s">
        <v>228</v>
      </c>
      <c r="C120" t="s">
        <v>375</v>
      </c>
      <c r="D120" t="s">
        <v>1034</v>
      </c>
      <c r="E120" t="s">
        <v>154</v>
      </c>
      <c r="F120">
        <v>2024</v>
      </c>
      <c r="G120">
        <v>20000</v>
      </c>
    </row>
    <row r="121" spans="1:8" x14ac:dyDescent="0.3">
      <c r="A121" t="s">
        <v>380</v>
      </c>
      <c r="B121" t="s">
        <v>228</v>
      </c>
      <c r="C121" t="s">
        <v>381</v>
      </c>
      <c r="D121" t="s">
        <v>1034</v>
      </c>
      <c r="E121" t="s">
        <v>136</v>
      </c>
      <c r="F121">
        <v>2023</v>
      </c>
      <c r="G121">
        <v>1130</v>
      </c>
    </row>
    <row r="122" spans="1:8" x14ac:dyDescent="0.3">
      <c r="A122" t="s">
        <v>380</v>
      </c>
      <c r="B122" t="s">
        <v>228</v>
      </c>
      <c r="C122" t="s">
        <v>381</v>
      </c>
      <c r="D122" t="s">
        <v>1034</v>
      </c>
      <c r="E122" t="s">
        <v>136</v>
      </c>
      <c r="F122">
        <v>2024</v>
      </c>
      <c r="G122">
        <v>1200</v>
      </c>
    </row>
    <row r="123" spans="1:8" x14ac:dyDescent="0.3">
      <c r="A123" t="s">
        <v>385</v>
      </c>
      <c r="B123" t="s">
        <v>228</v>
      </c>
      <c r="C123" t="s">
        <v>386</v>
      </c>
      <c r="D123" t="s">
        <v>1034</v>
      </c>
      <c r="E123" t="s">
        <v>136</v>
      </c>
      <c r="F123">
        <v>2023</v>
      </c>
      <c r="G123">
        <v>318000</v>
      </c>
    </row>
    <row r="124" spans="1:8" x14ac:dyDescent="0.3">
      <c r="A124" t="s">
        <v>385</v>
      </c>
      <c r="B124" t="s">
        <v>228</v>
      </c>
      <c r="C124" t="s">
        <v>386</v>
      </c>
      <c r="D124" t="s">
        <v>1034</v>
      </c>
      <c r="E124" t="s">
        <v>136</v>
      </c>
      <c r="F124">
        <v>2024</v>
      </c>
      <c r="G124">
        <v>330000</v>
      </c>
    </row>
    <row r="125" spans="1:8" x14ac:dyDescent="0.3">
      <c r="A125" t="s">
        <v>389</v>
      </c>
      <c r="B125" t="s">
        <v>228</v>
      </c>
      <c r="C125" t="s">
        <v>390</v>
      </c>
      <c r="D125" t="s">
        <v>1034</v>
      </c>
      <c r="E125" t="s">
        <v>136</v>
      </c>
      <c r="F125">
        <v>2023</v>
      </c>
      <c r="G125">
        <v>248000</v>
      </c>
    </row>
    <row r="126" spans="1:8" x14ac:dyDescent="0.3">
      <c r="A126" t="s">
        <v>389</v>
      </c>
      <c r="B126" t="s">
        <v>228</v>
      </c>
      <c r="C126" t="s">
        <v>390</v>
      </c>
      <c r="D126" t="s">
        <v>1035</v>
      </c>
      <c r="E126" t="s">
        <v>136</v>
      </c>
      <c r="F126">
        <v>2024</v>
      </c>
      <c r="G126">
        <v>15000</v>
      </c>
      <c r="H126" t="s">
        <v>391</v>
      </c>
    </row>
    <row r="127" spans="1:8" ht="13.8" customHeight="1" x14ac:dyDescent="0.3">
      <c r="A127" t="s">
        <v>389</v>
      </c>
      <c r="B127" t="s">
        <v>228</v>
      </c>
      <c r="C127" t="s">
        <v>390</v>
      </c>
      <c r="D127" t="s">
        <v>1034</v>
      </c>
      <c r="E127" t="s">
        <v>136</v>
      </c>
      <c r="F127">
        <v>2024</v>
      </c>
      <c r="G127">
        <v>260000</v>
      </c>
    </row>
    <row r="128" spans="1:8" x14ac:dyDescent="0.3">
      <c r="A128" t="s">
        <v>20</v>
      </c>
      <c r="B128" t="s">
        <v>228</v>
      </c>
      <c r="C128" t="s">
        <v>111</v>
      </c>
      <c r="D128" t="s">
        <v>1035</v>
      </c>
      <c r="E128" t="s">
        <v>136</v>
      </c>
      <c r="F128">
        <v>2024</v>
      </c>
      <c r="G128" t="s">
        <v>397</v>
      </c>
    </row>
    <row r="129" spans="1:7" x14ac:dyDescent="0.3">
      <c r="A129" t="s">
        <v>20</v>
      </c>
      <c r="B129" t="s">
        <v>228</v>
      </c>
      <c r="C129" t="s">
        <v>111</v>
      </c>
      <c r="D129" t="s">
        <v>1034</v>
      </c>
      <c r="E129" t="s">
        <v>136</v>
      </c>
      <c r="F129">
        <v>2021</v>
      </c>
      <c r="G129">
        <v>2730000</v>
      </c>
    </row>
    <row r="130" spans="1:7" x14ac:dyDescent="0.3">
      <c r="A130" t="s">
        <v>20</v>
      </c>
      <c r="B130" t="s">
        <v>228</v>
      </c>
      <c r="C130" t="s">
        <v>111</v>
      </c>
      <c r="D130" t="s">
        <v>1034</v>
      </c>
      <c r="E130" t="s">
        <v>136</v>
      </c>
      <c r="F130">
        <v>2022</v>
      </c>
      <c r="G130">
        <v>3270000</v>
      </c>
    </row>
    <row r="131" spans="1:7" x14ac:dyDescent="0.3">
      <c r="A131" t="s">
        <v>20</v>
      </c>
      <c r="B131" t="s">
        <v>228</v>
      </c>
      <c r="C131" t="s">
        <v>111</v>
      </c>
      <c r="D131" t="s">
        <v>1034</v>
      </c>
      <c r="E131" t="s">
        <v>136</v>
      </c>
      <c r="F131">
        <v>2023</v>
      </c>
      <c r="G131">
        <v>3750000</v>
      </c>
    </row>
    <row r="132" spans="1:7" x14ac:dyDescent="0.3">
      <c r="A132" t="s">
        <v>20</v>
      </c>
      <c r="B132" t="s">
        <v>228</v>
      </c>
      <c r="C132" t="s">
        <v>111</v>
      </c>
      <c r="D132" t="s">
        <v>1034</v>
      </c>
      <c r="E132" t="s">
        <v>136</v>
      </c>
      <c r="F132">
        <v>2024</v>
      </c>
      <c r="G132">
        <v>3700000</v>
      </c>
    </row>
    <row r="133" spans="1:7" x14ac:dyDescent="0.3">
      <c r="A133" t="s">
        <v>398</v>
      </c>
      <c r="B133" t="s">
        <v>228</v>
      </c>
      <c r="C133" t="s">
        <v>399</v>
      </c>
      <c r="D133" t="s">
        <v>1035</v>
      </c>
      <c r="E133" t="s">
        <v>136</v>
      </c>
      <c r="F133">
        <v>2024</v>
      </c>
      <c r="G133" t="s">
        <v>400</v>
      </c>
    </row>
    <row r="134" spans="1:7" x14ac:dyDescent="0.3">
      <c r="A134" t="s">
        <v>398</v>
      </c>
      <c r="B134" t="s">
        <v>228</v>
      </c>
      <c r="C134" t="s">
        <v>399</v>
      </c>
      <c r="D134" t="s">
        <v>1034</v>
      </c>
      <c r="E134" t="s">
        <v>136</v>
      </c>
      <c r="F134">
        <v>2023</v>
      </c>
      <c r="G134">
        <v>110000</v>
      </c>
    </row>
    <row r="135" spans="1:7" x14ac:dyDescent="0.3">
      <c r="A135" t="s">
        <v>398</v>
      </c>
      <c r="B135" t="s">
        <v>228</v>
      </c>
      <c r="C135" t="s">
        <v>399</v>
      </c>
      <c r="D135" t="s">
        <v>1034</v>
      </c>
      <c r="E135" t="s">
        <v>136</v>
      </c>
      <c r="F135">
        <v>2024</v>
      </c>
      <c r="G135">
        <v>110000</v>
      </c>
    </row>
    <row r="136" spans="1:7" x14ac:dyDescent="0.3">
      <c r="A136" t="s">
        <v>401</v>
      </c>
      <c r="B136" t="s">
        <v>228</v>
      </c>
      <c r="C136" t="s">
        <v>402</v>
      </c>
      <c r="D136" t="s">
        <v>1034</v>
      </c>
      <c r="E136" t="s">
        <v>154</v>
      </c>
      <c r="F136">
        <v>2024</v>
      </c>
      <c r="G136">
        <v>150000</v>
      </c>
    </row>
    <row r="137" spans="1:7" x14ac:dyDescent="0.3">
      <c r="A137" t="s">
        <v>401</v>
      </c>
      <c r="B137" t="s">
        <v>228</v>
      </c>
      <c r="C137" t="s">
        <v>402</v>
      </c>
      <c r="D137" t="s">
        <v>1034</v>
      </c>
      <c r="E137" t="s">
        <v>154</v>
      </c>
      <c r="F137">
        <v>2023</v>
      </c>
      <c r="G137">
        <v>152000</v>
      </c>
    </row>
    <row r="138" spans="1:7" x14ac:dyDescent="0.3">
      <c r="A138" t="s">
        <v>405</v>
      </c>
      <c r="B138" t="s">
        <v>228</v>
      </c>
      <c r="C138" t="s">
        <v>43</v>
      </c>
      <c r="D138" t="s">
        <v>1035</v>
      </c>
      <c r="E138" t="s">
        <v>154</v>
      </c>
      <c r="F138">
        <v>2024</v>
      </c>
      <c r="G138">
        <v>13000000</v>
      </c>
    </row>
    <row r="139" spans="1:7" x14ac:dyDescent="0.3">
      <c r="A139" t="s">
        <v>405</v>
      </c>
      <c r="B139" t="s">
        <v>228</v>
      </c>
      <c r="C139" t="s">
        <v>43</v>
      </c>
      <c r="D139" t="s">
        <v>1034</v>
      </c>
      <c r="E139" t="s">
        <v>154</v>
      </c>
      <c r="F139">
        <v>2024</v>
      </c>
      <c r="G139">
        <v>20000</v>
      </c>
    </row>
    <row r="140" spans="1:7" x14ac:dyDescent="0.3">
      <c r="A140" t="s">
        <v>405</v>
      </c>
      <c r="B140" t="s">
        <v>228</v>
      </c>
      <c r="C140" t="s">
        <v>43</v>
      </c>
      <c r="D140" t="s">
        <v>1034</v>
      </c>
      <c r="E140" t="s">
        <v>154</v>
      </c>
      <c r="F140">
        <v>2023</v>
      </c>
      <c r="G140">
        <v>19900</v>
      </c>
    </row>
    <row r="141" spans="1:7" x14ac:dyDescent="0.3">
      <c r="A141" t="s">
        <v>411</v>
      </c>
      <c r="B141" t="s">
        <v>228</v>
      </c>
      <c r="C141" t="s">
        <v>266</v>
      </c>
      <c r="D141" t="s">
        <v>1034</v>
      </c>
      <c r="E141" t="s">
        <v>154</v>
      </c>
      <c r="F141">
        <v>2023</v>
      </c>
      <c r="G141">
        <v>4230</v>
      </c>
    </row>
    <row r="142" spans="1:7" x14ac:dyDescent="0.3">
      <c r="A142" t="s">
        <v>411</v>
      </c>
      <c r="B142" t="s">
        <v>228</v>
      </c>
      <c r="C142" t="s">
        <v>266</v>
      </c>
      <c r="D142" t="s">
        <v>1034</v>
      </c>
      <c r="E142" t="s">
        <v>154</v>
      </c>
      <c r="F142">
        <v>2024</v>
      </c>
      <c r="G142">
        <v>4300</v>
      </c>
    </row>
    <row r="143" spans="1:7" x14ac:dyDescent="0.3">
      <c r="A143" t="s">
        <v>418</v>
      </c>
      <c r="B143" t="s">
        <v>228</v>
      </c>
      <c r="C143" t="s">
        <v>419</v>
      </c>
      <c r="D143" t="s">
        <v>1034</v>
      </c>
      <c r="E143" t="s">
        <v>154</v>
      </c>
      <c r="F143">
        <v>2023</v>
      </c>
      <c r="G143">
        <v>233000</v>
      </c>
    </row>
    <row r="144" spans="1:7" x14ac:dyDescent="0.3">
      <c r="A144" t="s">
        <v>418</v>
      </c>
      <c r="B144" t="s">
        <v>228</v>
      </c>
      <c r="C144" t="s">
        <v>419</v>
      </c>
      <c r="D144" t="s">
        <v>1034</v>
      </c>
      <c r="E144" t="s">
        <v>154</v>
      </c>
      <c r="F144">
        <v>2024</v>
      </c>
      <c r="G144">
        <v>240000</v>
      </c>
    </row>
    <row r="145" spans="1:7" x14ac:dyDescent="0.3">
      <c r="A145" t="s">
        <v>418</v>
      </c>
      <c r="B145" t="s">
        <v>228</v>
      </c>
      <c r="C145" t="s">
        <v>419</v>
      </c>
      <c r="D145" t="s">
        <v>1035</v>
      </c>
      <c r="E145" t="s">
        <v>154</v>
      </c>
      <c r="F145">
        <v>2024</v>
      </c>
      <c r="G145">
        <v>74000000</v>
      </c>
    </row>
    <row r="146" spans="1:7" x14ac:dyDescent="0.3">
      <c r="A146" t="s">
        <v>423</v>
      </c>
      <c r="B146" t="s">
        <v>228</v>
      </c>
      <c r="C146" t="s">
        <v>424</v>
      </c>
      <c r="D146" t="s">
        <v>1034</v>
      </c>
      <c r="E146" t="s">
        <v>291</v>
      </c>
      <c r="F146">
        <v>2023</v>
      </c>
      <c r="G146">
        <v>208000</v>
      </c>
    </row>
    <row r="147" spans="1:7" x14ac:dyDescent="0.3">
      <c r="A147" t="s">
        <v>423</v>
      </c>
      <c r="B147" t="s">
        <v>228</v>
      </c>
      <c r="C147" t="s">
        <v>424</v>
      </c>
      <c r="D147" t="s">
        <v>1034</v>
      </c>
      <c r="E147" t="s">
        <v>291</v>
      </c>
      <c r="F147">
        <v>2024</v>
      </c>
      <c r="G147">
        <v>190000</v>
      </c>
    </row>
    <row r="148" spans="1:7" x14ac:dyDescent="0.3">
      <c r="A148" t="s">
        <v>423</v>
      </c>
      <c r="B148" t="s">
        <v>228</v>
      </c>
      <c r="C148" t="s">
        <v>426</v>
      </c>
      <c r="D148" t="s">
        <v>1034</v>
      </c>
      <c r="E148" t="s">
        <v>291</v>
      </c>
      <c r="F148">
        <v>2024</v>
      </c>
      <c r="G148">
        <v>170000</v>
      </c>
    </row>
    <row r="149" spans="1:7" x14ac:dyDescent="0.3">
      <c r="A149" t="s">
        <v>423</v>
      </c>
      <c r="B149" t="s">
        <v>228</v>
      </c>
      <c r="C149" t="s">
        <v>426</v>
      </c>
      <c r="D149" t="s">
        <v>1034</v>
      </c>
      <c r="E149" t="s">
        <v>291</v>
      </c>
      <c r="F149">
        <v>2023</v>
      </c>
      <c r="G149">
        <v>179000</v>
      </c>
    </row>
    <row r="150" spans="1:7" x14ac:dyDescent="0.3">
      <c r="A150" t="s">
        <v>423</v>
      </c>
      <c r="B150" t="s">
        <v>228</v>
      </c>
      <c r="C150" t="s">
        <v>426</v>
      </c>
      <c r="D150" t="s">
        <v>1034</v>
      </c>
      <c r="E150" t="s">
        <v>291</v>
      </c>
      <c r="F150">
        <v>2022</v>
      </c>
      <c r="G150">
        <v>174000</v>
      </c>
    </row>
    <row r="151" spans="1:7" x14ac:dyDescent="0.3">
      <c r="A151" t="s">
        <v>423</v>
      </c>
      <c r="B151" t="s">
        <v>228</v>
      </c>
      <c r="C151" t="s">
        <v>424</v>
      </c>
      <c r="D151" t="s">
        <v>1035</v>
      </c>
      <c r="E151" t="s">
        <v>291</v>
      </c>
      <c r="F151">
        <v>2024</v>
      </c>
      <c r="G151">
        <v>81000000</v>
      </c>
    </row>
    <row r="152" spans="1:7" x14ac:dyDescent="0.3">
      <c r="A152" t="s">
        <v>427</v>
      </c>
      <c r="B152" t="s">
        <v>228</v>
      </c>
      <c r="C152" t="s">
        <v>428</v>
      </c>
      <c r="D152" t="s">
        <v>1034</v>
      </c>
      <c r="E152" t="s">
        <v>154</v>
      </c>
      <c r="F152">
        <v>2023</v>
      </c>
      <c r="G152">
        <v>43300</v>
      </c>
    </row>
    <row r="153" spans="1:7" x14ac:dyDescent="0.3">
      <c r="A153" t="s">
        <v>427</v>
      </c>
      <c r="B153" t="s">
        <v>228</v>
      </c>
      <c r="C153" t="s">
        <v>428</v>
      </c>
      <c r="D153" t="s">
        <v>1035</v>
      </c>
      <c r="E153" t="s">
        <v>154</v>
      </c>
      <c r="F153">
        <v>2024</v>
      </c>
      <c r="G153">
        <v>4800000</v>
      </c>
    </row>
    <row r="154" spans="1:7" x14ac:dyDescent="0.3">
      <c r="A154" t="s">
        <v>427</v>
      </c>
      <c r="B154" t="s">
        <v>228</v>
      </c>
      <c r="C154" t="s">
        <v>428</v>
      </c>
      <c r="D154" t="s">
        <v>1034</v>
      </c>
      <c r="E154" t="s">
        <v>154</v>
      </c>
      <c r="F154">
        <v>2024</v>
      </c>
      <c r="G154">
        <v>48000</v>
      </c>
    </row>
    <row r="155" spans="1:7" x14ac:dyDescent="0.3">
      <c r="A155" t="s">
        <v>427</v>
      </c>
      <c r="B155" t="s">
        <v>228</v>
      </c>
      <c r="C155" t="s">
        <v>429</v>
      </c>
      <c r="D155" t="s">
        <v>1035</v>
      </c>
      <c r="E155" t="s">
        <v>154</v>
      </c>
      <c r="F155">
        <v>2024</v>
      </c>
      <c r="G155" t="s">
        <v>430</v>
      </c>
    </row>
    <row r="156" spans="1:7" x14ac:dyDescent="0.3">
      <c r="A156" t="s">
        <v>431</v>
      </c>
      <c r="B156" t="s">
        <v>228</v>
      </c>
      <c r="C156" t="s">
        <v>266</v>
      </c>
      <c r="D156" t="s">
        <v>1034</v>
      </c>
      <c r="E156" t="s">
        <v>154</v>
      </c>
      <c r="F156">
        <v>2023</v>
      </c>
      <c r="G156">
        <v>17500</v>
      </c>
    </row>
    <row r="157" spans="1:7" x14ac:dyDescent="0.3">
      <c r="A157" t="s">
        <v>431</v>
      </c>
      <c r="B157" t="s">
        <v>228</v>
      </c>
      <c r="C157" t="s">
        <v>266</v>
      </c>
      <c r="D157" t="s">
        <v>1034</v>
      </c>
      <c r="E157" t="s">
        <v>154</v>
      </c>
      <c r="F157">
        <v>2024</v>
      </c>
      <c r="G157">
        <v>18000</v>
      </c>
    </row>
    <row r="158" spans="1:7" x14ac:dyDescent="0.3">
      <c r="A158" t="s">
        <v>437</v>
      </c>
      <c r="B158" t="s">
        <v>228</v>
      </c>
      <c r="C158" t="s">
        <v>438</v>
      </c>
      <c r="D158" t="s">
        <v>1034</v>
      </c>
      <c r="E158" t="s">
        <v>136</v>
      </c>
      <c r="F158">
        <v>2024</v>
      </c>
      <c r="G158">
        <v>390000</v>
      </c>
    </row>
    <row r="159" spans="1:7" x14ac:dyDescent="0.3">
      <c r="A159" t="s">
        <v>437</v>
      </c>
      <c r="B159" t="s">
        <v>228</v>
      </c>
      <c r="C159" t="s">
        <v>438</v>
      </c>
      <c r="D159" t="s">
        <v>1035</v>
      </c>
      <c r="E159" t="s">
        <v>136</v>
      </c>
      <c r="F159">
        <v>2024</v>
      </c>
      <c r="G159" t="s">
        <v>443</v>
      </c>
    </row>
    <row r="160" spans="1:7" x14ac:dyDescent="0.3">
      <c r="A160" t="s">
        <v>437</v>
      </c>
      <c r="B160" t="s">
        <v>228</v>
      </c>
      <c r="C160" t="s">
        <v>438</v>
      </c>
      <c r="D160" t="s">
        <v>1034</v>
      </c>
      <c r="E160" t="s">
        <v>136</v>
      </c>
      <c r="F160">
        <v>2023</v>
      </c>
      <c r="G160">
        <v>376000</v>
      </c>
    </row>
    <row r="161" spans="1:9" x14ac:dyDescent="0.3">
      <c r="A161" t="s">
        <v>444</v>
      </c>
      <c r="B161" t="s">
        <v>228</v>
      </c>
      <c r="C161" t="s">
        <v>445</v>
      </c>
      <c r="D161" t="s">
        <v>1034</v>
      </c>
      <c r="E161" t="s">
        <v>291</v>
      </c>
      <c r="F161">
        <v>2024</v>
      </c>
      <c r="G161">
        <v>62000</v>
      </c>
    </row>
    <row r="162" spans="1:9" x14ac:dyDescent="0.3">
      <c r="A162" t="s">
        <v>444</v>
      </c>
      <c r="B162" t="s">
        <v>228</v>
      </c>
      <c r="C162" t="s">
        <v>445</v>
      </c>
      <c r="D162" t="s">
        <v>1034</v>
      </c>
      <c r="E162" t="s">
        <v>291</v>
      </c>
      <c r="F162">
        <v>2023</v>
      </c>
      <c r="G162">
        <v>62600</v>
      </c>
    </row>
    <row r="163" spans="1:9" x14ac:dyDescent="0.3">
      <c r="A163" t="s">
        <v>447</v>
      </c>
      <c r="B163" t="s">
        <v>228</v>
      </c>
      <c r="C163" t="s">
        <v>266</v>
      </c>
      <c r="D163" t="s">
        <v>1034</v>
      </c>
      <c r="E163" t="s">
        <v>154</v>
      </c>
      <c r="F163">
        <v>2023</v>
      </c>
      <c r="G163">
        <v>270000</v>
      </c>
    </row>
    <row r="164" spans="1:9" x14ac:dyDescent="0.3">
      <c r="A164" t="s">
        <v>447</v>
      </c>
      <c r="B164" t="s">
        <v>228</v>
      </c>
      <c r="C164" t="s">
        <v>266</v>
      </c>
      <c r="D164" t="s">
        <v>1034</v>
      </c>
      <c r="E164" t="s">
        <v>154</v>
      </c>
      <c r="F164">
        <v>2024</v>
      </c>
      <c r="G164">
        <v>280000</v>
      </c>
    </row>
    <row r="165" spans="1:9" x14ac:dyDescent="0.3">
      <c r="A165" t="s">
        <v>448</v>
      </c>
      <c r="B165" t="s">
        <v>228</v>
      </c>
      <c r="C165" t="s">
        <v>266</v>
      </c>
      <c r="D165" t="s">
        <v>1034</v>
      </c>
      <c r="E165" t="s">
        <v>136</v>
      </c>
      <c r="F165">
        <v>2024</v>
      </c>
      <c r="G165">
        <v>440000</v>
      </c>
    </row>
    <row r="166" spans="1:9" x14ac:dyDescent="0.3">
      <c r="A166" t="s">
        <v>448</v>
      </c>
      <c r="B166" t="s">
        <v>228</v>
      </c>
      <c r="C166" t="s">
        <v>266</v>
      </c>
      <c r="D166" t="s">
        <v>1034</v>
      </c>
      <c r="E166" t="s">
        <v>136</v>
      </c>
      <c r="F166">
        <v>2023</v>
      </c>
      <c r="G166">
        <v>446000</v>
      </c>
    </row>
    <row r="167" spans="1:9" x14ac:dyDescent="0.3">
      <c r="A167" t="s">
        <v>23</v>
      </c>
      <c r="B167" t="s">
        <v>228</v>
      </c>
      <c r="C167" t="s">
        <v>449</v>
      </c>
      <c r="D167" t="s">
        <v>1034</v>
      </c>
      <c r="E167" t="s">
        <v>136</v>
      </c>
      <c r="F167">
        <v>2024</v>
      </c>
      <c r="G167">
        <v>3700</v>
      </c>
      <c r="H167" t="s">
        <v>205</v>
      </c>
    </row>
    <row r="168" spans="1:9" x14ac:dyDescent="0.3">
      <c r="A168" t="s">
        <v>23</v>
      </c>
      <c r="B168" t="s">
        <v>228</v>
      </c>
      <c r="C168" t="s">
        <v>449</v>
      </c>
      <c r="D168" t="s">
        <v>1034</v>
      </c>
      <c r="E168" t="s">
        <v>136</v>
      </c>
      <c r="F168">
        <v>2023</v>
      </c>
      <c r="G168">
        <v>3530</v>
      </c>
      <c r="H168" t="s">
        <v>205</v>
      </c>
    </row>
    <row r="169" spans="1:9" x14ac:dyDescent="0.3">
      <c r="A169" t="s">
        <v>23</v>
      </c>
      <c r="B169" t="s">
        <v>228</v>
      </c>
      <c r="C169" t="s">
        <v>449</v>
      </c>
      <c r="D169" t="s">
        <v>1035</v>
      </c>
      <c r="E169" t="s">
        <v>136</v>
      </c>
      <c r="F169">
        <v>2024</v>
      </c>
      <c r="G169">
        <v>92000</v>
      </c>
    </row>
    <row r="170" spans="1:9" x14ac:dyDescent="0.3">
      <c r="A170" t="s">
        <v>24</v>
      </c>
      <c r="B170" t="s">
        <v>228</v>
      </c>
      <c r="C170" t="s">
        <v>112</v>
      </c>
      <c r="D170" t="s">
        <v>1034</v>
      </c>
      <c r="E170" t="s">
        <v>154</v>
      </c>
      <c r="F170">
        <v>2023</v>
      </c>
      <c r="G170">
        <v>5190</v>
      </c>
    </row>
    <row r="171" spans="1:9" x14ac:dyDescent="0.3">
      <c r="A171" t="s">
        <v>24</v>
      </c>
      <c r="B171" t="s">
        <v>228</v>
      </c>
      <c r="C171" t="s">
        <v>113</v>
      </c>
      <c r="D171" t="s">
        <v>1034</v>
      </c>
      <c r="E171" t="s">
        <v>154</v>
      </c>
      <c r="F171">
        <v>2024</v>
      </c>
      <c r="G171">
        <v>4600</v>
      </c>
    </row>
    <row r="172" spans="1:9" x14ac:dyDescent="0.3">
      <c r="A172" t="s">
        <v>24</v>
      </c>
      <c r="B172" t="s">
        <v>228</v>
      </c>
      <c r="C172" t="s">
        <v>112</v>
      </c>
      <c r="D172" t="s">
        <v>1034</v>
      </c>
      <c r="E172" t="s">
        <v>154</v>
      </c>
      <c r="F172">
        <v>2024</v>
      </c>
      <c r="G172">
        <v>5100</v>
      </c>
    </row>
    <row r="173" spans="1:9" x14ac:dyDescent="0.3">
      <c r="A173" t="s">
        <v>24</v>
      </c>
      <c r="B173" t="s">
        <v>228</v>
      </c>
      <c r="C173" t="s">
        <v>113</v>
      </c>
      <c r="D173" t="s">
        <v>1034</v>
      </c>
      <c r="E173" t="s">
        <v>154</v>
      </c>
      <c r="F173">
        <v>2023</v>
      </c>
      <c r="G173">
        <v>4280</v>
      </c>
      <c r="I173">
        <f>178.9/830.5</f>
        <v>0.21541240216736907</v>
      </c>
    </row>
    <row r="174" spans="1:9" x14ac:dyDescent="0.3">
      <c r="A174" t="s">
        <v>25</v>
      </c>
      <c r="B174" t="s">
        <v>228</v>
      </c>
      <c r="C174" t="s">
        <v>453</v>
      </c>
      <c r="D174" t="s">
        <v>1034</v>
      </c>
      <c r="E174" t="s">
        <v>136</v>
      </c>
      <c r="F174">
        <v>2024</v>
      </c>
      <c r="G174">
        <v>25200</v>
      </c>
    </row>
    <row r="175" spans="1:9" x14ac:dyDescent="0.3">
      <c r="A175" t="s">
        <v>25</v>
      </c>
      <c r="B175" t="s">
        <v>228</v>
      </c>
      <c r="C175" t="s">
        <v>453</v>
      </c>
      <c r="D175" t="s">
        <v>1035</v>
      </c>
      <c r="E175" t="s">
        <v>136</v>
      </c>
      <c r="F175">
        <v>2024</v>
      </c>
      <c r="G175">
        <v>640000</v>
      </c>
    </row>
    <row r="176" spans="1:9" x14ac:dyDescent="0.3">
      <c r="A176" t="s">
        <v>25</v>
      </c>
      <c r="B176" t="s">
        <v>228</v>
      </c>
      <c r="C176" t="s">
        <v>453</v>
      </c>
      <c r="D176" t="s">
        <v>1034</v>
      </c>
      <c r="E176" t="s">
        <v>136</v>
      </c>
      <c r="F176">
        <v>2023</v>
      </c>
      <c r="G176">
        <v>25476</v>
      </c>
    </row>
    <row r="177" spans="1:8" x14ac:dyDescent="0.3">
      <c r="A177" t="s">
        <v>455</v>
      </c>
      <c r="B177" t="s">
        <v>228</v>
      </c>
      <c r="C177" t="s">
        <v>457</v>
      </c>
      <c r="D177" t="s">
        <v>1035</v>
      </c>
      <c r="E177" t="s">
        <v>154</v>
      </c>
      <c r="F177">
        <v>2024</v>
      </c>
      <c r="G177">
        <v>25000000</v>
      </c>
    </row>
    <row r="178" spans="1:8" x14ac:dyDescent="0.3">
      <c r="A178" t="s">
        <v>455</v>
      </c>
      <c r="B178" t="s">
        <v>228</v>
      </c>
      <c r="C178" t="s">
        <v>462</v>
      </c>
      <c r="D178" t="s">
        <v>1034</v>
      </c>
      <c r="E178" t="s">
        <v>154</v>
      </c>
      <c r="F178">
        <v>2024</v>
      </c>
      <c r="G178">
        <v>73000</v>
      </c>
      <c r="H178" t="s">
        <v>139</v>
      </c>
    </row>
    <row r="179" spans="1:8" x14ac:dyDescent="0.3">
      <c r="A179" t="s">
        <v>455</v>
      </c>
      <c r="B179" t="s">
        <v>228</v>
      </c>
      <c r="C179" t="s">
        <v>461</v>
      </c>
      <c r="D179" t="s">
        <v>1034</v>
      </c>
      <c r="E179" t="s">
        <v>154</v>
      </c>
      <c r="F179">
        <v>2023</v>
      </c>
      <c r="G179">
        <v>45900</v>
      </c>
    </row>
    <row r="180" spans="1:8" x14ac:dyDescent="0.3">
      <c r="A180" t="s">
        <v>455</v>
      </c>
      <c r="B180" t="s">
        <v>228</v>
      </c>
      <c r="C180" t="s">
        <v>457</v>
      </c>
      <c r="D180" t="s">
        <v>1034</v>
      </c>
      <c r="E180" t="s">
        <v>154</v>
      </c>
      <c r="F180">
        <v>2024</v>
      </c>
      <c r="G180">
        <v>24000</v>
      </c>
    </row>
    <row r="181" spans="1:8" x14ac:dyDescent="0.3">
      <c r="A181" t="s">
        <v>455</v>
      </c>
      <c r="B181" t="s">
        <v>228</v>
      </c>
      <c r="C181" t="s">
        <v>461</v>
      </c>
      <c r="D181" t="s">
        <v>1034</v>
      </c>
      <c r="E181" t="s">
        <v>154</v>
      </c>
      <c r="F181">
        <v>2024</v>
      </c>
      <c r="G181">
        <v>49000</v>
      </c>
    </row>
    <row r="182" spans="1:8" x14ac:dyDescent="0.3">
      <c r="A182" t="s">
        <v>455</v>
      </c>
      <c r="B182" t="s">
        <v>228</v>
      </c>
      <c r="C182" t="s">
        <v>457</v>
      </c>
      <c r="D182" t="s">
        <v>1034</v>
      </c>
      <c r="E182" t="s">
        <v>154</v>
      </c>
      <c r="F182">
        <v>2023</v>
      </c>
      <c r="G182">
        <v>23000</v>
      </c>
    </row>
    <row r="183" spans="1:8" x14ac:dyDescent="0.3">
      <c r="A183" t="s">
        <v>455</v>
      </c>
      <c r="B183" t="s">
        <v>228</v>
      </c>
      <c r="C183" t="s">
        <v>462</v>
      </c>
      <c r="D183" t="s">
        <v>1034</v>
      </c>
      <c r="E183" t="s">
        <v>154</v>
      </c>
      <c r="F183">
        <v>2023</v>
      </c>
      <c r="G183">
        <v>68800</v>
      </c>
      <c r="H183" t="s">
        <v>139</v>
      </c>
    </row>
    <row r="184" spans="1:8" x14ac:dyDescent="0.3">
      <c r="A184" t="s">
        <v>463</v>
      </c>
      <c r="B184" t="s">
        <v>228</v>
      </c>
      <c r="C184" t="s">
        <v>464</v>
      </c>
      <c r="D184" t="s">
        <v>1034</v>
      </c>
      <c r="E184" t="s">
        <v>136</v>
      </c>
      <c r="F184">
        <v>2024</v>
      </c>
      <c r="G184">
        <v>510000</v>
      </c>
    </row>
    <row r="185" spans="1:8" x14ac:dyDescent="0.3">
      <c r="A185" t="s">
        <v>463</v>
      </c>
      <c r="B185" t="s">
        <v>228</v>
      </c>
      <c r="C185" t="s">
        <v>464</v>
      </c>
      <c r="D185" t="s">
        <v>1034</v>
      </c>
      <c r="E185" t="s">
        <v>136</v>
      </c>
      <c r="F185">
        <v>2023</v>
      </c>
      <c r="G185">
        <v>509000</v>
      </c>
    </row>
    <row r="186" spans="1:8" x14ac:dyDescent="0.3">
      <c r="A186" t="s">
        <v>465</v>
      </c>
      <c r="B186" t="s">
        <v>228</v>
      </c>
      <c r="C186" t="s">
        <v>466</v>
      </c>
      <c r="D186" t="s">
        <v>1034</v>
      </c>
      <c r="E186" t="s">
        <v>154</v>
      </c>
      <c r="F186">
        <v>2023</v>
      </c>
      <c r="G186">
        <v>85800</v>
      </c>
    </row>
    <row r="187" spans="1:8" x14ac:dyDescent="0.3">
      <c r="A187" t="s">
        <v>465</v>
      </c>
      <c r="B187" t="s">
        <v>228</v>
      </c>
      <c r="C187" t="s">
        <v>466</v>
      </c>
      <c r="D187" t="s">
        <v>1034</v>
      </c>
      <c r="E187" t="s">
        <v>154</v>
      </c>
      <c r="F187">
        <v>2024</v>
      </c>
      <c r="G187">
        <v>85000</v>
      </c>
    </row>
    <row r="188" spans="1:8" x14ac:dyDescent="0.3">
      <c r="A188" t="s">
        <v>470</v>
      </c>
      <c r="B188" t="s">
        <v>228</v>
      </c>
      <c r="C188" t="s">
        <v>266</v>
      </c>
      <c r="D188" t="s">
        <v>1034</v>
      </c>
      <c r="E188" t="s">
        <v>154</v>
      </c>
      <c r="F188">
        <v>2024</v>
      </c>
      <c r="G188">
        <v>6900</v>
      </c>
    </row>
    <row r="189" spans="1:8" x14ac:dyDescent="0.3">
      <c r="A189" t="s">
        <v>470</v>
      </c>
      <c r="B189" t="s">
        <v>228</v>
      </c>
      <c r="C189" t="s">
        <v>266</v>
      </c>
      <c r="D189" t="s">
        <v>1034</v>
      </c>
      <c r="E189" t="s">
        <v>154</v>
      </c>
      <c r="F189">
        <v>2023</v>
      </c>
      <c r="G189">
        <v>6710</v>
      </c>
    </row>
    <row r="190" spans="1:8" x14ac:dyDescent="0.3">
      <c r="A190" t="s">
        <v>478</v>
      </c>
      <c r="B190" t="s">
        <v>228</v>
      </c>
      <c r="C190" t="s">
        <v>479</v>
      </c>
      <c r="D190" t="s">
        <v>1034</v>
      </c>
      <c r="E190" t="s">
        <v>136</v>
      </c>
      <c r="F190">
        <v>2024</v>
      </c>
      <c r="G190">
        <v>2100</v>
      </c>
    </row>
    <row r="191" spans="1:8" x14ac:dyDescent="0.3">
      <c r="A191" t="s">
        <v>478</v>
      </c>
      <c r="B191" t="s">
        <v>228</v>
      </c>
      <c r="C191" t="s">
        <v>479</v>
      </c>
      <c r="D191" t="s">
        <v>1034</v>
      </c>
      <c r="E191" t="s">
        <v>136</v>
      </c>
      <c r="F191">
        <v>2023</v>
      </c>
      <c r="G191">
        <v>2040</v>
      </c>
    </row>
    <row r="192" spans="1:8" x14ac:dyDescent="0.3">
      <c r="A192" t="s">
        <v>26</v>
      </c>
      <c r="B192" t="s">
        <v>228</v>
      </c>
      <c r="C192" t="s">
        <v>482</v>
      </c>
      <c r="D192" t="s">
        <v>1034</v>
      </c>
      <c r="E192" t="s">
        <v>136</v>
      </c>
      <c r="F192">
        <v>2023</v>
      </c>
      <c r="G192">
        <v>944</v>
      </c>
      <c r="H192" t="s">
        <v>205</v>
      </c>
    </row>
    <row r="193" spans="1:8" x14ac:dyDescent="0.3">
      <c r="A193" t="s">
        <v>26</v>
      </c>
      <c r="B193" t="s">
        <v>228</v>
      </c>
      <c r="C193" t="s">
        <v>482</v>
      </c>
      <c r="D193" t="s">
        <v>1034</v>
      </c>
      <c r="E193" t="s">
        <v>136</v>
      </c>
      <c r="F193">
        <v>2024</v>
      </c>
      <c r="G193">
        <v>980</v>
      </c>
      <c r="H193" t="s">
        <v>205</v>
      </c>
    </row>
    <row r="194" spans="1:8" x14ac:dyDescent="0.3">
      <c r="A194" t="s">
        <v>26</v>
      </c>
      <c r="B194" t="s">
        <v>228</v>
      </c>
      <c r="C194" t="s">
        <v>482</v>
      </c>
      <c r="D194" t="s">
        <v>1035</v>
      </c>
      <c r="E194" t="s">
        <v>136</v>
      </c>
      <c r="F194">
        <v>2024</v>
      </c>
      <c r="G194">
        <v>35000</v>
      </c>
    </row>
    <row r="195" spans="1:8" x14ac:dyDescent="0.3">
      <c r="A195" t="s">
        <v>28</v>
      </c>
      <c r="B195" t="s">
        <v>228</v>
      </c>
      <c r="C195" t="s">
        <v>483</v>
      </c>
      <c r="D195" t="s">
        <v>1034</v>
      </c>
      <c r="E195" t="s">
        <v>136</v>
      </c>
      <c r="F195">
        <v>2023</v>
      </c>
      <c r="G195">
        <v>305000</v>
      </c>
    </row>
    <row r="196" spans="1:8" x14ac:dyDescent="0.3">
      <c r="A196" t="s">
        <v>28</v>
      </c>
      <c r="B196" t="s">
        <v>228</v>
      </c>
      <c r="C196" t="s">
        <v>483</v>
      </c>
      <c r="D196" t="s">
        <v>1034</v>
      </c>
      <c r="E196" t="s">
        <v>136</v>
      </c>
      <c r="F196">
        <v>2024</v>
      </c>
      <c r="G196">
        <v>300000</v>
      </c>
    </row>
    <row r="197" spans="1:8" x14ac:dyDescent="0.3">
      <c r="A197" t="s">
        <v>28</v>
      </c>
      <c r="B197" t="s">
        <v>228</v>
      </c>
      <c r="C197" t="s">
        <v>483</v>
      </c>
      <c r="D197" t="s">
        <v>1035</v>
      </c>
      <c r="E197" t="s">
        <v>136</v>
      </c>
      <c r="F197">
        <v>2024</v>
      </c>
      <c r="G197">
        <v>4200000</v>
      </c>
    </row>
    <row r="198" spans="1:8" x14ac:dyDescent="0.3">
      <c r="A198" t="s">
        <v>493</v>
      </c>
      <c r="B198" t="s">
        <v>228</v>
      </c>
      <c r="C198" t="s">
        <v>495</v>
      </c>
      <c r="D198" t="s">
        <v>1033</v>
      </c>
      <c r="E198" t="s">
        <v>136</v>
      </c>
      <c r="F198">
        <v>2024</v>
      </c>
      <c r="G198">
        <v>9800000</v>
      </c>
    </row>
    <row r="199" spans="1:8" x14ac:dyDescent="0.3">
      <c r="A199" t="s">
        <v>493</v>
      </c>
      <c r="B199" t="s">
        <v>228</v>
      </c>
      <c r="C199" t="s">
        <v>494</v>
      </c>
      <c r="D199" t="s">
        <v>1033</v>
      </c>
      <c r="E199" t="s">
        <v>136</v>
      </c>
      <c r="F199">
        <v>2024</v>
      </c>
      <c r="G199">
        <v>410000</v>
      </c>
    </row>
    <row r="200" spans="1:8" x14ac:dyDescent="0.3">
      <c r="A200" t="s">
        <v>493</v>
      </c>
      <c r="B200" t="s">
        <v>228</v>
      </c>
      <c r="C200" t="s">
        <v>494</v>
      </c>
      <c r="D200" t="s">
        <v>1034</v>
      </c>
      <c r="E200" t="s">
        <v>136</v>
      </c>
      <c r="F200">
        <v>2023</v>
      </c>
      <c r="G200">
        <v>320000</v>
      </c>
      <c r="H200" t="s">
        <v>205</v>
      </c>
    </row>
    <row r="201" spans="1:8" x14ac:dyDescent="0.3">
      <c r="A201" t="s">
        <v>493</v>
      </c>
      <c r="B201" t="s">
        <v>228</v>
      </c>
      <c r="C201" t="s">
        <v>494</v>
      </c>
      <c r="D201" t="s">
        <v>1034</v>
      </c>
      <c r="E201" t="s">
        <v>136</v>
      </c>
      <c r="F201">
        <v>2024</v>
      </c>
      <c r="G201">
        <v>320000</v>
      </c>
      <c r="H201" t="s">
        <v>205</v>
      </c>
    </row>
    <row r="202" spans="1:8" x14ac:dyDescent="0.3">
      <c r="A202" t="s">
        <v>484</v>
      </c>
      <c r="B202" t="s">
        <v>228</v>
      </c>
      <c r="C202" t="s">
        <v>485</v>
      </c>
      <c r="D202" t="s">
        <v>1034</v>
      </c>
      <c r="E202" t="s">
        <v>136</v>
      </c>
      <c r="F202">
        <v>2023</v>
      </c>
      <c r="G202">
        <v>8840</v>
      </c>
    </row>
    <row r="203" spans="1:8" x14ac:dyDescent="0.3">
      <c r="A203" t="s">
        <v>484</v>
      </c>
      <c r="B203" t="s">
        <v>228</v>
      </c>
      <c r="C203" t="s">
        <v>485</v>
      </c>
      <c r="D203" t="s">
        <v>1034</v>
      </c>
      <c r="E203" t="s">
        <v>136</v>
      </c>
      <c r="F203">
        <v>2023</v>
      </c>
      <c r="G203">
        <v>8840</v>
      </c>
    </row>
    <row r="204" spans="1:8" x14ac:dyDescent="0.3">
      <c r="A204" t="s">
        <v>484</v>
      </c>
      <c r="B204" t="s">
        <v>228</v>
      </c>
      <c r="C204" t="s">
        <v>485</v>
      </c>
      <c r="D204" t="s">
        <v>1035</v>
      </c>
      <c r="E204" t="s">
        <v>136</v>
      </c>
      <c r="F204">
        <v>2024</v>
      </c>
      <c r="G204">
        <v>560000</v>
      </c>
    </row>
    <row r="205" spans="1:8" x14ac:dyDescent="0.3">
      <c r="A205" t="s">
        <v>484</v>
      </c>
      <c r="B205" t="s">
        <v>228</v>
      </c>
      <c r="C205" t="s">
        <v>485</v>
      </c>
      <c r="D205" t="s">
        <v>1035</v>
      </c>
      <c r="E205" t="s">
        <v>136</v>
      </c>
      <c r="F205">
        <v>2024</v>
      </c>
      <c r="G205">
        <v>560000</v>
      </c>
    </row>
    <row r="206" spans="1:8" x14ac:dyDescent="0.3">
      <c r="A206" t="s">
        <v>484</v>
      </c>
      <c r="B206" t="s">
        <v>228</v>
      </c>
      <c r="C206" t="s">
        <v>486</v>
      </c>
      <c r="D206" t="s">
        <v>1034</v>
      </c>
      <c r="E206" t="s">
        <v>136</v>
      </c>
      <c r="F206">
        <v>2023</v>
      </c>
      <c r="G206">
        <v>590</v>
      </c>
    </row>
    <row r="207" spans="1:8" x14ac:dyDescent="0.3">
      <c r="A207" t="s">
        <v>484</v>
      </c>
      <c r="B207" t="s">
        <v>228</v>
      </c>
      <c r="C207" t="s">
        <v>486</v>
      </c>
      <c r="D207" t="s">
        <v>1035</v>
      </c>
      <c r="E207" t="s">
        <v>136</v>
      </c>
      <c r="F207">
        <v>2024</v>
      </c>
      <c r="G207">
        <v>46000</v>
      </c>
    </row>
    <row r="208" spans="1:8" x14ac:dyDescent="0.3">
      <c r="A208" t="s">
        <v>484</v>
      </c>
      <c r="B208" t="s">
        <v>228</v>
      </c>
      <c r="C208" t="s">
        <v>485</v>
      </c>
      <c r="D208" t="s">
        <v>1034</v>
      </c>
      <c r="E208" t="s">
        <v>136</v>
      </c>
      <c r="F208">
        <v>2023</v>
      </c>
      <c r="G208">
        <v>9430</v>
      </c>
    </row>
    <row r="209" spans="1:8" x14ac:dyDescent="0.3">
      <c r="A209" t="s">
        <v>484</v>
      </c>
      <c r="B209" t="s">
        <v>228</v>
      </c>
      <c r="C209" t="s">
        <v>485</v>
      </c>
      <c r="D209" t="s">
        <v>1034</v>
      </c>
      <c r="E209" t="s">
        <v>136</v>
      </c>
      <c r="F209">
        <v>2024</v>
      </c>
      <c r="G209">
        <v>8900</v>
      </c>
    </row>
    <row r="210" spans="1:8" x14ac:dyDescent="0.3">
      <c r="A210" t="s">
        <v>484</v>
      </c>
      <c r="B210" t="s">
        <v>228</v>
      </c>
      <c r="C210" t="s">
        <v>485</v>
      </c>
      <c r="D210" t="s">
        <v>1034</v>
      </c>
      <c r="E210" t="s">
        <v>136</v>
      </c>
      <c r="F210">
        <v>2024</v>
      </c>
      <c r="G210">
        <v>8900</v>
      </c>
    </row>
    <row r="211" spans="1:8" x14ac:dyDescent="0.3">
      <c r="A211" t="s">
        <v>484</v>
      </c>
      <c r="B211" t="s">
        <v>228</v>
      </c>
      <c r="C211" t="s">
        <v>486</v>
      </c>
      <c r="D211" t="s">
        <v>1034</v>
      </c>
      <c r="E211" t="s">
        <v>136</v>
      </c>
      <c r="F211">
        <v>2024</v>
      </c>
      <c r="G211">
        <v>450</v>
      </c>
    </row>
    <row r="212" spans="1:8" x14ac:dyDescent="0.3">
      <c r="A212" t="s">
        <v>484</v>
      </c>
      <c r="B212" t="s">
        <v>228</v>
      </c>
      <c r="C212" t="s">
        <v>485</v>
      </c>
      <c r="D212" t="s">
        <v>1034</v>
      </c>
      <c r="E212" t="s">
        <v>136</v>
      </c>
      <c r="F212">
        <v>2024</v>
      </c>
      <c r="G212">
        <v>9400</v>
      </c>
    </row>
    <row r="213" spans="1:8" x14ac:dyDescent="0.3">
      <c r="A213" t="s">
        <v>484</v>
      </c>
      <c r="B213" t="s">
        <v>228</v>
      </c>
      <c r="C213" t="s">
        <v>485</v>
      </c>
      <c r="D213" t="s">
        <v>1034</v>
      </c>
      <c r="E213" t="s">
        <v>136</v>
      </c>
      <c r="F213">
        <v>2024</v>
      </c>
      <c r="G213">
        <v>9400</v>
      </c>
    </row>
    <row r="214" spans="1:8" x14ac:dyDescent="0.3">
      <c r="A214" t="s">
        <v>484</v>
      </c>
      <c r="B214" t="s">
        <v>228</v>
      </c>
      <c r="C214" t="s">
        <v>485</v>
      </c>
      <c r="D214" t="s">
        <v>1035</v>
      </c>
      <c r="E214" t="s">
        <v>136</v>
      </c>
      <c r="F214">
        <v>2024</v>
      </c>
      <c r="G214">
        <v>510000</v>
      </c>
    </row>
    <row r="215" spans="1:8" x14ac:dyDescent="0.3">
      <c r="A215" t="s">
        <v>484</v>
      </c>
      <c r="B215" t="s">
        <v>228</v>
      </c>
      <c r="C215" t="s">
        <v>485</v>
      </c>
      <c r="D215" t="s">
        <v>1035</v>
      </c>
      <c r="E215" t="s">
        <v>136</v>
      </c>
      <c r="F215">
        <v>2024</v>
      </c>
      <c r="G215">
        <v>510000</v>
      </c>
    </row>
    <row r="216" spans="1:8" x14ac:dyDescent="0.3">
      <c r="A216" t="s">
        <v>484</v>
      </c>
      <c r="B216" t="s">
        <v>228</v>
      </c>
      <c r="C216" t="s">
        <v>485</v>
      </c>
      <c r="D216" t="s">
        <v>1034</v>
      </c>
      <c r="E216" t="s">
        <v>136</v>
      </c>
      <c r="F216">
        <v>2023</v>
      </c>
      <c r="G216">
        <v>9430</v>
      </c>
    </row>
    <row r="217" spans="1:8" x14ac:dyDescent="0.3">
      <c r="A217" t="s">
        <v>496</v>
      </c>
      <c r="B217" t="s">
        <v>228</v>
      </c>
      <c r="C217" t="s">
        <v>497</v>
      </c>
      <c r="D217" t="s">
        <v>1035</v>
      </c>
      <c r="E217" t="s">
        <v>136</v>
      </c>
      <c r="F217">
        <v>2024</v>
      </c>
      <c r="G217">
        <v>4600000</v>
      </c>
    </row>
    <row r="218" spans="1:8" x14ac:dyDescent="0.3">
      <c r="A218" t="s">
        <v>496</v>
      </c>
      <c r="B218" t="s">
        <v>228</v>
      </c>
      <c r="C218" t="s">
        <v>497</v>
      </c>
      <c r="D218" t="s">
        <v>1034</v>
      </c>
      <c r="E218" t="s">
        <v>136</v>
      </c>
      <c r="F218">
        <v>2024</v>
      </c>
      <c r="G218">
        <v>81000</v>
      </c>
    </row>
    <row r="219" spans="1:8" x14ac:dyDescent="0.3">
      <c r="A219" t="s">
        <v>496</v>
      </c>
      <c r="B219" t="s">
        <v>228</v>
      </c>
      <c r="C219" t="s">
        <v>497</v>
      </c>
      <c r="D219" t="s">
        <v>1034</v>
      </c>
      <c r="E219" t="s">
        <v>136</v>
      </c>
      <c r="F219">
        <v>2023</v>
      </c>
      <c r="G219">
        <v>79500</v>
      </c>
    </row>
    <row r="220" spans="1:8" x14ac:dyDescent="0.3">
      <c r="A220" t="s">
        <v>29</v>
      </c>
      <c r="B220" t="s">
        <v>228</v>
      </c>
      <c r="C220" t="s">
        <v>499</v>
      </c>
      <c r="D220" t="s">
        <v>1034</v>
      </c>
      <c r="E220" t="s">
        <v>136</v>
      </c>
      <c r="F220">
        <v>2023</v>
      </c>
      <c r="G220">
        <v>104000</v>
      </c>
    </row>
    <row r="221" spans="1:8" x14ac:dyDescent="0.3">
      <c r="A221" t="s">
        <v>29</v>
      </c>
      <c r="B221" t="s">
        <v>228</v>
      </c>
      <c r="C221" t="s">
        <v>499</v>
      </c>
      <c r="D221" t="s">
        <v>1035</v>
      </c>
      <c r="E221" t="s">
        <v>136</v>
      </c>
      <c r="F221">
        <v>2024</v>
      </c>
      <c r="G221">
        <v>18000</v>
      </c>
      <c r="H221" t="s">
        <v>391</v>
      </c>
    </row>
    <row r="222" spans="1:8" x14ac:dyDescent="0.3">
      <c r="A222" t="s">
        <v>29</v>
      </c>
      <c r="B222" t="s">
        <v>228</v>
      </c>
      <c r="C222" t="s">
        <v>499</v>
      </c>
      <c r="D222" t="s">
        <v>1034</v>
      </c>
      <c r="E222" t="s">
        <v>136</v>
      </c>
      <c r="F222">
        <v>2024</v>
      </c>
      <c r="G222">
        <v>100000</v>
      </c>
    </row>
    <row r="223" spans="1:8" x14ac:dyDescent="0.3">
      <c r="A223" t="s">
        <v>501</v>
      </c>
      <c r="B223" t="s">
        <v>228</v>
      </c>
      <c r="C223" t="s">
        <v>43</v>
      </c>
      <c r="D223" t="s">
        <v>1034</v>
      </c>
      <c r="E223" t="s">
        <v>154</v>
      </c>
      <c r="F223">
        <v>2023</v>
      </c>
      <c r="G223">
        <v>458</v>
      </c>
    </row>
    <row r="224" spans="1:8" x14ac:dyDescent="0.3">
      <c r="A224" t="s">
        <v>501</v>
      </c>
      <c r="B224" t="s">
        <v>228</v>
      </c>
      <c r="C224" t="s">
        <v>43</v>
      </c>
      <c r="D224" t="s">
        <v>1034</v>
      </c>
      <c r="E224" t="s">
        <v>154</v>
      </c>
      <c r="F224">
        <v>2024</v>
      </c>
      <c r="G224">
        <v>460</v>
      </c>
    </row>
    <row r="225" spans="1:8" x14ac:dyDescent="0.3">
      <c r="A225" t="s">
        <v>503</v>
      </c>
      <c r="B225" t="s">
        <v>228</v>
      </c>
      <c r="C225" t="s">
        <v>43</v>
      </c>
      <c r="D225" t="s">
        <v>1034</v>
      </c>
      <c r="E225" t="s">
        <v>136</v>
      </c>
      <c r="F225">
        <v>2024</v>
      </c>
      <c r="G225">
        <v>1100000</v>
      </c>
    </row>
    <row r="226" spans="1:8" x14ac:dyDescent="0.3">
      <c r="A226" t="s">
        <v>503</v>
      </c>
      <c r="B226" t="s">
        <v>228</v>
      </c>
      <c r="C226" t="s">
        <v>43</v>
      </c>
      <c r="D226" t="s">
        <v>1034</v>
      </c>
      <c r="E226" t="s">
        <v>136</v>
      </c>
      <c r="F226">
        <v>2023</v>
      </c>
      <c r="G226">
        <v>1010000</v>
      </c>
    </row>
    <row r="227" spans="1:8" x14ac:dyDescent="0.3">
      <c r="A227" t="s">
        <v>504</v>
      </c>
      <c r="B227" t="s">
        <v>228</v>
      </c>
      <c r="C227" t="s">
        <v>43</v>
      </c>
      <c r="D227" t="s">
        <v>1034</v>
      </c>
      <c r="E227" t="s">
        <v>136</v>
      </c>
      <c r="F227">
        <v>2023</v>
      </c>
      <c r="G227">
        <v>1060000</v>
      </c>
    </row>
    <row r="228" spans="1:8" x14ac:dyDescent="0.3">
      <c r="A228" t="s">
        <v>504</v>
      </c>
      <c r="B228" t="s">
        <v>228</v>
      </c>
      <c r="C228" t="s">
        <v>43</v>
      </c>
      <c r="D228" t="s">
        <v>1034</v>
      </c>
      <c r="E228" t="s">
        <v>136</v>
      </c>
      <c r="F228">
        <v>2024</v>
      </c>
      <c r="G228">
        <v>1000000</v>
      </c>
    </row>
    <row r="229" spans="1:8" x14ac:dyDescent="0.3">
      <c r="A229" t="s">
        <v>30</v>
      </c>
      <c r="B229" t="s">
        <v>228</v>
      </c>
      <c r="C229" t="s">
        <v>505</v>
      </c>
      <c r="D229" t="s">
        <v>1034</v>
      </c>
      <c r="E229" t="s">
        <v>154</v>
      </c>
      <c r="F229">
        <v>2024</v>
      </c>
      <c r="G229">
        <v>12000</v>
      </c>
    </row>
    <row r="230" spans="1:8" x14ac:dyDescent="0.3">
      <c r="A230" t="s">
        <v>30</v>
      </c>
      <c r="B230" t="s">
        <v>228</v>
      </c>
      <c r="C230" t="s">
        <v>505</v>
      </c>
      <c r="D230" t="s">
        <v>1034</v>
      </c>
      <c r="E230" t="s">
        <v>154</v>
      </c>
      <c r="F230">
        <v>2023</v>
      </c>
      <c r="G230">
        <v>12100</v>
      </c>
    </row>
    <row r="231" spans="1:8" x14ac:dyDescent="0.3">
      <c r="A231" t="s">
        <v>30</v>
      </c>
      <c r="B231" t="s">
        <v>228</v>
      </c>
      <c r="C231" t="s">
        <v>505</v>
      </c>
      <c r="D231" t="s">
        <v>1034</v>
      </c>
      <c r="E231" t="s">
        <v>154</v>
      </c>
      <c r="F231">
        <v>2022</v>
      </c>
      <c r="G231">
        <v>12500</v>
      </c>
    </row>
    <row r="232" spans="1:8" x14ac:dyDescent="0.3">
      <c r="A232" t="s">
        <v>30</v>
      </c>
      <c r="B232" t="s">
        <v>228</v>
      </c>
      <c r="C232" t="s">
        <v>505</v>
      </c>
      <c r="D232" t="s">
        <v>1035</v>
      </c>
      <c r="E232" t="s">
        <v>154</v>
      </c>
      <c r="F232">
        <v>2024</v>
      </c>
      <c r="G232">
        <v>230000</v>
      </c>
    </row>
    <row r="233" spans="1:8" x14ac:dyDescent="0.3">
      <c r="A233" t="s">
        <v>31</v>
      </c>
      <c r="B233" t="s">
        <v>228</v>
      </c>
      <c r="C233" t="s">
        <v>507</v>
      </c>
      <c r="D233" t="s">
        <v>1034</v>
      </c>
      <c r="E233" t="s">
        <v>154</v>
      </c>
      <c r="F233">
        <v>2023</v>
      </c>
      <c r="G233">
        <v>1440</v>
      </c>
    </row>
    <row r="234" spans="1:8" x14ac:dyDescent="0.3">
      <c r="A234" t="s">
        <v>31</v>
      </c>
      <c r="B234" t="s">
        <v>228</v>
      </c>
      <c r="C234" t="s">
        <v>507</v>
      </c>
      <c r="D234" t="s">
        <v>1034</v>
      </c>
      <c r="E234" t="s">
        <v>154</v>
      </c>
      <c r="F234">
        <v>2024</v>
      </c>
      <c r="G234">
        <v>1500</v>
      </c>
    </row>
    <row r="235" spans="1:8" x14ac:dyDescent="0.3">
      <c r="A235" t="s">
        <v>31</v>
      </c>
      <c r="B235" t="s">
        <v>228</v>
      </c>
      <c r="C235" t="s">
        <v>507</v>
      </c>
      <c r="D235" t="s">
        <v>1035</v>
      </c>
      <c r="E235" t="s">
        <v>154</v>
      </c>
      <c r="F235">
        <v>2024</v>
      </c>
      <c r="G235">
        <v>70000</v>
      </c>
      <c r="H235" t="s">
        <v>509</v>
      </c>
    </row>
  </sheetData>
  <autoFilter ref="A1:H235" xr:uid="{E7F9A0E7-F236-444D-9F56-C9C1A68EE911}">
    <sortState xmlns:xlrd2="http://schemas.microsoft.com/office/spreadsheetml/2017/richdata2" ref="A2:H235">
      <sortCondition ref="A1:A235"/>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C305-642D-4743-B14E-08A4AC6D73A9}">
  <sheetPr>
    <tabColor theme="0"/>
  </sheetPr>
  <dimension ref="A1:I52"/>
  <sheetViews>
    <sheetView topLeftCell="A19" workbookViewId="0">
      <selection activeCell="H22" sqref="H22"/>
    </sheetView>
  </sheetViews>
  <sheetFormatPr defaultRowHeight="14.4" x14ac:dyDescent="0.3"/>
  <cols>
    <col min="1" max="1" width="15.44140625" bestFit="1" customWidth="1"/>
    <col min="2" max="2" width="14.33203125" bestFit="1" customWidth="1"/>
    <col min="3" max="3" width="11.44140625" bestFit="1" customWidth="1"/>
    <col min="4" max="4" width="7.5546875" bestFit="1" customWidth="1"/>
    <col min="5" max="5" width="17.33203125" bestFit="1" customWidth="1"/>
    <col min="6" max="6" width="31.109375" bestFit="1" customWidth="1"/>
    <col min="7" max="7" width="7.44140625" bestFit="1" customWidth="1"/>
    <col min="8" max="8" width="9.88671875" bestFit="1" customWidth="1"/>
    <col min="9" max="9" width="91.44140625" customWidth="1"/>
  </cols>
  <sheetData>
    <row r="1" spans="1:9" x14ac:dyDescent="0.3">
      <c r="A1" s="1" t="s">
        <v>89</v>
      </c>
      <c r="B1" s="1" t="s">
        <v>98</v>
      </c>
      <c r="C1" s="1" t="s">
        <v>105</v>
      </c>
      <c r="D1" s="1" t="s">
        <v>99</v>
      </c>
      <c r="E1" s="1" t="s">
        <v>97</v>
      </c>
      <c r="F1" s="1" t="s">
        <v>103</v>
      </c>
      <c r="G1" s="1" t="s">
        <v>100</v>
      </c>
      <c r="H1" s="1" t="s">
        <v>101</v>
      </c>
      <c r="I1" s="1" t="s">
        <v>102</v>
      </c>
    </row>
    <row r="2" spans="1:9" x14ac:dyDescent="0.3">
      <c r="A2" t="s">
        <v>104</v>
      </c>
      <c r="B2" t="s">
        <v>96</v>
      </c>
      <c r="C2" t="s">
        <v>118</v>
      </c>
      <c r="D2">
        <v>2021</v>
      </c>
      <c r="E2" t="s">
        <v>34</v>
      </c>
      <c r="F2" t="s">
        <v>73</v>
      </c>
      <c r="G2" t="s">
        <v>120</v>
      </c>
      <c r="H2" s="3">
        <v>67500</v>
      </c>
      <c r="I2" t="s">
        <v>72</v>
      </c>
    </row>
    <row r="3" spans="1:9" x14ac:dyDescent="0.3">
      <c r="A3" t="s">
        <v>104</v>
      </c>
      <c r="B3" t="s">
        <v>5</v>
      </c>
      <c r="C3" t="s">
        <v>118</v>
      </c>
      <c r="D3">
        <v>2023</v>
      </c>
      <c r="E3" t="s">
        <v>34</v>
      </c>
      <c r="F3" t="s">
        <v>64</v>
      </c>
      <c r="G3" t="s">
        <v>120</v>
      </c>
      <c r="H3" s="3">
        <v>15700</v>
      </c>
      <c r="I3" t="s">
        <v>1040</v>
      </c>
    </row>
    <row r="4" spans="1:9" x14ac:dyDescent="0.3">
      <c r="A4" t="s">
        <v>104</v>
      </c>
      <c r="B4" t="s">
        <v>6</v>
      </c>
      <c r="C4" t="s">
        <v>118</v>
      </c>
      <c r="D4">
        <v>2023</v>
      </c>
      <c r="E4" t="s">
        <v>37</v>
      </c>
      <c r="F4" t="s">
        <v>64</v>
      </c>
      <c r="G4" t="s">
        <v>121</v>
      </c>
      <c r="H4" s="3">
        <v>180000</v>
      </c>
      <c r="I4" t="s">
        <v>511</v>
      </c>
    </row>
    <row r="5" spans="1:9" x14ac:dyDescent="0.3">
      <c r="A5" t="s">
        <v>104</v>
      </c>
      <c r="B5" t="s">
        <v>6</v>
      </c>
      <c r="C5" t="s">
        <v>118</v>
      </c>
      <c r="D5">
        <v>2023</v>
      </c>
      <c r="E5" t="s">
        <v>43</v>
      </c>
      <c r="F5" t="s">
        <v>64</v>
      </c>
      <c r="G5" t="s">
        <v>121</v>
      </c>
      <c r="H5" s="3">
        <v>238000</v>
      </c>
      <c r="I5" t="s">
        <v>512</v>
      </c>
    </row>
    <row r="6" spans="1:9" x14ac:dyDescent="0.3">
      <c r="A6" t="s">
        <v>104</v>
      </c>
      <c r="B6" t="s">
        <v>7</v>
      </c>
      <c r="C6" t="s">
        <v>118</v>
      </c>
      <c r="D6">
        <v>2020</v>
      </c>
      <c r="E6" t="s">
        <v>43</v>
      </c>
      <c r="F6" t="s">
        <v>64</v>
      </c>
      <c r="G6" t="s">
        <v>121</v>
      </c>
      <c r="H6" s="3">
        <v>20600000</v>
      </c>
      <c r="I6" t="s">
        <v>63</v>
      </c>
    </row>
    <row r="7" spans="1:9" x14ac:dyDescent="0.3">
      <c r="A7" t="s">
        <v>104</v>
      </c>
      <c r="B7" t="s">
        <v>7</v>
      </c>
      <c r="C7" t="s">
        <v>118</v>
      </c>
      <c r="D7">
        <v>2020</v>
      </c>
      <c r="E7" t="s">
        <v>43</v>
      </c>
      <c r="F7" t="s">
        <v>65</v>
      </c>
      <c r="G7" t="s">
        <v>121</v>
      </c>
      <c r="H7" s="3">
        <v>16400000</v>
      </c>
      <c r="I7" t="s">
        <v>63</v>
      </c>
    </row>
    <row r="8" spans="1:9" x14ac:dyDescent="0.3">
      <c r="A8" t="s">
        <v>104</v>
      </c>
      <c r="B8" t="s">
        <v>7</v>
      </c>
      <c r="C8" t="s">
        <v>118</v>
      </c>
      <c r="D8">
        <v>2020</v>
      </c>
      <c r="E8" t="s">
        <v>43</v>
      </c>
      <c r="F8" t="s">
        <v>66</v>
      </c>
      <c r="G8" t="s">
        <v>121</v>
      </c>
      <c r="H8" s="3">
        <v>4190000</v>
      </c>
      <c r="I8" t="s">
        <v>63</v>
      </c>
    </row>
    <row r="9" spans="1:9" x14ac:dyDescent="0.3">
      <c r="A9" t="s">
        <v>104</v>
      </c>
      <c r="B9" t="s">
        <v>7</v>
      </c>
      <c r="C9" t="s">
        <v>118</v>
      </c>
      <c r="D9">
        <v>2020</v>
      </c>
      <c r="E9" t="s">
        <v>34</v>
      </c>
      <c r="F9" t="s">
        <v>64</v>
      </c>
      <c r="G9" t="s">
        <v>121</v>
      </c>
      <c r="H9" s="3">
        <v>21200000</v>
      </c>
      <c r="I9" t="s">
        <v>63</v>
      </c>
    </row>
    <row r="10" spans="1:9" x14ac:dyDescent="0.3">
      <c r="A10" t="s">
        <v>104</v>
      </c>
      <c r="B10" t="s">
        <v>7</v>
      </c>
      <c r="C10" t="s">
        <v>118</v>
      </c>
      <c r="D10">
        <v>2020</v>
      </c>
      <c r="E10" t="s">
        <v>34</v>
      </c>
      <c r="F10" t="s">
        <v>67</v>
      </c>
      <c r="G10" t="s">
        <v>121</v>
      </c>
      <c r="H10" s="3">
        <v>17800000</v>
      </c>
      <c r="I10" t="s">
        <v>63</v>
      </c>
    </row>
    <row r="11" spans="1:9" x14ac:dyDescent="0.3">
      <c r="A11" t="s">
        <v>104</v>
      </c>
      <c r="B11" t="s">
        <v>7</v>
      </c>
      <c r="C11" t="s">
        <v>118</v>
      </c>
      <c r="D11">
        <v>2020</v>
      </c>
      <c r="E11" t="s">
        <v>34</v>
      </c>
      <c r="F11" t="s">
        <v>68</v>
      </c>
      <c r="G11" t="s">
        <v>121</v>
      </c>
      <c r="H11" s="3">
        <v>3390000</v>
      </c>
      <c r="I11" t="s">
        <v>63</v>
      </c>
    </row>
    <row r="12" spans="1:9" x14ac:dyDescent="0.3">
      <c r="A12" t="s">
        <v>104</v>
      </c>
      <c r="B12" t="s">
        <v>7</v>
      </c>
      <c r="C12" t="s">
        <v>118</v>
      </c>
      <c r="D12">
        <v>2020</v>
      </c>
      <c r="E12" t="s">
        <v>37</v>
      </c>
      <c r="F12" t="s">
        <v>64</v>
      </c>
      <c r="G12" t="s">
        <v>121</v>
      </c>
      <c r="H12" s="3">
        <v>25000000</v>
      </c>
    </row>
    <row r="13" spans="1:9" x14ac:dyDescent="0.3">
      <c r="A13" t="s">
        <v>104</v>
      </c>
      <c r="B13" t="s">
        <v>7</v>
      </c>
      <c r="C13" t="s">
        <v>118</v>
      </c>
      <c r="D13">
        <v>2020</v>
      </c>
      <c r="E13" t="s">
        <v>37</v>
      </c>
      <c r="F13" t="s">
        <v>67</v>
      </c>
      <c r="G13" t="s">
        <v>121</v>
      </c>
      <c r="H13" s="3">
        <v>21100000</v>
      </c>
    </row>
    <row r="14" spans="1:9" x14ac:dyDescent="0.3">
      <c r="A14" t="s">
        <v>104</v>
      </c>
      <c r="B14" t="s">
        <v>7</v>
      </c>
      <c r="C14" t="s">
        <v>118</v>
      </c>
      <c r="D14">
        <v>2020</v>
      </c>
      <c r="E14" t="s">
        <v>37</v>
      </c>
      <c r="F14" t="s">
        <v>70</v>
      </c>
      <c r="G14" t="s">
        <v>121</v>
      </c>
      <c r="H14" s="3">
        <v>4190000</v>
      </c>
    </row>
    <row r="15" spans="1:9" x14ac:dyDescent="0.3">
      <c r="A15" t="s">
        <v>104</v>
      </c>
      <c r="B15" t="s">
        <v>7</v>
      </c>
      <c r="C15" t="s">
        <v>118</v>
      </c>
      <c r="D15">
        <v>2020</v>
      </c>
      <c r="E15" t="s">
        <v>37</v>
      </c>
      <c r="F15" t="s">
        <v>71</v>
      </c>
      <c r="G15" t="s">
        <v>121</v>
      </c>
      <c r="H15" s="3">
        <v>16900000</v>
      </c>
    </row>
    <row r="16" spans="1:9" x14ac:dyDescent="0.3">
      <c r="A16" t="s">
        <v>104</v>
      </c>
      <c r="B16" t="s">
        <v>7</v>
      </c>
      <c r="C16" t="s">
        <v>118</v>
      </c>
      <c r="D16">
        <v>2020</v>
      </c>
      <c r="E16" t="s">
        <v>37</v>
      </c>
      <c r="F16" t="s">
        <v>68</v>
      </c>
      <c r="G16" t="s">
        <v>121</v>
      </c>
      <c r="H16" s="3">
        <v>3970000</v>
      </c>
    </row>
    <row r="17" spans="1:9" x14ac:dyDescent="0.3">
      <c r="A17" t="s">
        <v>104</v>
      </c>
      <c r="B17" t="s">
        <v>9</v>
      </c>
      <c r="C17" t="s">
        <v>118</v>
      </c>
      <c r="D17">
        <v>2022</v>
      </c>
      <c r="E17" t="s">
        <v>34</v>
      </c>
      <c r="F17" t="s">
        <v>64</v>
      </c>
      <c r="G17" t="s">
        <v>121</v>
      </c>
      <c r="H17" s="3">
        <v>5080000</v>
      </c>
    </row>
    <row r="18" spans="1:9" x14ac:dyDescent="0.3">
      <c r="A18" t="s">
        <v>104</v>
      </c>
      <c r="B18" t="s">
        <v>12</v>
      </c>
      <c r="C18" t="s">
        <v>118</v>
      </c>
      <c r="D18">
        <v>2022</v>
      </c>
      <c r="E18" t="s">
        <v>43</v>
      </c>
      <c r="F18" t="s">
        <v>64</v>
      </c>
      <c r="G18" t="s">
        <v>121</v>
      </c>
      <c r="H18" s="3">
        <v>1680000</v>
      </c>
      <c r="I18" t="s">
        <v>1095</v>
      </c>
    </row>
    <row r="19" spans="1:9" x14ac:dyDescent="0.3">
      <c r="A19" t="s">
        <v>104</v>
      </c>
      <c r="B19" t="s">
        <v>12</v>
      </c>
      <c r="C19" t="s">
        <v>118</v>
      </c>
      <c r="D19">
        <v>2022</v>
      </c>
      <c r="E19" t="s">
        <v>43</v>
      </c>
      <c r="F19" t="s">
        <v>80</v>
      </c>
      <c r="G19" t="s">
        <v>121</v>
      </c>
      <c r="H19" s="3">
        <v>208000</v>
      </c>
      <c r="I19" t="s">
        <v>1095</v>
      </c>
    </row>
    <row r="20" spans="1:9" x14ac:dyDescent="0.3">
      <c r="A20" t="s">
        <v>104</v>
      </c>
      <c r="B20" t="s">
        <v>12</v>
      </c>
      <c r="C20" t="s">
        <v>118</v>
      </c>
      <c r="D20">
        <v>2022</v>
      </c>
      <c r="E20" t="s">
        <v>43</v>
      </c>
      <c r="F20" t="s">
        <v>81</v>
      </c>
      <c r="G20" t="s">
        <v>121</v>
      </c>
      <c r="H20" s="3">
        <v>1470000</v>
      </c>
      <c r="I20" t="s">
        <v>1095</v>
      </c>
    </row>
    <row r="21" spans="1:9" x14ac:dyDescent="0.3">
      <c r="A21" t="s">
        <v>104</v>
      </c>
      <c r="B21" t="s">
        <v>12</v>
      </c>
      <c r="C21" t="s">
        <v>118</v>
      </c>
      <c r="D21">
        <v>2022</v>
      </c>
      <c r="E21" t="s">
        <v>43</v>
      </c>
      <c r="F21" t="s">
        <v>82</v>
      </c>
      <c r="G21" t="s">
        <v>121</v>
      </c>
      <c r="H21" s="3">
        <v>3300</v>
      </c>
      <c r="I21" t="s">
        <v>1095</v>
      </c>
    </row>
    <row r="22" spans="1:9" x14ac:dyDescent="0.3">
      <c r="A22" t="s">
        <v>104</v>
      </c>
      <c r="B22" t="s">
        <v>14</v>
      </c>
      <c r="C22" t="s">
        <v>118</v>
      </c>
      <c r="D22">
        <v>2023</v>
      </c>
      <c r="E22" t="s">
        <v>43</v>
      </c>
      <c r="F22" t="s">
        <v>64</v>
      </c>
      <c r="G22" t="s">
        <v>518</v>
      </c>
      <c r="H22" s="3">
        <v>7060</v>
      </c>
    </row>
    <row r="23" spans="1:9" x14ac:dyDescent="0.3">
      <c r="A23" t="s">
        <v>104</v>
      </c>
      <c r="B23" t="s">
        <v>15</v>
      </c>
      <c r="C23" t="s">
        <v>118</v>
      </c>
      <c r="D23">
        <v>2022</v>
      </c>
      <c r="E23" t="s">
        <v>37</v>
      </c>
      <c r="F23" t="s">
        <v>64</v>
      </c>
      <c r="G23" t="s">
        <v>121</v>
      </c>
      <c r="H23" s="3">
        <v>11900000</v>
      </c>
    </row>
    <row r="24" spans="1:9" x14ac:dyDescent="0.3">
      <c r="A24" t="s">
        <v>104</v>
      </c>
      <c r="B24" t="s">
        <v>15</v>
      </c>
      <c r="C24" t="s">
        <v>118</v>
      </c>
      <c r="D24">
        <v>2022</v>
      </c>
      <c r="E24" t="s">
        <v>37</v>
      </c>
      <c r="F24" t="s">
        <v>67</v>
      </c>
      <c r="G24" t="s">
        <v>121</v>
      </c>
      <c r="H24" s="3">
        <v>4250000</v>
      </c>
    </row>
    <row r="25" spans="1:9" x14ac:dyDescent="0.3">
      <c r="A25" t="s">
        <v>104</v>
      </c>
      <c r="B25" t="s">
        <v>15</v>
      </c>
      <c r="C25" t="s">
        <v>118</v>
      </c>
      <c r="D25">
        <v>2022</v>
      </c>
      <c r="E25" t="s">
        <v>37</v>
      </c>
      <c r="F25" t="s">
        <v>68</v>
      </c>
      <c r="G25" t="s">
        <v>121</v>
      </c>
      <c r="H25" s="3">
        <v>7430000</v>
      </c>
    </row>
    <row r="26" spans="1:9" x14ac:dyDescent="0.3">
      <c r="A26" t="s">
        <v>104</v>
      </c>
      <c r="B26" t="s">
        <v>15</v>
      </c>
      <c r="C26" t="s">
        <v>118</v>
      </c>
      <c r="D26">
        <v>2022</v>
      </c>
      <c r="E26" t="s">
        <v>37</v>
      </c>
      <c r="F26" t="s">
        <v>513</v>
      </c>
      <c r="G26" t="s">
        <v>121</v>
      </c>
      <c r="H26" s="3">
        <v>272000</v>
      </c>
    </row>
    <row r="27" spans="1:9" x14ac:dyDescent="0.3">
      <c r="A27" t="s">
        <v>104</v>
      </c>
      <c r="B27" t="s">
        <v>15</v>
      </c>
      <c r="C27" t="s">
        <v>118</v>
      </c>
      <c r="D27">
        <v>2022</v>
      </c>
      <c r="E27" t="s">
        <v>43</v>
      </c>
      <c r="F27" t="s">
        <v>64</v>
      </c>
      <c r="G27" t="s">
        <v>121</v>
      </c>
      <c r="H27" s="3">
        <v>4460000</v>
      </c>
      <c r="I27" t="s">
        <v>514</v>
      </c>
    </row>
    <row r="28" spans="1:9" x14ac:dyDescent="0.3">
      <c r="A28" t="s">
        <v>104</v>
      </c>
      <c r="B28" t="s">
        <v>20</v>
      </c>
      <c r="C28" t="s">
        <v>118</v>
      </c>
      <c r="D28">
        <v>2021</v>
      </c>
      <c r="E28" t="s">
        <v>37</v>
      </c>
      <c r="F28" t="s">
        <v>64</v>
      </c>
      <c r="G28" t="s">
        <v>121</v>
      </c>
      <c r="H28" s="3">
        <v>2560000</v>
      </c>
      <c r="I28" t="s">
        <v>119</v>
      </c>
    </row>
    <row r="29" spans="1:9" x14ac:dyDescent="0.3">
      <c r="A29" t="s">
        <v>104</v>
      </c>
      <c r="B29" t="s">
        <v>20</v>
      </c>
      <c r="C29" t="s">
        <v>118</v>
      </c>
      <c r="D29">
        <v>2021</v>
      </c>
      <c r="E29" t="s">
        <v>37</v>
      </c>
      <c r="F29" t="s">
        <v>75</v>
      </c>
      <c r="G29" t="s">
        <v>121</v>
      </c>
      <c r="H29" s="3">
        <v>117000</v>
      </c>
      <c r="I29" t="s">
        <v>119</v>
      </c>
    </row>
    <row r="30" spans="1:9" x14ac:dyDescent="0.3">
      <c r="A30" t="s">
        <v>104</v>
      </c>
      <c r="B30" t="s">
        <v>20</v>
      </c>
      <c r="C30" t="s">
        <v>118</v>
      </c>
      <c r="D30">
        <v>2021</v>
      </c>
      <c r="E30" t="s">
        <v>37</v>
      </c>
      <c r="F30" t="s">
        <v>74</v>
      </c>
      <c r="G30" t="s">
        <v>121</v>
      </c>
      <c r="H30" s="3">
        <v>1570000</v>
      </c>
      <c r="I30" t="s">
        <v>119</v>
      </c>
    </row>
    <row r="31" spans="1:9" x14ac:dyDescent="0.3">
      <c r="A31" t="s">
        <v>104</v>
      </c>
      <c r="B31" t="s">
        <v>20</v>
      </c>
      <c r="C31" t="s">
        <v>118</v>
      </c>
      <c r="D31">
        <v>2021</v>
      </c>
      <c r="E31" t="s">
        <v>37</v>
      </c>
      <c r="F31" t="s">
        <v>76</v>
      </c>
      <c r="G31" t="s">
        <v>121</v>
      </c>
      <c r="H31" s="3">
        <v>695000</v>
      </c>
      <c r="I31" t="s">
        <v>119</v>
      </c>
    </row>
    <row r="32" spans="1:9" x14ac:dyDescent="0.3">
      <c r="A32" t="s">
        <v>104</v>
      </c>
      <c r="B32" t="s">
        <v>20</v>
      </c>
      <c r="C32" t="s">
        <v>118</v>
      </c>
      <c r="D32">
        <v>2021</v>
      </c>
      <c r="E32" t="s">
        <v>37</v>
      </c>
      <c r="F32" t="s">
        <v>77</v>
      </c>
      <c r="G32" t="s">
        <v>121</v>
      </c>
      <c r="H32" s="3">
        <v>65900</v>
      </c>
      <c r="I32" t="s">
        <v>119</v>
      </c>
    </row>
    <row r="33" spans="1:9" x14ac:dyDescent="0.3">
      <c r="A33" t="s">
        <v>104</v>
      </c>
      <c r="B33" t="s">
        <v>20</v>
      </c>
      <c r="C33" t="s">
        <v>118</v>
      </c>
      <c r="D33">
        <v>2021</v>
      </c>
      <c r="E33" t="s">
        <v>37</v>
      </c>
      <c r="F33" t="s">
        <v>78</v>
      </c>
      <c r="G33" t="s">
        <v>121</v>
      </c>
      <c r="H33" s="3">
        <v>109000</v>
      </c>
      <c r="I33" t="s">
        <v>119</v>
      </c>
    </row>
    <row r="34" spans="1:9" x14ac:dyDescent="0.3">
      <c r="A34" t="s">
        <v>104</v>
      </c>
      <c r="B34" t="s">
        <v>20</v>
      </c>
      <c r="C34" t="s">
        <v>118</v>
      </c>
      <c r="D34">
        <v>2021</v>
      </c>
      <c r="E34" t="s">
        <v>43</v>
      </c>
      <c r="F34" t="s">
        <v>64</v>
      </c>
      <c r="G34" t="s">
        <v>121</v>
      </c>
      <c r="H34" s="3">
        <v>2730000</v>
      </c>
      <c r="I34" t="s">
        <v>79</v>
      </c>
    </row>
    <row r="35" spans="1:9" x14ac:dyDescent="0.3">
      <c r="A35" t="s">
        <v>104</v>
      </c>
      <c r="B35" t="s">
        <v>20</v>
      </c>
      <c r="C35" t="s">
        <v>118</v>
      </c>
      <c r="D35">
        <v>2021</v>
      </c>
      <c r="E35" t="s">
        <v>43</v>
      </c>
      <c r="F35" t="s">
        <v>515</v>
      </c>
      <c r="G35" t="s">
        <v>121</v>
      </c>
      <c r="H35" s="3">
        <v>1920000</v>
      </c>
      <c r="I35" t="s">
        <v>79</v>
      </c>
    </row>
    <row r="36" spans="1:9" x14ac:dyDescent="0.3">
      <c r="A36" t="s">
        <v>104</v>
      </c>
      <c r="B36" t="s">
        <v>20</v>
      </c>
      <c r="C36" t="s">
        <v>118</v>
      </c>
      <c r="D36">
        <v>2021</v>
      </c>
      <c r="E36" t="s">
        <v>43</v>
      </c>
      <c r="F36" t="s">
        <v>516</v>
      </c>
      <c r="G36" t="s">
        <v>121</v>
      </c>
      <c r="H36" s="3">
        <v>405000</v>
      </c>
      <c r="I36" t="s">
        <v>79</v>
      </c>
    </row>
    <row r="37" spans="1:9" x14ac:dyDescent="0.3">
      <c r="A37" t="s">
        <v>104</v>
      </c>
      <c r="B37" t="s">
        <v>20</v>
      </c>
      <c r="C37" t="s">
        <v>118</v>
      </c>
      <c r="D37">
        <v>2021</v>
      </c>
      <c r="E37" t="s">
        <v>43</v>
      </c>
      <c r="F37" t="s">
        <v>517</v>
      </c>
      <c r="G37" t="s">
        <v>121</v>
      </c>
      <c r="H37" s="3">
        <v>404000</v>
      </c>
      <c r="I37" t="s">
        <v>79</v>
      </c>
    </row>
    <row r="38" spans="1:9" x14ac:dyDescent="0.3">
      <c r="A38" t="s">
        <v>104</v>
      </c>
      <c r="B38" t="s">
        <v>702</v>
      </c>
      <c r="C38" t="s">
        <v>118</v>
      </c>
      <c r="D38">
        <v>2023</v>
      </c>
      <c r="E38" t="s">
        <v>43</v>
      </c>
      <c r="F38" t="s">
        <v>64</v>
      </c>
      <c r="G38" t="s">
        <v>518</v>
      </c>
      <c r="H38" s="3">
        <v>208000</v>
      </c>
    </row>
    <row r="39" spans="1:9" x14ac:dyDescent="0.3">
      <c r="A39" t="s">
        <v>104</v>
      </c>
      <c r="B39" t="s">
        <v>702</v>
      </c>
      <c r="C39" t="s">
        <v>118</v>
      </c>
      <c r="D39">
        <v>2023</v>
      </c>
      <c r="E39" t="s">
        <v>37</v>
      </c>
      <c r="F39" t="s">
        <v>64</v>
      </c>
      <c r="G39" t="s">
        <v>518</v>
      </c>
      <c r="H39" s="3">
        <v>322000</v>
      </c>
    </row>
    <row r="40" spans="1:9" x14ac:dyDescent="0.3">
      <c r="A40" t="s">
        <v>104</v>
      </c>
      <c r="B40" t="s">
        <v>21</v>
      </c>
      <c r="C40" t="s">
        <v>118</v>
      </c>
      <c r="D40">
        <v>2023</v>
      </c>
      <c r="E40" t="s">
        <v>37</v>
      </c>
      <c r="F40" t="s">
        <v>64</v>
      </c>
      <c r="G40" t="s">
        <v>518</v>
      </c>
      <c r="H40" s="3">
        <v>274000</v>
      </c>
      <c r="I40" t="s">
        <v>519</v>
      </c>
    </row>
    <row r="41" spans="1:9" x14ac:dyDescent="0.3">
      <c r="A41" t="s">
        <v>104</v>
      </c>
      <c r="B41" t="s">
        <v>21</v>
      </c>
      <c r="C41" t="s">
        <v>118</v>
      </c>
      <c r="D41">
        <v>2023</v>
      </c>
      <c r="E41" t="s">
        <v>43</v>
      </c>
      <c r="F41" t="s">
        <v>64</v>
      </c>
      <c r="G41" t="s">
        <v>518</v>
      </c>
      <c r="H41" s="3">
        <v>179000</v>
      </c>
    </row>
    <row r="42" spans="1:9" x14ac:dyDescent="0.3">
      <c r="A42" t="s">
        <v>104</v>
      </c>
      <c r="B42" t="s">
        <v>707</v>
      </c>
      <c r="C42" t="s">
        <v>118</v>
      </c>
      <c r="D42">
        <v>2023</v>
      </c>
      <c r="E42" t="s">
        <v>43</v>
      </c>
      <c r="F42" t="s">
        <v>64</v>
      </c>
      <c r="G42" t="s">
        <v>518</v>
      </c>
      <c r="H42" s="3">
        <v>22200</v>
      </c>
    </row>
    <row r="43" spans="1:9" x14ac:dyDescent="0.3">
      <c r="A43" t="s">
        <v>104</v>
      </c>
      <c r="B43" t="s">
        <v>1005</v>
      </c>
      <c r="C43" t="s">
        <v>118</v>
      </c>
      <c r="D43">
        <v>2023</v>
      </c>
      <c r="E43" t="s">
        <v>43</v>
      </c>
      <c r="F43" t="s">
        <v>64</v>
      </c>
      <c r="G43" t="s">
        <v>518</v>
      </c>
      <c r="H43" s="3">
        <v>447000</v>
      </c>
    </row>
    <row r="44" spans="1:9" x14ac:dyDescent="0.3">
      <c r="A44" t="s">
        <v>104</v>
      </c>
      <c r="B44" t="s">
        <v>1045</v>
      </c>
      <c r="C44" t="s">
        <v>118</v>
      </c>
      <c r="D44">
        <v>2022</v>
      </c>
      <c r="E44" t="s">
        <v>34</v>
      </c>
      <c r="F44" t="s">
        <v>64</v>
      </c>
      <c r="G44" t="s">
        <v>121</v>
      </c>
      <c r="H44" s="3">
        <v>15700000</v>
      </c>
    </row>
    <row r="45" spans="1:9" x14ac:dyDescent="0.3">
      <c r="A45" t="s">
        <v>104</v>
      </c>
      <c r="B45" t="s">
        <v>24</v>
      </c>
      <c r="C45" t="s">
        <v>118</v>
      </c>
      <c r="D45">
        <v>2022</v>
      </c>
      <c r="E45" t="s">
        <v>37</v>
      </c>
      <c r="F45" t="s">
        <v>64</v>
      </c>
      <c r="G45" t="s">
        <v>121</v>
      </c>
      <c r="H45" s="3">
        <v>12500000</v>
      </c>
      <c r="I45" t="s">
        <v>83</v>
      </c>
    </row>
    <row r="46" spans="1:9" x14ac:dyDescent="0.3">
      <c r="A46" t="s">
        <v>104</v>
      </c>
      <c r="B46" t="s">
        <v>24</v>
      </c>
      <c r="C46" t="s">
        <v>118</v>
      </c>
      <c r="D46">
        <v>2022</v>
      </c>
      <c r="E46" t="s">
        <v>37</v>
      </c>
      <c r="F46" t="s">
        <v>84</v>
      </c>
      <c r="G46" t="s">
        <v>121</v>
      </c>
      <c r="H46" s="3">
        <v>8360000</v>
      </c>
      <c r="I46" t="s">
        <v>83</v>
      </c>
    </row>
    <row r="47" spans="1:9" x14ac:dyDescent="0.3">
      <c r="A47" t="s">
        <v>104</v>
      </c>
      <c r="B47" t="s">
        <v>24</v>
      </c>
      <c r="C47" t="s">
        <v>118</v>
      </c>
      <c r="D47">
        <v>2022</v>
      </c>
      <c r="E47" t="s">
        <v>37</v>
      </c>
      <c r="F47" t="s">
        <v>85</v>
      </c>
      <c r="G47" t="s">
        <v>121</v>
      </c>
      <c r="H47" s="3">
        <v>3750000</v>
      </c>
      <c r="I47" t="s">
        <v>83</v>
      </c>
    </row>
    <row r="48" spans="1:9" x14ac:dyDescent="0.3">
      <c r="A48" t="s">
        <v>104</v>
      </c>
      <c r="B48" t="s">
        <v>30</v>
      </c>
      <c r="C48" t="s">
        <v>118</v>
      </c>
      <c r="D48">
        <v>2022</v>
      </c>
      <c r="E48" t="s">
        <v>34</v>
      </c>
      <c r="F48" t="s">
        <v>64</v>
      </c>
      <c r="G48" t="s">
        <v>120</v>
      </c>
      <c r="H48" s="3">
        <v>12900</v>
      </c>
      <c r="I48" t="s">
        <v>520</v>
      </c>
    </row>
    <row r="49" spans="1:9" x14ac:dyDescent="0.3">
      <c r="A49" t="s">
        <v>104</v>
      </c>
      <c r="B49" t="s">
        <v>30</v>
      </c>
      <c r="C49" t="s">
        <v>118</v>
      </c>
      <c r="D49">
        <v>2022</v>
      </c>
      <c r="E49" t="s">
        <v>34</v>
      </c>
      <c r="F49" t="s">
        <v>67</v>
      </c>
      <c r="G49" t="s">
        <v>120</v>
      </c>
      <c r="H49" s="3">
        <v>11400</v>
      </c>
      <c r="I49" t="s">
        <v>520</v>
      </c>
    </row>
    <row r="50" spans="1:9" x14ac:dyDescent="0.3">
      <c r="A50" t="s">
        <v>104</v>
      </c>
      <c r="B50" t="s">
        <v>30</v>
      </c>
      <c r="C50" t="s">
        <v>118</v>
      </c>
      <c r="D50">
        <v>2022</v>
      </c>
      <c r="E50" t="s">
        <v>34</v>
      </c>
      <c r="F50" t="s">
        <v>68</v>
      </c>
      <c r="G50" t="s">
        <v>120</v>
      </c>
      <c r="H50" s="3">
        <v>1050</v>
      </c>
      <c r="I50" t="s">
        <v>520</v>
      </c>
    </row>
    <row r="51" spans="1:9" x14ac:dyDescent="0.3">
      <c r="A51" t="s">
        <v>104</v>
      </c>
      <c r="B51" t="s">
        <v>30</v>
      </c>
      <c r="C51" t="s">
        <v>118</v>
      </c>
      <c r="D51">
        <v>2022</v>
      </c>
      <c r="E51" t="s">
        <v>34</v>
      </c>
      <c r="F51" t="s">
        <v>513</v>
      </c>
      <c r="G51" t="s">
        <v>120</v>
      </c>
      <c r="H51" s="3">
        <v>453</v>
      </c>
      <c r="I51" t="s">
        <v>520</v>
      </c>
    </row>
    <row r="52" spans="1:9" x14ac:dyDescent="0.3">
      <c r="A52" t="s">
        <v>104</v>
      </c>
      <c r="B52" t="s">
        <v>30</v>
      </c>
      <c r="C52" t="s">
        <v>118</v>
      </c>
      <c r="D52">
        <v>2022</v>
      </c>
      <c r="E52" t="s">
        <v>43</v>
      </c>
      <c r="F52" t="s">
        <v>64</v>
      </c>
      <c r="G52" t="s">
        <v>120</v>
      </c>
      <c r="H52" s="3">
        <v>12500</v>
      </c>
      <c r="I52" t="s">
        <v>521</v>
      </c>
    </row>
  </sheetData>
  <autoFilter ref="A1:I1" xr:uid="{F00FC305-642D-4743-B14E-08A4AC6D73A9}">
    <sortState xmlns:xlrd2="http://schemas.microsoft.com/office/spreadsheetml/2017/richdata2" ref="A2:I52">
      <sortCondition ref="B1"/>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A297-A588-4097-A4DD-B8C2541A41DC}">
  <sheetPr filterMode="1"/>
  <dimension ref="A1:M1251"/>
  <sheetViews>
    <sheetView workbookViewId="0">
      <selection activeCell="C167" sqref="C167"/>
    </sheetView>
  </sheetViews>
  <sheetFormatPr defaultRowHeight="14.4" x14ac:dyDescent="0.3"/>
  <cols>
    <col min="1" max="1" width="8.6640625" bestFit="1" customWidth="1"/>
    <col min="2" max="2" width="26.5546875" bestFit="1" customWidth="1"/>
    <col min="3" max="3" width="35.6640625" bestFit="1" customWidth="1"/>
    <col min="4" max="4" width="49.6640625" bestFit="1" customWidth="1"/>
    <col min="5" max="5" width="21.5546875" bestFit="1" customWidth="1"/>
    <col min="6" max="6" width="13" bestFit="1" customWidth="1"/>
    <col min="7" max="7" width="17.5546875" bestFit="1" customWidth="1"/>
    <col min="8" max="8" width="255.77734375" bestFit="1" customWidth="1"/>
    <col min="9" max="9" width="9.44140625" bestFit="1" customWidth="1"/>
    <col min="10" max="10" width="14" bestFit="1" customWidth="1"/>
    <col min="11" max="11" width="11.109375" bestFit="1" customWidth="1"/>
    <col min="12" max="12" width="14.5546875" bestFit="1" customWidth="1"/>
    <col min="13" max="13" width="153.5546875" bestFit="1" customWidth="1"/>
  </cols>
  <sheetData>
    <row r="1" spans="1:13" s="1" customFormat="1" x14ac:dyDescent="0.3">
      <c r="A1" s="1" t="s">
        <v>89</v>
      </c>
      <c r="B1" s="1" t="s">
        <v>98</v>
      </c>
      <c r="C1" s="1" t="s">
        <v>105</v>
      </c>
      <c r="D1" s="1" t="s">
        <v>97</v>
      </c>
      <c r="E1" s="1" t="s">
        <v>124</v>
      </c>
      <c r="F1" s="1" t="s">
        <v>125</v>
      </c>
      <c r="G1" s="1" t="s">
        <v>126</v>
      </c>
      <c r="H1" s="1" t="s">
        <v>127</v>
      </c>
      <c r="I1" s="1" t="s">
        <v>128</v>
      </c>
      <c r="J1" s="1" t="s">
        <v>129</v>
      </c>
      <c r="K1" s="1" t="s">
        <v>130</v>
      </c>
      <c r="L1" s="1" t="s">
        <v>131</v>
      </c>
      <c r="M1" s="1" t="s">
        <v>132</v>
      </c>
    </row>
    <row r="2" spans="1:13" hidden="1" x14ac:dyDescent="0.3">
      <c r="A2" t="s">
        <v>106</v>
      </c>
      <c r="B2" t="s">
        <v>133</v>
      </c>
      <c r="C2" t="s">
        <v>134</v>
      </c>
      <c r="D2" t="s">
        <v>135</v>
      </c>
      <c r="E2" t="s">
        <v>136</v>
      </c>
      <c r="H2" t="s">
        <v>137</v>
      </c>
    </row>
    <row r="3" spans="1:13" hidden="1" x14ac:dyDescent="0.3">
      <c r="A3" t="s">
        <v>106</v>
      </c>
      <c r="B3" t="s">
        <v>133</v>
      </c>
      <c r="C3" t="s">
        <v>138</v>
      </c>
      <c r="D3" t="s">
        <v>135</v>
      </c>
      <c r="E3" t="s">
        <v>136</v>
      </c>
      <c r="H3" t="s">
        <v>139</v>
      </c>
      <c r="I3">
        <v>60000</v>
      </c>
      <c r="J3">
        <v>60000</v>
      </c>
    </row>
    <row r="4" spans="1:13" hidden="1" x14ac:dyDescent="0.3">
      <c r="A4" t="s">
        <v>106</v>
      </c>
      <c r="B4" t="s">
        <v>133</v>
      </c>
      <c r="C4" t="s">
        <v>140</v>
      </c>
      <c r="D4" t="s">
        <v>135</v>
      </c>
      <c r="E4" t="s">
        <v>136</v>
      </c>
      <c r="I4">
        <v>50000</v>
      </c>
      <c r="J4">
        <v>50000</v>
      </c>
    </row>
    <row r="5" spans="1:13" hidden="1" x14ac:dyDescent="0.3">
      <c r="A5" t="s">
        <v>106</v>
      </c>
      <c r="B5" t="s">
        <v>133</v>
      </c>
      <c r="C5" t="s">
        <v>141</v>
      </c>
      <c r="D5" t="s">
        <v>135</v>
      </c>
      <c r="E5" t="s">
        <v>136</v>
      </c>
      <c r="I5">
        <v>90000</v>
      </c>
      <c r="J5">
        <v>90000</v>
      </c>
    </row>
    <row r="6" spans="1:13" hidden="1" x14ac:dyDescent="0.3">
      <c r="A6" t="s">
        <v>106</v>
      </c>
      <c r="B6" t="s">
        <v>133</v>
      </c>
      <c r="C6" t="s">
        <v>142</v>
      </c>
      <c r="D6" t="s">
        <v>135</v>
      </c>
      <c r="E6" t="s">
        <v>136</v>
      </c>
      <c r="I6">
        <v>50000</v>
      </c>
      <c r="J6">
        <v>50000</v>
      </c>
    </row>
    <row r="7" spans="1:13" hidden="1" x14ac:dyDescent="0.3">
      <c r="A7" t="s">
        <v>106</v>
      </c>
      <c r="B7" t="s">
        <v>133</v>
      </c>
      <c r="C7" t="s">
        <v>143</v>
      </c>
      <c r="D7" t="s">
        <v>135</v>
      </c>
      <c r="E7" t="s">
        <v>136</v>
      </c>
      <c r="I7">
        <v>800000</v>
      </c>
      <c r="J7">
        <v>800000</v>
      </c>
    </row>
    <row r="8" spans="1:13" hidden="1" x14ac:dyDescent="0.3">
      <c r="A8" t="s">
        <v>106</v>
      </c>
      <c r="B8" t="s">
        <v>133</v>
      </c>
      <c r="C8" t="s">
        <v>144</v>
      </c>
      <c r="D8" t="s">
        <v>135</v>
      </c>
      <c r="E8" t="s">
        <v>136</v>
      </c>
      <c r="I8">
        <v>40000</v>
      </c>
      <c r="J8">
        <v>40000</v>
      </c>
    </row>
    <row r="9" spans="1:13" hidden="1" x14ac:dyDescent="0.3">
      <c r="A9" t="s">
        <v>106</v>
      </c>
      <c r="B9" t="s">
        <v>133</v>
      </c>
      <c r="C9" t="s">
        <v>145</v>
      </c>
      <c r="D9" t="s">
        <v>135</v>
      </c>
      <c r="E9" t="s">
        <v>136</v>
      </c>
      <c r="I9">
        <v>80000</v>
      </c>
      <c r="J9">
        <v>80000</v>
      </c>
    </row>
    <row r="10" spans="1:13" hidden="1" x14ac:dyDescent="0.3">
      <c r="A10" t="s">
        <v>106</v>
      </c>
      <c r="B10" t="s">
        <v>133</v>
      </c>
      <c r="C10" t="s">
        <v>146</v>
      </c>
      <c r="D10" t="s">
        <v>135</v>
      </c>
      <c r="E10" t="s">
        <v>136</v>
      </c>
      <c r="I10">
        <v>40000</v>
      </c>
      <c r="J10">
        <v>40000</v>
      </c>
    </row>
    <row r="11" spans="1:13" hidden="1" x14ac:dyDescent="0.3">
      <c r="A11" t="s">
        <v>106</v>
      </c>
      <c r="B11" t="s">
        <v>133</v>
      </c>
      <c r="C11" t="s">
        <v>147</v>
      </c>
      <c r="D11" t="s">
        <v>135</v>
      </c>
      <c r="E11" t="s">
        <v>136</v>
      </c>
      <c r="I11">
        <v>15000</v>
      </c>
      <c r="J11">
        <v>15000</v>
      </c>
    </row>
    <row r="12" spans="1:13" hidden="1" x14ac:dyDescent="0.3">
      <c r="A12" t="s">
        <v>106</v>
      </c>
      <c r="B12" t="s">
        <v>133</v>
      </c>
      <c r="C12" t="s">
        <v>148</v>
      </c>
      <c r="D12" t="s">
        <v>135</v>
      </c>
      <c r="E12" t="s">
        <v>136</v>
      </c>
    </row>
    <row r="13" spans="1:13" hidden="1" x14ac:dyDescent="0.3">
      <c r="A13" t="s">
        <v>106</v>
      </c>
      <c r="B13" t="s">
        <v>133</v>
      </c>
      <c r="C13" t="s">
        <v>149</v>
      </c>
      <c r="D13" t="s">
        <v>135</v>
      </c>
      <c r="E13" t="s">
        <v>136</v>
      </c>
    </row>
    <row r="14" spans="1:13" hidden="1" x14ac:dyDescent="0.3">
      <c r="A14" t="s">
        <v>106</v>
      </c>
      <c r="B14" t="s">
        <v>133</v>
      </c>
      <c r="C14" t="s">
        <v>150</v>
      </c>
      <c r="D14" t="s">
        <v>135</v>
      </c>
      <c r="E14" t="s">
        <v>136</v>
      </c>
    </row>
    <row r="15" spans="1:13" hidden="1" x14ac:dyDescent="0.3">
      <c r="A15" t="s">
        <v>106</v>
      </c>
      <c r="B15" t="s">
        <v>133</v>
      </c>
      <c r="C15" t="s">
        <v>151</v>
      </c>
      <c r="D15" t="s">
        <v>135</v>
      </c>
      <c r="E15" t="s">
        <v>136</v>
      </c>
      <c r="I15">
        <v>80000</v>
      </c>
      <c r="J15">
        <v>80000</v>
      </c>
    </row>
    <row r="16" spans="1:13" x14ac:dyDescent="0.3">
      <c r="A16" t="s">
        <v>106</v>
      </c>
      <c r="B16" t="s">
        <v>133</v>
      </c>
      <c r="C16" t="s">
        <v>152</v>
      </c>
      <c r="D16" t="s">
        <v>135</v>
      </c>
      <c r="E16" t="s">
        <v>136</v>
      </c>
      <c r="F16" s="3"/>
      <c r="G16" s="3"/>
      <c r="I16">
        <v>1310000</v>
      </c>
      <c r="J16">
        <v>1310000</v>
      </c>
    </row>
    <row r="17" spans="1:10" hidden="1" x14ac:dyDescent="0.3">
      <c r="A17" t="s">
        <v>106</v>
      </c>
      <c r="B17" t="s">
        <v>133</v>
      </c>
      <c r="C17" t="s">
        <v>134</v>
      </c>
      <c r="D17" t="s">
        <v>153</v>
      </c>
      <c r="E17" t="s">
        <v>136</v>
      </c>
      <c r="I17">
        <v>40000</v>
      </c>
      <c r="J17">
        <v>40000</v>
      </c>
    </row>
    <row r="18" spans="1:10" hidden="1" x14ac:dyDescent="0.3">
      <c r="A18" t="s">
        <v>106</v>
      </c>
      <c r="B18" t="s">
        <v>133</v>
      </c>
      <c r="C18" t="s">
        <v>138</v>
      </c>
      <c r="D18" t="s">
        <v>153</v>
      </c>
      <c r="E18" t="s">
        <v>136</v>
      </c>
    </row>
    <row r="19" spans="1:10" hidden="1" x14ac:dyDescent="0.3">
      <c r="A19" t="s">
        <v>106</v>
      </c>
      <c r="B19" t="s">
        <v>133</v>
      </c>
      <c r="C19" t="s">
        <v>140</v>
      </c>
      <c r="D19" t="s">
        <v>153</v>
      </c>
      <c r="E19" t="s">
        <v>136</v>
      </c>
    </row>
    <row r="20" spans="1:10" hidden="1" x14ac:dyDescent="0.3">
      <c r="A20" t="s">
        <v>106</v>
      </c>
      <c r="B20" t="s">
        <v>133</v>
      </c>
      <c r="C20" t="s">
        <v>141</v>
      </c>
      <c r="D20" t="s">
        <v>153</v>
      </c>
      <c r="E20" t="s">
        <v>136</v>
      </c>
    </row>
    <row r="21" spans="1:10" hidden="1" x14ac:dyDescent="0.3">
      <c r="A21" t="s">
        <v>106</v>
      </c>
      <c r="B21" t="s">
        <v>133</v>
      </c>
      <c r="C21" t="s">
        <v>142</v>
      </c>
      <c r="D21" t="s">
        <v>153</v>
      </c>
      <c r="E21" t="s">
        <v>136</v>
      </c>
      <c r="I21">
        <v>40000</v>
      </c>
      <c r="J21">
        <v>40000</v>
      </c>
    </row>
    <row r="22" spans="1:10" hidden="1" x14ac:dyDescent="0.3">
      <c r="A22" t="s">
        <v>106</v>
      </c>
      <c r="B22" t="s">
        <v>133</v>
      </c>
      <c r="C22" t="s">
        <v>143</v>
      </c>
      <c r="D22" t="s">
        <v>153</v>
      </c>
      <c r="E22" t="s">
        <v>136</v>
      </c>
      <c r="I22">
        <v>450000</v>
      </c>
      <c r="J22">
        <v>450000</v>
      </c>
    </row>
    <row r="23" spans="1:10" hidden="1" x14ac:dyDescent="0.3">
      <c r="A23" t="s">
        <v>106</v>
      </c>
      <c r="B23" t="s">
        <v>133</v>
      </c>
      <c r="C23" t="s">
        <v>144</v>
      </c>
      <c r="D23" t="s">
        <v>153</v>
      </c>
      <c r="E23" t="s">
        <v>136</v>
      </c>
      <c r="I23">
        <v>20000</v>
      </c>
      <c r="J23">
        <v>20000</v>
      </c>
    </row>
    <row r="24" spans="1:10" hidden="1" x14ac:dyDescent="0.3">
      <c r="A24" t="s">
        <v>106</v>
      </c>
      <c r="B24" t="s">
        <v>133</v>
      </c>
      <c r="C24" t="s">
        <v>145</v>
      </c>
      <c r="D24" t="s">
        <v>153</v>
      </c>
      <c r="E24" t="s">
        <v>136</v>
      </c>
      <c r="I24">
        <v>35000</v>
      </c>
      <c r="J24">
        <v>35000</v>
      </c>
    </row>
    <row r="25" spans="1:10" hidden="1" x14ac:dyDescent="0.3">
      <c r="A25" t="s">
        <v>106</v>
      </c>
      <c r="B25" t="s">
        <v>133</v>
      </c>
      <c r="C25" t="s">
        <v>146</v>
      </c>
      <c r="D25" t="s">
        <v>153</v>
      </c>
      <c r="E25" t="s">
        <v>136</v>
      </c>
      <c r="I25">
        <v>5000</v>
      </c>
      <c r="J25">
        <v>5000</v>
      </c>
    </row>
    <row r="26" spans="1:10" hidden="1" x14ac:dyDescent="0.3">
      <c r="A26" t="s">
        <v>106</v>
      </c>
      <c r="B26" t="s">
        <v>133</v>
      </c>
      <c r="C26" t="s">
        <v>147</v>
      </c>
      <c r="D26" t="s">
        <v>153</v>
      </c>
      <c r="E26" t="s">
        <v>136</v>
      </c>
      <c r="I26">
        <v>60000</v>
      </c>
      <c r="J26">
        <v>60000</v>
      </c>
    </row>
    <row r="27" spans="1:10" hidden="1" x14ac:dyDescent="0.3">
      <c r="A27" t="s">
        <v>106</v>
      </c>
      <c r="B27" t="s">
        <v>133</v>
      </c>
      <c r="C27" t="s">
        <v>148</v>
      </c>
      <c r="D27" t="s">
        <v>153</v>
      </c>
      <c r="E27" t="s">
        <v>136</v>
      </c>
      <c r="I27">
        <v>45000</v>
      </c>
      <c r="J27">
        <v>45000</v>
      </c>
    </row>
    <row r="28" spans="1:10" hidden="1" x14ac:dyDescent="0.3">
      <c r="A28" t="s">
        <v>106</v>
      </c>
      <c r="B28" t="s">
        <v>133</v>
      </c>
      <c r="C28" t="s">
        <v>149</v>
      </c>
      <c r="D28" t="s">
        <v>153</v>
      </c>
      <c r="E28" t="s">
        <v>136</v>
      </c>
      <c r="I28">
        <v>80000</v>
      </c>
      <c r="J28">
        <v>80000</v>
      </c>
    </row>
    <row r="29" spans="1:10" hidden="1" x14ac:dyDescent="0.3">
      <c r="A29" t="s">
        <v>106</v>
      </c>
      <c r="B29" t="s">
        <v>133</v>
      </c>
      <c r="C29" t="s">
        <v>150</v>
      </c>
      <c r="D29" t="s">
        <v>153</v>
      </c>
      <c r="E29" t="s">
        <v>136</v>
      </c>
      <c r="I29">
        <v>30000</v>
      </c>
      <c r="J29">
        <v>30000</v>
      </c>
    </row>
    <row r="30" spans="1:10" hidden="1" x14ac:dyDescent="0.3">
      <c r="A30" t="s">
        <v>106</v>
      </c>
      <c r="B30" t="s">
        <v>133</v>
      </c>
      <c r="C30" t="s">
        <v>151</v>
      </c>
      <c r="D30" t="s">
        <v>153</v>
      </c>
      <c r="E30" t="s">
        <v>136</v>
      </c>
      <c r="I30">
        <v>200000</v>
      </c>
      <c r="J30">
        <v>200000</v>
      </c>
    </row>
    <row r="31" spans="1:10" x14ac:dyDescent="0.3">
      <c r="A31" t="s">
        <v>106</v>
      </c>
      <c r="B31" t="s">
        <v>133</v>
      </c>
      <c r="C31" t="s">
        <v>152</v>
      </c>
      <c r="D31" t="s">
        <v>153</v>
      </c>
      <c r="E31" t="s">
        <v>136</v>
      </c>
      <c r="F31" s="3"/>
      <c r="G31" s="3"/>
      <c r="I31">
        <v>1010000</v>
      </c>
      <c r="J31">
        <v>1010000</v>
      </c>
    </row>
    <row r="32" spans="1:10" hidden="1" x14ac:dyDescent="0.3">
      <c r="A32" t="s">
        <v>106</v>
      </c>
      <c r="B32" t="s">
        <v>96</v>
      </c>
      <c r="C32" t="s">
        <v>134</v>
      </c>
      <c r="D32" t="s">
        <v>107</v>
      </c>
      <c r="E32" t="s">
        <v>154</v>
      </c>
      <c r="F32">
        <v>750</v>
      </c>
      <c r="G32">
        <v>670</v>
      </c>
      <c r="I32">
        <v>1360</v>
      </c>
      <c r="J32">
        <v>1360</v>
      </c>
    </row>
    <row r="33" spans="1:13" hidden="1" x14ac:dyDescent="0.3">
      <c r="A33" t="s">
        <v>106</v>
      </c>
      <c r="B33" t="s">
        <v>96</v>
      </c>
      <c r="C33" t="s">
        <v>140</v>
      </c>
      <c r="D33" t="s">
        <v>107</v>
      </c>
      <c r="E33" t="s">
        <v>154</v>
      </c>
      <c r="F33">
        <v>1560</v>
      </c>
      <c r="G33">
        <v>1500</v>
      </c>
      <c r="I33">
        <v>1730</v>
      </c>
      <c r="J33">
        <v>1730</v>
      </c>
    </row>
    <row r="34" spans="1:13" hidden="1" x14ac:dyDescent="0.3">
      <c r="A34" t="s">
        <v>106</v>
      </c>
      <c r="B34" t="s">
        <v>96</v>
      </c>
      <c r="C34" t="s">
        <v>155</v>
      </c>
      <c r="D34" t="s">
        <v>107</v>
      </c>
      <c r="E34" t="s">
        <v>154</v>
      </c>
      <c r="F34">
        <v>1620</v>
      </c>
      <c r="G34">
        <v>1600</v>
      </c>
      <c r="I34">
        <v>1600</v>
      </c>
      <c r="J34">
        <v>1600</v>
      </c>
    </row>
    <row r="35" spans="1:13" hidden="1" x14ac:dyDescent="0.3">
      <c r="A35" t="s">
        <v>106</v>
      </c>
      <c r="B35" t="s">
        <v>96</v>
      </c>
      <c r="C35" t="s">
        <v>142</v>
      </c>
      <c r="D35" t="s">
        <v>107</v>
      </c>
      <c r="E35" t="s">
        <v>154</v>
      </c>
      <c r="F35">
        <v>1020</v>
      </c>
      <c r="G35">
        <v>1100</v>
      </c>
      <c r="I35">
        <v>1280</v>
      </c>
      <c r="J35">
        <v>1280</v>
      </c>
    </row>
    <row r="36" spans="1:13" hidden="1" x14ac:dyDescent="0.3">
      <c r="A36" t="s">
        <v>106</v>
      </c>
      <c r="B36" t="s">
        <v>96</v>
      </c>
      <c r="C36" t="s">
        <v>156</v>
      </c>
      <c r="D36" t="s">
        <v>107</v>
      </c>
      <c r="E36" t="s">
        <v>154</v>
      </c>
      <c r="F36">
        <v>3200</v>
      </c>
      <c r="G36">
        <v>3300</v>
      </c>
      <c r="H36" t="s">
        <v>157</v>
      </c>
      <c r="I36">
        <v>3270</v>
      </c>
      <c r="J36">
        <v>3270</v>
      </c>
    </row>
    <row r="37" spans="1:13" hidden="1" x14ac:dyDescent="0.3">
      <c r="A37" t="s">
        <v>106</v>
      </c>
      <c r="B37" t="s">
        <v>96</v>
      </c>
      <c r="C37" t="s">
        <v>143</v>
      </c>
      <c r="D37" t="s">
        <v>107</v>
      </c>
      <c r="E37" t="s">
        <v>154</v>
      </c>
      <c r="F37">
        <v>41600</v>
      </c>
      <c r="G37">
        <v>43000</v>
      </c>
      <c r="I37">
        <v>44400</v>
      </c>
      <c r="J37">
        <v>44700</v>
      </c>
    </row>
    <row r="38" spans="1:13" hidden="1" x14ac:dyDescent="0.3">
      <c r="A38" t="s">
        <v>106</v>
      </c>
      <c r="B38" t="s">
        <v>96</v>
      </c>
      <c r="C38" t="s">
        <v>158</v>
      </c>
      <c r="D38" t="s">
        <v>107</v>
      </c>
      <c r="E38" t="s">
        <v>154</v>
      </c>
      <c r="F38">
        <v>770</v>
      </c>
      <c r="G38">
        <v>780</v>
      </c>
      <c r="H38" t="s">
        <v>157</v>
      </c>
      <c r="I38">
        <v>880</v>
      </c>
      <c r="J38">
        <v>880</v>
      </c>
    </row>
    <row r="39" spans="1:13" hidden="1" x14ac:dyDescent="0.3">
      <c r="A39" t="s">
        <v>106</v>
      </c>
      <c r="B39" t="s">
        <v>96</v>
      </c>
      <c r="C39" t="s">
        <v>146</v>
      </c>
      <c r="D39" t="s">
        <v>107</v>
      </c>
      <c r="E39" t="s">
        <v>154</v>
      </c>
      <c r="F39">
        <v>4100</v>
      </c>
      <c r="G39">
        <v>4200</v>
      </c>
      <c r="H39" t="s">
        <v>157</v>
      </c>
      <c r="I39">
        <v>4100</v>
      </c>
      <c r="J39">
        <v>4200</v>
      </c>
    </row>
    <row r="40" spans="1:13" hidden="1" x14ac:dyDescent="0.3">
      <c r="A40" t="s">
        <v>106</v>
      </c>
      <c r="B40" t="s">
        <v>96</v>
      </c>
      <c r="C40" t="s">
        <v>159</v>
      </c>
      <c r="D40" t="s">
        <v>107</v>
      </c>
      <c r="E40" t="s">
        <v>154</v>
      </c>
      <c r="F40">
        <v>940</v>
      </c>
      <c r="G40">
        <v>870</v>
      </c>
      <c r="H40" t="s">
        <v>157</v>
      </c>
      <c r="I40">
        <v>1080</v>
      </c>
      <c r="J40">
        <v>1080</v>
      </c>
    </row>
    <row r="41" spans="1:13" hidden="1" x14ac:dyDescent="0.3">
      <c r="A41" t="s">
        <v>106</v>
      </c>
      <c r="B41" t="s">
        <v>96</v>
      </c>
      <c r="C41" t="s">
        <v>149</v>
      </c>
      <c r="D41" t="s">
        <v>107</v>
      </c>
      <c r="E41" t="s">
        <v>154</v>
      </c>
      <c r="F41">
        <v>1300</v>
      </c>
      <c r="G41">
        <v>1300</v>
      </c>
      <c r="H41" t="s">
        <v>157</v>
      </c>
      <c r="I41">
        <v>1460</v>
      </c>
      <c r="J41">
        <v>1460</v>
      </c>
    </row>
    <row r="42" spans="1:13" hidden="1" x14ac:dyDescent="0.3">
      <c r="A42" t="s">
        <v>106</v>
      </c>
      <c r="B42" t="s">
        <v>96</v>
      </c>
      <c r="C42" t="s">
        <v>160</v>
      </c>
      <c r="D42" t="s">
        <v>107</v>
      </c>
      <c r="E42" t="s">
        <v>154</v>
      </c>
      <c r="F42">
        <v>3700</v>
      </c>
      <c r="G42">
        <v>3800</v>
      </c>
      <c r="H42" t="s">
        <v>157</v>
      </c>
      <c r="I42">
        <v>4080</v>
      </c>
      <c r="J42">
        <v>4080</v>
      </c>
    </row>
    <row r="43" spans="1:13" hidden="1" x14ac:dyDescent="0.3">
      <c r="A43" t="s">
        <v>106</v>
      </c>
      <c r="B43" t="s">
        <v>96</v>
      </c>
      <c r="C43" t="s">
        <v>161</v>
      </c>
      <c r="D43" t="s">
        <v>107</v>
      </c>
      <c r="E43" t="s">
        <v>154</v>
      </c>
      <c r="F43">
        <v>2660</v>
      </c>
      <c r="G43">
        <v>2700</v>
      </c>
      <c r="I43">
        <v>2790</v>
      </c>
      <c r="J43">
        <v>2790</v>
      </c>
    </row>
    <row r="44" spans="1:13" hidden="1" x14ac:dyDescent="0.3">
      <c r="A44" t="s">
        <v>106</v>
      </c>
      <c r="B44" t="s">
        <v>96</v>
      </c>
      <c r="C44" t="s">
        <v>151</v>
      </c>
      <c r="D44" t="s">
        <v>107</v>
      </c>
      <c r="E44" t="s">
        <v>154</v>
      </c>
      <c r="F44">
        <v>6780</v>
      </c>
      <c r="G44">
        <v>6800</v>
      </c>
      <c r="I44">
        <v>10300</v>
      </c>
      <c r="J44">
        <v>10000</v>
      </c>
    </row>
    <row r="45" spans="1:13" x14ac:dyDescent="0.3">
      <c r="A45" t="s">
        <v>106</v>
      </c>
      <c r="B45" t="s">
        <v>96</v>
      </c>
      <c r="C45" t="s">
        <v>152</v>
      </c>
      <c r="D45" t="s">
        <v>107</v>
      </c>
      <c r="E45" t="s">
        <v>154</v>
      </c>
      <c r="F45" s="3">
        <v>70000</v>
      </c>
      <c r="G45" s="3">
        <v>72000</v>
      </c>
      <c r="I45">
        <v>78300</v>
      </c>
      <c r="J45">
        <v>78400</v>
      </c>
    </row>
    <row r="46" spans="1:13" hidden="1" x14ac:dyDescent="0.3">
      <c r="A46" t="s">
        <v>106</v>
      </c>
      <c r="B46" t="s">
        <v>162</v>
      </c>
      <c r="C46" t="s">
        <v>134</v>
      </c>
      <c r="D46" t="s">
        <v>163</v>
      </c>
      <c r="E46" t="s">
        <v>136</v>
      </c>
      <c r="L46">
        <v>60000</v>
      </c>
      <c r="M46" t="s">
        <v>164</v>
      </c>
    </row>
    <row r="47" spans="1:13" hidden="1" x14ac:dyDescent="0.3">
      <c r="A47" t="s">
        <v>106</v>
      </c>
      <c r="B47" t="s">
        <v>162</v>
      </c>
      <c r="C47" t="s">
        <v>140</v>
      </c>
      <c r="D47" t="s">
        <v>163</v>
      </c>
      <c r="E47" t="s">
        <v>136</v>
      </c>
      <c r="F47">
        <v>1860</v>
      </c>
      <c r="G47">
        <v>2000</v>
      </c>
      <c r="L47">
        <v>140000</v>
      </c>
      <c r="M47" t="s">
        <v>165</v>
      </c>
    </row>
    <row r="48" spans="1:13" hidden="1" x14ac:dyDescent="0.3">
      <c r="A48" t="s">
        <v>106</v>
      </c>
      <c r="B48" t="s">
        <v>162</v>
      </c>
      <c r="C48" t="s">
        <v>166</v>
      </c>
      <c r="D48" t="s">
        <v>163</v>
      </c>
      <c r="E48" t="s">
        <v>136</v>
      </c>
      <c r="F48">
        <v>3700</v>
      </c>
      <c r="G48">
        <v>3700</v>
      </c>
      <c r="L48">
        <v>310000</v>
      </c>
    </row>
    <row r="49" spans="1:13" hidden="1" x14ac:dyDescent="0.3">
      <c r="A49" t="s">
        <v>106</v>
      </c>
      <c r="B49" t="s">
        <v>162</v>
      </c>
      <c r="C49" t="s">
        <v>167</v>
      </c>
      <c r="D49" t="s">
        <v>163</v>
      </c>
      <c r="E49" t="s">
        <v>136</v>
      </c>
      <c r="F49">
        <v>4500</v>
      </c>
      <c r="G49">
        <v>4500</v>
      </c>
      <c r="L49">
        <v>140000</v>
      </c>
    </row>
    <row r="50" spans="1:13" hidden="1" x14ac:dyDescent="0.3">
      <c r="A50" t="s">
        <v>106</v>
      </c>
      <c r="B50" t="s">
        <v>162</v>
      </c>
      <c r="C50" t="s">
        <v>156</v>
      </c>
      <c r="D50" t="s">
        <v>163</v>
      </c>
      <c r="E50" t="s">
        <v>136</v>
      </c>
      <c r="L50">
        <v>78000</v>
      </c>
    </row>
    <row r="51" spans="1:13" hidden="1" x14ac:dyDescent="0.3">
      <c r="A51" t="s">
        <v>106</v>
      </c>
      <c r="B51" t="s">
        <v>162</v>
      </c>
      <c r="C51" t="s">
        <v>143</v>
      </c>
      <c r="D51" t="s">
        <v>163</v>
      </c>
      <c r="E51" t="s">
        <v>136</v>
      </c>
      <c r="F51">
        <v>62300</v>
      </c>
      <c r="G51">
        <v>60000</v>
      </c>
      <c r="H51" t="s">
        <v>157</v>
      </c>
      <c r="L51">
        <v>670000</v>
      </c>
    </row>
    <row r="52" spans="1:13" hidden="1" x14ac:dyDescent="0.3">
      <c r="A52" t="s">
        <v>106</v>
      </c>
      <c r="B52" t="s">
        <v>162</v>
      </c>
      <c r="C52" t="s">
        <v>168</v>
      </c>
      <c r="D52" t="s">
        <v>163</v>
      </c>
      <c r="E52" t="s">
        <v>136</v>
      </c>
      <c r="F52">
        <v>49</v>
      </c>
      <c r="G52">
        <v>50</v>
      </c>
      <c r="M52" t="s">
        <v>169</v>
      </c>
    </row>
    <row r="53" spans="1:13" hidden="1" x14ac:dyDescent="0.3">
      <c r="A53" t="s">
        <v>106</v>
      </c>
      <c r="B53" t="s">
        <v>162</v>
      </c>
      <c r="C53" t="s">
        <v>170</v>
      </c>
      <c r="D53" t="s">
        <v>163</v>
      </c>
      <c r="E53" t="s">
        <v>136</v>
      </c>
      <c r="F53">
        <v>500</v>
      </c>
      <c r="G53">
        <v>500</v>
      </c>
      <c r="H53" t="s">
        <v>157</v>
      </c>
      <c r="M53" t="s">
        <v>169</v>
      </c>
    </row>
    <row r="54" spans="1:13" hidden="1" x14ac:dyDescent="0.3">
      <c r="A54" t="s">
        <v>106</v>
      </c>
      <c r="B54" t="s">
        <v>162</v>
      </c>
      <c r="C54" t="s">
        <v>171</v>
      </c>
      <c r="D54" t="s">
        <v>163</v>
      </c>
      <c r="E54" t="s">
        <v>136</v>
      </c>
      <c r="F54">
        <v>40</v>
      </c>
      <c r="G54">
        <v>40</v>
      </c>
      <c r="H54" t="s">
        <v>157</v>
      </c>
      <c r="M54" t="s">
        <v>169</v>
      </c>
    </row>
    <row r="55" spans="1:13" hidden="1" x14ac:dyDescent="0.3">
      <c r="A55" t="s">
        <v>106</v>
      </c>
      <c r="B55" t="s">
        <v>162</v>
      </c>
      <c r="C55" t="s">
        <v>172</v>
      </c>
      <c r="D55" t="s">
        <v>163</v>
      </c>
      <c r="E55" t="s">
        <v>136</v>
      </c>
      <c r="F55">
        <v>20</v>
      </c>
      <c r="G55">
        <v>20</v>
      </c>
      <c r="L55">
        <v>260000</v>
      </c>
    </row>
    <row r="56" spans="1:13" hidden="1" x14ac:dyDescent="0.3">
      <c r="A56" t="s">
        <v>106</v>
      </c>
      <c r="B56" t="s">
        <v>162</v>
      </c>
      <c r="C56" t="s">
        <v>173</v>
      </c>
      <c r="D56" t="s">
        <v>163</v>
      </c>
      <c r="E56" t="s">
        <v>136</v>
      </c>
      <c r="F56">
        <v>200</v>
      </c>
      <c r="G56">
        <v>200</v>
      </c>
      <c r="H56" t="s">
        <v>157</v>
      </c>
      <c r="M56" t="s">
        <v>169</v>
      </c>
    </row>
    <row r="57" spans="1:13" hidden="1" x14ac:dyDescent="0.3">
      <c r="A57" t="s">
        <v>106</v>
      </c>
      <c r="B57" t="s">
        <v>162</v>
      </c>
      <c r="C57" t="s">
        <v>148</v>
      </c>
      <c r="D57" t="s">
        <v>163</v>
      </c>
      <c r="E57" t="s">
        <v>136</v>
      </c>
      <c r="F57">
        <v>800</v>
      </c>
      <c r="G57">
        <v>800</v>
      </c>
      <c r="L57">
        <v>18000</v>
      </c>
    </row>
    <row r="58" spans="1:13" hidden="1" x14ac:dyDescent="0.3">
      <c r="A58" t="s">
        <v>106</v>
      </c>
      <c r="B58" t="s">
        <v>162</v>
      </c>
      <c r="C58" t="s">
        <v>174</v>
      </c>
      <c r="D58" t="s">
        <v>163</v>
      </c>
      <c r="E58" t="s">
        <v>136</v>
      </c>
      <c r="F58">
        <v>250</v>
      </c>
      <c r="G58">
        <v>250</v>
      </c>
      <c r="L58">
        <v>26000</v>
      </c>
    </row>
    <row r="59" spans="1:13" hidden="1" x14ac:dyDescent="0.3">
      <c r="A59" t="s">
        <v>106</v>
      </c>
      <c r="B59" t="s">
        <v>162</v>
      </c>
      <c r="C59" t="s">
        <v>160</v>
      </c>
      <c r="D59" t="s">
        <v>163</v>
      </c>
      <c r="E59" t="s">
        <v>136</v>
      </c>
      <c r="F59">
        <v>13000</v>
      </c>
      <c r="G59">
        <v>13000</v>
      </c>
      <c r="L59">
        <v>350000</v>
      </c>
    </row>
    <row r="60" spans="1:13" hidden="1" x14ac:dyDescent="0.3">
      <c r="A60" t="s">
        <v>106</v>
      </c>
      <c r="B60" t="s">
        <v>162</v>
      </c>
      <c r="C60" t="s">
        <v>175</v>
      </c>
      <c r="D60" t="s">
        <v>163</v>
      </c>
      <c r="E60" t="s">
        <v>136</v>
      </c>
      <c r="F60">
        <v>17000</v>
      </c>
      <c r="G60">
        <v>17000</v>
      </c>
      <c r="L60">
        <v>50000</v>
      </c>
    </row>
    <row r="61" spans="1:13" hidden="1" x14ac:dyDescent="0.3">
      <c r="A61" t="s">
        <v>106</v>
      </c>
      <c r="B61" t="s">
        <v>162</v>
      </c>
      <c r="C61" t="s">
        <v>176</v>
      </c>
      <c r="D61" t="s">
        <v>163</v>
      </c>
      <c r="E61" t="s">
        <v>136</v>
      </c>
      <c r="F61">
        <v>1600</v>
      </c>
      <c r="G61">
        <v>1600</v>
      </c>
      <c r="H61" t="s">
        <v>157</v>
      </c>
      <c r="L61">
        <v>99000</v>
      </c>
    </row>
    <row r="62" spans="1:13" hidden="1" x14ac:dyDescent="0.3">
      <c r="A62" t="s">
        <v>106</v>
      </c>
      <c r="B62" t="s">
        <v>162</v>
      </c>
      <c r="C62" t="s">
        <v>177</v>
      </c>
      <c r="D62" t="s">
        <v>163</v>
      </c>
      <c r="E62" t="s">
        <v>136</v>
      </c>
      <c r="F62">
        <v>300</v>
      </c>
      <c r="G62">
        <v>300</v>
      </c>
      <c r="L62">
        <v>54000</v>
      </c>
    </row>
    <row r="63" spans="1:13" x14ac:dyDescent="0.3">
      <c r="A63" t="s">
        <v>106</v>
      </c>
      <c r="B63" t="s">
        <v>162</v>
      </c>
      <c r="C63" t="s">
        <v>178</v>
      </c>
      <c r="D63" t="s">
        <v>163</v>
      </c>
      <c r="E63" t="s">
        <v>136</v>
      </c>
      <c r="F63" s="3">
        <v>106000</v>
      </c>
      <c r="G63" s="3">
        <v>100000</v>
      </c>
      <c r="L63" t="s">
        <v>179</v>
      </c>
    </row>
    <row r="64" spans="1:13" hidden="1" x14ac:dyDescent="0.3">
      <c r="A64" t="s">
        <v>106</v>
      </c>
      <c r="B64" t="s">
        <v>2</v>
      </c>
      <c r="C64" t="s">
        <v>134</v>
      </c>
      <c r="D64" t="s">
        <v>36</v>
      </c>
      <c r="E64" t="s">
        <v>136</v>
      </c>
    </row>
    <row r="65" spans="1:13" hidden="1" x14ac:dyDescent="0.3">
      <c r="A65" t="s">
        <v>106</v>
      </c>
      <c r="B65" t="s">
        <v>2</v>
      </c>
      <c r="C65" t="s">
        <v>180</v>
      </c>
      <c r="D65" t="s">
        <v>36</v>
      </c>
      <c r="E65" t="s">
        <v>136</v>
      </c>
      <c r="F65">
        <v>1000</v>
      </c>
      <c r="G65">
        <v>1000</v>
      </c>
      <c r="J65">
        <v>1500</v>
      </c>
    </row>
    <row r="66" spans="1:13" hidden="1" x14ac:dyDescent="0.3">
      <c r="A66" t="s">
        <v>106</v>
      </c>
      <c r="B66" t="s">
        <v>2</v>
      </c>
      <c r="C66" t="s">
        <v>143</v>
      </c>
      <c r="D66" t="s">
        <v>36</v>
      </c>
      <c r="E66" t="s">
        <v>136</v>
      </c>
      <c r="F66">
        <v>24000</v>
      </c>
      <c r="G66">
        <v>24000</v>
      </c>
      <c r="J66">
        <v>30000</v>
      </c>
    </row>
    <row r="67" spans="1:13" hidden="1" x14ac:dyDescent="0.3">
      <c r="A67" t="s">
        <v>106</v>
      </c>
      <c r="B67" t="s">
        <v>2</v>
      </c>
      <c r="C67" t="s">
        <v>147</v>
      </c>
      <c r="D67" t="s">
        <v>36</v>
      </c>
      <c r="E67" t="s">
        <v>136</v>
      </c>
      <c r="F67">
        <v>40</v>
      </c>
      <c r="G67">
        <v>40</v>
      </c>
      <c r="H67" t="s">
        <v>157</v>
      </c>
      <c r="J67">
        <v>60</v>
      </c>
    </row>
    <row r="68" spans="1:13" hidden="1" x14ac:dyDescent="0.3">
      <c r="A68" t="s">
        <v>106</v>
      </c>
      <c r="B68" t="s">
        <v>2</v>
      </c>
      <c r="C68" t="s">
        <v>181</v>
      </c>
      <c r="D68" t="s">
        <v>36</v>
      </c>
      <c r="E68" t="s">
        <v>136</v>
      </c>
      <c r="F68">
        <v>6000</v>
      </c>
      <c r="G68">
        <v>6000</v>
      </c>
      <c r="J68">
        <v>8000</v>
      </c>
    </row>
    <row r="69" spans="1:13" hidden="1" x14ac:dyDescent="0.3">
      <c r="A69" t="s">
        <v>106</v>
      </c>
      <c r="B69" t="s">
        <v>2</v>
      </c>
      <c r="C69" t="s">
        <v>182</v>
      </c>
      <c r="D69" t="s">
        <v>36</v>
      </c>
      <c r="E69" t="s">
        <v>136</v>
      </c>
      <c r="F69">
        <v>30000</v>
      </c>
      <c r="G69">
        <v>27000</v>
      </c>
      <c r="J69">
        <v>37000</v>
      </c>
    </row>
    <row r="70" spans="1:13" hidden="1" x14ac:dyDescent="0.3">
      <c r="A70" t="s">
        <v>106</v>
      </c>
      <c r="B70" t="s">
        <v>2</v>
      </c>
      <c r="C70" t="s">
        <v>160</v>
      </c>
      <c r="D70" t="s">
        <v>36</v>
      </c>
      <c r="E70" t="s">
        <v>136</v>
      </c>
      <c r="F70">
        <v>500</v>
      </c>
      <c r="G70">
        <v>200</v>
      </c>
      <c r="H70" t="s">
        <v>157</v>
      </c>
      <c r="J70">
        <v>4000</v>
      </c>
    </row>
    <row r="71" spans="1:13" x14ac:dyDescent="0.3">
      <c r="A71" t="s">
        <v>106</v>
      </c>
      <c r="B71" t="s">
        <v>2</v>
      </c>
      <c r="C71" t="s">
        <v>152</v>
      </c>
      <c r="D71" t="s">
        <v>36</v>
      </c>
      <c r="E71" t="s">
        <v>136</v>
      </c>
      <c r="F71" s="3">
        <v>61500</v>
      </c>
      <c r="G71" s="3">
        <v>58000</v>
      </c>
      <c r="J71">
        <v>81000</v>
      </c>
    </row>
    <row r="72" spans="1:13" hidden="1" x14ac:dyDescent="0.3">
      <c r="A72" t="s">
        <v>106</v>
      </c>
      <c r="B72" t="s">
        <v>183</v>
      </c>
      <c r="C72" t="s">
        <v>134</v>
      </c>
      <c r="D72" t="s">
        <v>184</v>
      </c>
      <c r="E72" t="s">
        <v>136</v>
      </c>
      <c r="M72" t="s">
        <v>185</v>
      </c>
    </row>
    <row r="73" spans="1:13" hidden="1" x14ac:dyDescent="0.3">
      <c r="A73" t="s">
        <v>106</v>
      </c>
      <c r="B73" t="s">
        <v>183</v>
      </c>
      <c r="C73" t="s">
        <v>142</v>
      </c>
      <c r="D73" t="s">
        <v>184</v>
      </c>
      <c r="E73" t="s">
        <v>136</v>
      </c>
      <c r="F73">
        <v>189000</v>
      </c>
      <c r="G73">
        <v>160000</v>
      </c>
      <c r="H73" t="s">
        <v>186</v>
      </c>
      <c r="L73">
        <v>11000000</v>
      </c>
    </row>
    <row r="74" spans="1:13" hidden="1" x14ac:dyDescent="0.3">
      <c r="A74" t="s">
        <v>106</v>
      </c>
      <c r="B74" t="s">
        <v>183</v>
      </c>
      <c r="C74" t="s">
        <v>143</v>
      </c>
      <c r="D74" t="s">
        <v>184</v>
      </c>
      <c r="E74" t="s">
        <v>136</v>
      </c>
      <c r="F74">
        <v>200000</v>
      </c>
      <c r="G74">
        <v>200000</v>
      </c>
      <c r="H74" t="s">
        <v>157</v>
      </c>
      <c r="L74">
        <v>18000000</v>
      </c>
    </row>
    <row r="75" spans="1:13" hidden="1" x14ac:dyDescent="0.3">
      <c r="A75" t="s">
        <v>106</v>
      </c>
      <c r="B75" t="s">
        <v>183</v>
      </c>
      <c r="C75" t="s">
        <v>171</v>
      </c>
      <c r="D75" t="s">
        <v>184</v>
      </c>
      <c r="E75" t="s">
        <v>136</v>
      </c>
      <c r="F75">
        <v>255000</v>
      </c>
      <c r="G75">
        <v>210000</v>
      </c>
      <c r="M75" t="s">
        <v>187</v>
      </c>
    </row>
    <row r="76" spans="1:13" hidden="1" x14ac:dyDescent="0.3">
      <c r="A76" t="s">
        <v>106</v>
      </c>
      <c r="B76" t="s">
        <v>183</v>
      </c>
      <c r="C76" t="s">
        <v>160</v>
      </c>
      <c r="D76" t="s">
        <v>184</v>
      </c>
      <c r="E76" t="s">
        <v>136</v>
      </c>
      <c r="F76">
        <v>600000</v>
      </c>
      <c r="G76">
        <v>600000</v>
      </c>
      <c r="L76">
        <v>110000000</v>
      </c>
    </row>
    <row r="77" spans="1:13" x14ac:dyDescent="0.3">
      <c r="A77" t="s">
        <v>106</v>
      </c>
      <c r="B77" t="s">
        <v>183</v>
      </c>
      <c r="C77" t="s">
        <v>152</v>
      </c>
      <c r="D77" t="s">
        <v>184</v>
      </c>
      <c r="E77" t="s">
        <v>136</v>
      </c>
      <c r="F77" s="3">
        <v>1240000</v>
      </c>
      <c r="G77" s="3">
        <v>1200000</v>
      </c>
      <c r="M77" t="s">
        <v>187</v>
      </c>
    </row>
    <row r="78" spans="1:13" hidden="1" x14ac:dyDescent="0.3">
      <c r="A78" t="s">
        <v>106</v>
      </c>
      <c r="B78" t="s">
        <v>188</v>
      </c>
      <c r="C78" t="s">
        <v>134</v>
      </c>
      <c r="D78" t="s">
        <v>189</v>
      </c>
      <c r="E78" t="s">
        <v>154</v>
      </c>
      <c r="H78" t="s">
        <v>190</v>
      </c>
      <c r="M78" t="s">
        <v>169</v>
      </c>
    </row>
    <row r="79" spans="1:13" hidden="1" x14ac:dyDescent="0.3">
      <c r="A79" t="s">
        <v>106</v>
      </c>
      <c r="B79" t="s">
        <v>188</v>
      </c>
      <c r="C79" t="s">
        <v>143</v>
      </c>
      <c r="D79" t="s">
        <v>189</v>
      </c>
      <c r="E79" t="s">
        <v>154</v>
      </c>
      <c r="F79">
        <v>2000</v>
      </c>
      <c r="G79">
        <v>2100</v>
      </c>
      <c r="L79">
        <v>110000</v>
      </c>
    </row>
    <row r="80" spans="1:13" hidden="1" x14ac:dyDescent="0.3">
      <c r="A80" t="s">
        <v>106</v>
      </c>
      <c r="B80" t="s">
        <v>188</v>
      </c>
      <c r="C80" t="s">
        <v>146</v>
      </c>
      <c r="D80" t="s">
        <v>189</v>
      </c>
      <c r="E80" t="s">
        <v>154</v>
      </c>
      <c r="F80">
        <v>2600</v>
      </c>
      <c r="G80">
        <v>2600</v>
      </c>
      <c r="L80">
        <v>51000</v>
      </c>
    </row>
    <row r="81" spans="1:13" hidden="1" x14ac:dyDescent="0.3">
      <c r="A81" t="s">
        <v>106</v>
      </c>
      <c r="B81" t="s">
        <v>188</v>
      </c>
      <c r="C81" t="s">
        <v>170</v>
      </c>
      <c r="D81" t="s">
        <v>189</v>
      </c>
      <c r="E81" t="s">
        <v>154</v>
      </c>
      <c r="F81">
        <v>300</v>
      </c>
      <c r="G81">
        <v>310</v>
      </c>
      <c r="L81">
        <v>100000</v>
      </c>
    </row>
    <row r="82" spans="1:13" hidden="1" x14ac:dyDescent="0.3">
      <c r="A82" t="s">
        <v>106</v>
      </c>
      <c r="B82" t="s">
        <v>188</v>
      </c>
      <c r="C82" t="s">
        <v>171</v>
      </c>
      <c r="D82" t="s">
        <v>189</v>
      </c>
      <c r="E82" t="s">
        <v>154</v>
      </c>
      <c r="F82">
        <v>650</v>
      </c>
      <c r="G82">
        <v>650</v>
      </c>
      <c r="L82">
        <v>85000</v>
      </c>
    </row>
    <row r="83" spans="1:13" hidden="1" x14ac:dyDescent="0.3">
      <c r="A83" t="s">
        <v>106</v>
      </c>
      <c r="B83" t="s">
        <v>188</v>
      </c>
      <c r="C83" t="s">
        <v>173</v>
      </c>
      <c r="D83" t="s">
        <v>189</v>
      </c>
      <c r="E83" t="s">
        <v>154</v>
      </c>
      <c r="F83">
        <v>300</v>
      </c>
      <c r="G83">
        <v>300</v>
      </c>
      <c r="M83" t="s">
        <v>169</v>
      </c>
    </row>
    <row r="84" spans="1:13" hidden="1" x14ac:dyDescent="0.3">
      <c r="A84" t="s">
        <v>106</v>
      </c>
      <c r="B84" t="s">
        <v>188</v>
      </c>
      <c r="C84" t="s">
        <v>148</v>
      </c>
      <c r="D84" t="s">
        <v>189</v>
      </c>
      <c r="E84" t="s">
        <v>154</v>
      </c>
      <c r="F84">
        <v>320</v>
      </c>
      <c r="G84">
        <v>330</v>
      </c>
      <c r="M84" t="s">
        <v>169</v>
      </c>
    </row>
    <row r="85" spans="1:13" hidden="1" x14ac:dyDescent="0.3">
      <c r="A85" t="s">
        <v>106</v>
      </c>
      <c r="B85" t="s">
        <v>188</v>
      </c>
      <c r="C85" t="s">
        <v>181</v>
      </c>
      <c r="D85" t="s">
        <v>189</v>
      </c>
      <c r="E85" t="s">
        <v>154</v>
      </c>
      <c r="F85">
        <v>1000</v>
      </c>
      <c r="G85">
        <v>1000</v>
      </c>
      <c r="M85" t="s">
        <v>169</v>
      </c>
    </row>
    <row r="86" spans="1:13" hidden="1" x14ac:dyDescent="0.3">
      <c r="A86" t="s">
        <v>106</v>
      </c>
      <c r="B86" t="s">
        <v>188</v>
      </c>
      <c r="C86" t="s">
        <v>174</v>
      </c>
      <c r="D86" t="s">
        <v>189</v>
      </c>
      <c r="E86" t="s">
        <v>154</v>
      </c>
      <c r="F86">
        <v>130</v>
      </c>
      <c r="G86">
        <v>130</v>
      </c>
      <c r="M86" t="s">
        <v>169</v>
      </c>
    </row>
    <row r="87" spans="1:13" hidden="1" x14ac:dyDescent="0.3">
      <c r="A87" t="s">
        <v>106</v>
      </c>
      <c r="B87" t="s">
        <v>188</v>
      </c>
      <c r="C87" t="s">
        <v>160</v>
      </c>
      <c r="D87" t="s">
        <v>189</v>
      </c>
      <c r="E87" t="s">
        <v>154</v>
      </c>
      <c r="F87">
        <v>250</v>
      </c>
      <c r="G87">
        <v>250</v>
      </c>
      <c r="L87">
        <v>12000</v>
      </c>
    </row>
    <row r="88" spans="1:13" hidden="1" x14ac:dyDescent="0.3">
      <c r="A88" t="s">
        <v>106</v>
      </c>
      <c r="B88" t="s">
        <v>188</v>
      </c>
      <c r="C88" t="s">
        <v>176</v>
      </c>
      <c r="D88" t="s">
        <v>189</v>
      </c>
      <c r="E88" t="s">
        <v>154</v>
      </c>
      <c r="F88">
        <v>216</v>
      </c>
      <c r="G88">
        <v>220</v>
      </c>
      <c r="H88" t="s">
        <v>191</v>
      </c>
      <c r="L88">
        <v>34000</v>
      </c>
    </row>
    <row r="89" spans="1:13" hidden="1" x14ac:dyDescent="0.3">
      <c r="A89" t="s">
        <v>106</v>
      </c>
      <c r="B89" t="s">
        <v>188</v>
      </c>
      <c r="C89" t="s">
        <v>151</v>
      </c>
      <c r="D89" t="s">
        <v>189</v>
      </c>
      <c r="E89" t="s">
        <v>154</v>
      </c>
      <c r="F89">
        <v>314</v>
      </c>
      <c r="G89">
        <v>320</v>
      </c>
      <c r="M89" t="s">
        <v>169</v>
      </c>
    </row>
    <row r="90" spans="1:13" x14ac:dyDescent="0.3">
      <c r="A90" t="s">
        <v>106</v>
      </c>
      <c r="B90" t="s">
        <v>188</v>
      </c>
      <c r="C90" t="s">
        <v>152</v>
      </c>
      <c r="D90" t="s">
        <v>189</v>
      </c>
      <c r="E90" t="s">
        <v>154</v>
      </c>
      <c r="F90" s="3">
        <v>8080</v>
      </c>
      <c r="G90" s="3">
        <v>8200</v>
      </c>
      <c r="H90" t="s">
        <v>192</v>
      </c>
      <c r="M90" t="s">
        <v>169</v>
      </c>
    </row>
    <row r="91" spans="1:13" hidden="1" x14ac:dyDescent="0.3">
      <c r="A91" t="s">
        <v>106</v>
      </c>
      <c r="B91" t="s">
        <v>193</v>
      </c>
      <c r="C91" t="s">
        <v>134</v>
      </c>
      <c r="D91" t="s">
        <v>194</v>
      </c>
      <c r="E91" t="s">
        <v>195</v>
      </c>
      <c r="F91">
        <v>850</v>
      </c>
      <c r="G91">
        <v>720</v>
      </c>
      <c r="H91" t="s">
        <v>157</v>
      </c>
    </row>
    <row r="92" spans="1:13" hidden="1" x14ac:dyDescent="0.3">
      <c r="A92" t="s">
        <v>106</v>
      </c>
      <c r="B92" t="s">
        <v>193</v>
      </c>
      <c r="C92" t="s">
        <v>140</v>
      </c>
      <c r="D92" t="s">
        <v>194</v>
      </c>
      <c r="E92" t="s">
        <v>195</v>
      </c>
      <c r="F92">
        <v>18800</v>
      </c>
      <c r="G92">
        <v>18000</v>
      </c>
    </row>
    <row r="93" spans="1:13" hidden="1" x14ac:dyDescent="0.3">
      <c r="A93" t="s">
        <v>106</v>
      </c>
      <c r="B93" t="s">
        <v>193</v>
      </c>
      <c r="C93" t="s">
        <v>142</v>
      </c>
      <c r="D93" t="s">
        <v>194</v>
      </c>
      <c r="E93" t="s">
        <v>195</v>
      </c>
      <c r="F93">
        <v>11000</v>
      </c>
      <c r="G93">
        <v>11000</v>
      </c>
      <c r="H93" t="s">
        <v>157</v>
      </c>
    </row>
    <row r="94" spans="1:13" hidden="1" x14ac:dyDescent="0.3">
      <c r="A94" t="s">
        <v>106</v>
      </c>
      <c r="B94" t="s">
        <v>193</v>
      </c>
      <c r="C94" t="s">
        <v>156</v>
      </c>
      <c r="D94" t="s">
        <v>194</v>
      </c>
      <c r="E94" t="s">
        <v>195</v>
      </c>
      <c r="F94">
        <v>1500</v>
      </c>
      <c r="G94">
        <v>1500</v>
      </c>
    </row>
    <row r="95" spans="1:13" hidden="1" x14ac:dyDescent="0.3">
      <c r="A95" t="s">
        <v>106</v>
      </c>
      <c r="B95" t="s">
        <v>193</v>
      </c>
      <c r="C95" t="s">
        <v>143</v>
      </c>
      <c r="D95" t="s">
        <v>194</v>
      </c>
      <c r="E95" t="s">
        <v>195</v>
      </c>
      <c r="F95">
        <v>82400</v>
      </c>
      <c r="G95">
        <v>84000</v>
      </c>
    </row>
    <row r="96" spans="1:13" hidden="1" x14ac:dyDescent="0.3">
      <c r="A96" t="s">
        <v>106</v>
      </c>
      <c r="B96" t="s">
        <v>193</v>
      </c>
      <c r="C96" t="s">
        <v>145</v>
      </c>
      <c r="D96" t="s">
        <v>194</v>
      </c>
      <c r="E96" t="s">
        <v>195</v>
      </c>
      <c r="F96">
        <v>900</v>
      </c>
      <c r="G96">
        <v>960</v>
      </c>
      <c r="H96" t="s">
        <v>157</v>
      </c>
    </row>
    <row r="97" spans="1:12" hidden="1" x14ac:dyDescent="0.3">
      <c r="A97" t="s">
        <v>106</v>
      </c>
      <c r="B97" t="s">
        <v>193</v>
      </c>
      <c r="C97" t="s">
        <v>196</v>
      </c>
      <c r="D97" t="s">
        <v>194</v>
      </c>
      <c r="E97" t="s">
        <v>195</v>
      </c>
      <c r="F97">
        <v>869</v>
      </c>
      <c r="G97">
        <v>860</v>
      </c>
    </row>
    <row r="98" spans="1:12" hidden="1" x14ac:dyDescent="0.3">
      <c r="A98" t="s">
        <v>106</v>
      </c>
      <c r="B98" t="s">
        <v>193</v>
      </c>
      <c r="C98" t="s">
        <v>197</v>
      </c>
      <c r="D98" t="s">
        <v>194</v>
      </c>
      <c r="E98" t="s">
        <v>195</v>
      </c>
      <c r="F98">
        <v>273</v>
      </c>
      <c r="G98">
        <v>300</v>
      </c>
    </row>
    <row r="99" spans="1:12" hidden="1" x14ac:dyDescent="0.3">
      <c r="A99" t="s">
        <v>106</v>
      </c>
      <c r="B99" t="s">
        <v>193</v>
      </c>
      <c r="C99" t="s">
        <v>146</v>
      </c>
      <c r="D99" t="s">
        <v>194</v>
      </c>
      <c r="E99" t="s">
        <v>195</v>
      </c>
      <c r="F99">
        <v>7500</v>
      </c>
      <c r="G99">
        <v>7600</v>
      </c>
      <c r="H99" t="s">
        <v>157</v>
      </c>
    </row>
    <row r="100" spans="1:12" hidden="1" x14ac:dyDescent="0.3">
      <c r="A100" t="s">
        <v>106</v>
      </c>
      <c r="B100" t="s">
        <v>193</v>
      </c>
      <c r="C100" t="s">
        <v>198</v>
      </c>
      <c r="D100" t="s">
        <v>194</v>
      </c>
      <c r="E100" t="s">
        <v>195</v>
      </c>
      <c r="F100">
        <v>1200</v>
      </c>
      <c r="G100">
        <v>1300</v>
      </c>
      <c r="H100" t="s">
        <v>157</v>
      </c>
    </row>
    <row r="101" spans="1:12" hidden="1" x14ac:dyDescent="0.3">
      <c r="A101" t="s">
        <v>106</v>
      </c>
      <c r="B101" t="s">
        <v>193</v>
      </c>
      <c r="C101" t="s">
        <v>199</v>
      </c>
      <c r="D101" t="s">
        <v>194</v>
      </c>
      <c r="E101" t="s">
        <v>195</v>
      </c>
      <c r="F101">
        <v>1380</v>
      </c>
      <c r="G101">
        <v>1600</v>
      </c>
    </row>
    <row r="102" spans="1:12" hidden="1" x14ac:dyDescent="0.3">
      <c r="A102" t="s">
        <v>106</v>
      </c>
      <c r="B102" t="s">
        <v>193</v>
      </c>
      <c r="C102" t="s">
        <v>200</v>
      </c>
      <c r="D102" t="s">
        <v>194</v>
      </c>
      <c r="E102" t="s">
        <v>195</v>
      </c>
      <c r="F102">
        <v>1400</v>
      </c>
      <c r="G102">
        <v>1500</v>
      </c>
    </row>
    <row r="103" spans="1:12" hidden="1" x14ac:dyDescent="0.3">
      <c r="A103" t="s">
        <v>106</v>
      </c>
      <c r="B103" t="s">
        <v>193</v>
      </c>
      <c r="C103" t="s">
        <v>171</v>
      </c>
      <c r="D103" t="s">
        <v>194</v>
      </c>
      <c r="E103" t="s">
        <v>195</v>
      </c>
      <c r="F103">
        <v>1300</v>
      </c>
      <c r="G103">
        <v>1400</v>
      </c>
    </row>
    <row r="104" spans="1:12" hidden="1" x14ac:dyDescent="0.3">
      <c r="A104" t="s">
        <v>106</v>
      </c>
      <c r="B104" t="s">
        <v>193</v>
      </c>
      <c r="C104" t="s">
        <v>160</v>
      </c>
      <c r="D104" t="s">
        <v>194</v>
      </c>
      <c r="E104" t="s">
        <v>195</v>
      </c>
      <c r="F104">
        <v>3020</v>
      </c>
      <c r="G104">
        <v>2900</v>
      </c>
    </row>
    <row r="105" spans="1:12" hidden="1" x14ac:dyDescent="0.3">
      <c r="A105" t="s">
        <v>106</v>
      </c>
      <c r="B105" t="s">
        <v>193</v>
      </c>
      <c r="C105" t="s">
        <v>201</v>
      </c>
      <c r="D105" t="s">
        <v>194</v>
      </c>
      <c r="E105" t="s">
        <v>195</v>
      </c>
      <c r="F105">
        <v>1830</v>
      </c>
      <c r="G105">
        <v>1800</v>
      </c>
    </row>
    <row r="106" spans="1:12" hidden="1" x14ac:dyDescent="0.3">
      <c r="A106" t="s">
        <v>106</v>
      </c>
      <c r="B106" t="s">
        <v>193</v>
      </c>
      <c r="C106" t="s">
        <v>202</v>
      </c>
      <c r="D106" t="s">
        <v>194</v>
      </c>
      <c r="E106" t="s">
        <v>195</v>
      </c>
      <c r="F106">
        <v>716</v>
      </c>
      <c r="G106">
        <v>820</v>
      </c>
    </row>
    <row r="107" spans="1:12" hidden="1" x14ac:dyDescent="0.3">
      <c r="A107" t="s">
        <v>106</v>
      </c>
      <c r="B107" t="s">
        <v>193</v>
      </c>
      <c r="C107" t="s">
        <v>176</v>
      </c>
      <c r="D107" t="s">
        <v>194</v>
      </c>
      <c r="E107" t="s">
        <v>195</v>
      </c>
      <c r="F107">
        <v>300</v>
      </c>
      <c r="G107">
        <v>320</v>
      </c>
    </row>
    <row r="108" spans="1:12" hidden="1" x14ac:dyDescent="0.3">
      <c r="A108" t="s">
        <v>106</v>
      </c>
      <c r="B108" t="s">
        <v>193</v>
      </c>
      <c r="C108" t="s">
        <v>161</v>
      </c>
      <c r="D108" t="s">
        <v>194</v>
      </c>
      <c r="E108" t="s">
        <v>195</v>
      </c>
      <c r="F108">
        <v>2480</v>
      </c>
      <c r="G108">
        <v>2400</v>
      </c>
    </row>
    <row r="109" spans="1:12" hidden="1" x14ac:dyDescent="0.3">
      <c r="A109" t="s">
        <v>106</v>
      </c>
      <c r="B109" t="s">
        <v>193</v>
      </c>
      <c r="C109" t="s">
        <v>177</v>
      </c>
      <c r="D109" t="s">
        <v>194</v>
      </c>
      <c r="E109" t="s">
        <v>195</v>
      </c>
      <c r="F109">
        <v>1490</v>
      </c>
      <c r="G109">
        <v>1500</v>
      </c>
    </row>
    <row r="110" spans="1:12" hidden="1" x14ac:dyDescent="0.3">
      <c r="A110" t="s">
        <v>106</v>
      </c>
      <c r="B110" t="s">
        <v>193</v>
      </c>
      <c r="C110" t="s">
        <v>151</v>
      </c>
      <c r="D110" t="s">
        <v>194</v>
      </c>
      <c r="E110" t="s">
        <v>195</v>
      </c>
      <c r="F110">
        <v>1300</v>
      </c>
      <c r="G110">
        <v>1500</v>
      </c>
    </row>
    <row r="111" spans="1:12" x14ac:dyDescent="0.3">
      <c r="A111" t="s">
        <v>106</v>
      </c>
      <c r="B111" t="s">
        <v>193</v>
      </c>
      <c r="C111" t="s">
        <v>152</v>
      </c>
      <c r="D111" t="s">
        <v>194</v>
      </c>
      <c r="E111" t="s">
        <v>195</v>
      </c>
      <c r="F111" s="3">
        <v>141000</v>
      </c>
      <c r="G111" s="3">
        <v>142000</v>
      </c>
    </row>
    <row r="112" spans="1:12" hidden="1" x14ac:dyDescent="0.3">
      <c r="A112" t="s">
        <v>106</v>
      </c>
      <c r="B112" t="s">
        <v>193</v>
      </c>
      <c r="C112" t="s">
        <v>134</v>
      </c>
      <c r="D112" t="s">
        <v>203</v>
      </c>
      <c r="E112" t="s">
        <v>195</v>
      </c>
      <c r="H112" t="s">
        <v>190</v>
      </c>
      <c r="L112">
        <v>20000</v>
      </c>
    </row>
    <row r="113" spans="1:13" hidden="1" x14ac:dyDescent="0.3">
      <c r="A113" t="s">
        <v>106</v>
      </c>
      <c r="B113" t="s">
        <v>193</v>
      </c>
      <c r="C113" t="s">
        <v>140</v>
      </c>
      <c r="D113" t="s">
        <v>203</v>
      </c>
      <c r="E113" t="s">
        <v>195</v>
      </c>
      <c r="F113">
        <v>104000</v>
      </c>
      <c r="G113">
        <v>100000</v>
      </c>
      <c r="L113">
        <v>3500000</v>
      </c>
      <c r="M113" t="s">
        <v>204</v>
      </c>
    </row>
    <row r="114" spans="1:13" hidden="1" x14ac:dyDescent="0.3">
      <c r="A114" t="s">
        <v>106</v>
      </c>
      <c r="B114" t="s">
        <v>193</v>
      </c>
      <c r="C114" t="s">
        <v>142</v>
      </c>
      <c r="D114" t="s">
        <v>203</v>
      </c>
      <c r="E114" t="s">
        <v>195</v>
      </c>
      <c r="F114">
        <v>32000</v>
      </c>
      <c r="G114">
        <v>33000</v>
      </c>
      <c r="H114" t="s">
        <v>157</v>
      </c>
      <c r="L114">
        <v>2700000</v>
      </c>
    </row>
    <row r="115" spans="1:13" hidden="1" x14ac:dyDescent="0.3">
      <c r="A115" t="s">
        <v>106</v>
      </c>
      <c r="B115" t="s">
        <v>193</v>
      </c>
      <c r="C115" t="s">
        <v>156</v>
      </c>
      <c r="D115" t="s">
        <v>203</v>
      </c>
      <c r="E115" t="s">
        <v>195</v>
      </c>
    </row>
    <row r="116" spans="1:13" hidden="1" x14ac:dyDescent="0.3">
      <c r="A116" t="s">
        <v>106</v>
      </c>
      <c r="B116" t="s">
        <v>193</v>
      </c>
      <c r="C116" t="s">
        <v>143</v>
      </c>
      <c r="D116" t="s">
        <v>203</v>
      </c>
      <c r="E116" t="s">
        <v>195</v>
      </c>
      <c r="F116">
        <v>91000</v>
      </c>
      <c r="G116">
        <v>93000</v>
      </c>
      <c r="H116" t="s">
        <v>157</v>
      </c>
      <c r="L116">
        <v>680000</v>
      </c>
    </row>
    <row r="117" spans="1:13" hidden="1" x14ac:dyDescent="0.3">
      <c r="A117" t="s">
        <v>106</v>
      </c>
      <c r="B117" t="s">
        <v>193</v>
      </c>
      <c r="C117" t="s">
        <v>145</v>
      </c>
      <c r="D117" t="s">
        <v>203</v>
      </c>
      <c r="E117" t="s">
        <v>195</v>
      </c>
    </row>
    <row r="118" spans="1:13" hidden="1" x14ac:dyDescent="0.3">
      <c r="A118" t="s">
        <v>106</v>
      </c>
      <c r="B118" t="s">
        <v>193</v>
      </c>
      <c r="C118" t="s">
        <v>196</v>
      </c>
      <c r="D118" t="s">
        <v>203</v>
      </c>
      <c r="E118" t="s">
        <v>195</v>
      </c>
      <c r="F118">
        <v>1200</v>
      </c>
      <c r="G118">
        <v>1200</v>
      </c>
      <c r="H118" t="s">
        <v>157</v>
      </c>
    </row>
    <row r="119" spans="1:13" hidden="1" x14ac:dyDescent="0.3">
      <c r="A119" t="s">
        <v>106</v>
      </c>
      <c r="B119" t="s">
        <v>193</v>
      </c>
      <c r="C119" t="s">
        <v>197</v>
      </c>
      <c r="D119" t="s">
        <v>203</v>
      </c>
      <c r="E119" t="s">
        <v>195</v>
      </c>
      <c r="F119">
        <v>123000</v>
      </c>
      <c r="G119">
        <v>130000</v>
      </c>
      <c r="L119">
        <v>7400000</v>
      </c>
    </row>
    <row r="120" spans="1:13" hidden="1" x14ac:dyDescent="0.3">
      <c r="A120" t="s">
        <v>106</v>
      </c>
      <c r="B120" t="s">
        <v>193</v>
      </c>
      <c r="C120" t="s">
        <v>146</v>
      </c>
      <c r="D120" t="s">
        <v>203</v>
      </c>
      <c r="E120" t="s">
        <v>195</v>
      </c>
      <c r="F120">
        <v>23400</v>
      </c>
      <c r="G120">
        <v>25000</v>
      </c>
      <c r="L120">
        <v>650000</v>
      </c>
    </row>
    <row r="121" spans="1:13" hidden="1" x14ac:dyDescent="0.3">
      <c r="A121" t="s">
        <v>106</v>
      </c>
      <c r="B121" t="s">
        <v>193</v>
      </c>
      <c r="C121" t="s">
        <v>198</v>
      </c>
      <c r="D121" t="s">
        <v>203</v>
      </c>
      <c r="E121" t="s">
        <v>195</v>
      </c>
      <c r="F121">
        <v>30000</v>
      </c>
      <c r="G121">
        <v>32000</v>
      </c>
      <c r="H121" t="s">
        <v>157</v>
      </c>
      <c r="L121">
        <v>2800000</v>
      </c>
    </row>
    <row r="122" spans="1:13" hidden="1" x14ac:dyDescent="0.3">
      <c r="A122" t="s">
        <v>106</v>
      </c>
      <c r="B122" t="s">
        <v>193</v>
      </c>
      <c r="C122" t="s">
        <v>199</v>
      </c>
      <c r="D122" t="s">
        <v>203</v>
      </c>
      <c r="E122" t="s">
        <v>195</v>
      </c>
    </row>
    <row r="123" spans="1:13" hidden="1" x14ac:dyDescent="0.3">
      <c r="A123" t="s">
        <v>106</v>
      </c>
      <c r="B123" t="s">
        <v>193</v>
      </c>
      <c r="C123" t="s">
        <v>200</v>
      </c>
      <c r="D123" t="s">
        <v>203</v>
      </c>
      <c r="E123" t="s">
        <v>195</v>
      </c>
      <c r="F123">
        <v>6000</v>
      </c>
      <c r="G123">
        <v>6100</v>
      </c>
      <c r="L123">
        <v>2000000</v>
      </c>
    </row>
    <row r="124" spans="1:13" hidden="1" x14ac:dyDescent="0.3">
      <c r="A124" t="s">
        <v>106</v>
      </c>
      <c r="B124" t="s">
        <v>193</v>
      </c>
      <c r="C124" t="s">
        <v>171</v>
      </c>
      <c r="D124" t="s">
        <v>203</v>
      </c>
      <c r="E124" t="s">
        <v>195</v>
      </c>
      <c r="F124">
        <v>4560</v>
      </c>
      <c r="G124">
        <v>4900</v>
      </c>
      <c r="L124">
        <v>280000</v>
      </c>
    </row>
    <row r="125" spans="1:13" hidden="1" x14ac:dyDescent="0.3">
      <c r="A125" t="s">
        <v>106</v>
      </c>
      <c r="B125" t="s">
        <v>193</v>
      </c>
      <c r="C125" t="s">
        <v>160</v>
      </c>
      <c r="D125" t="s">
        <v>203</v>
      </c>
      <c r="E125" t="s">
        <v>195</v>
      </c>
      <c r="F125">
        <v>5800</v>
      </c>
      <c r="G125">
        <v>6300</v>
      </c>
      <c r="H125" t="s">
        <v>157</v>
      </c>
      <c r="L125">
        <v>480000</v>
      </c>
    </row>
    <row r="126" spans="1:13" hidden="1" x14ac:dyDescent="0.3">
      <c r="A126" t="s">
        <v>106</v>
      </c>
      <c r="B126" t="s">
        <v>193</v>
      </c>
      <c r="C126" t="s">
        <v>201</v>
      </c>
      <c r="D126" t="s">
        <v>203</v>
      </c>
      <c r="E126" t="s">
        <v>195</v>
      </c>
      <c r="F126">
        <v>5400</v>
      </c>
      <c r="G126">
        <v>5800</v>
      </c>
      <c r="H126" t="s">
        <v>157</v>
      </c>
      <c r="L126">
        <v>180000</v>
      </c>
    </row>
    <row r="127" spans="1:13" hidden="1" x14ac:dyDescent="0.3">
      <c r="A127" t="s">
        <v>106</v>
      </c>
      <c r="B127" t="s">
        <v>193</v>
      </c>
      <c r="C127" t="s">
        <v>202</v>
      </c>
      <c r="D127" t="s">
        <v>203</v>
      </c>
      <c r="E127" t="s">
        <v>195</v>
      </c>
    </row>
    <row r="128" spans="1:13" hidden="1" x14ac:dyDescent="0.3">
      <c r="A128" t="s">
        <v>106</v>
      </c>
      <c r="B128" t="s">
        <v>193</v>
      </c>
      <c r="C128" t="s">
        <v>176</v>
      </c>
      <c r="D128" t="s">
        <v>203</v>
      </c>
      <c r="E128" t="s">
        <v>195</v>
      </c>
      <c r="F128">
        <v>2940</v>
      </c>
      <c r="G128">
        <v>3200</v>
      </c>
      <c r="L128">
        <v>69000</v>
      </c>
    </row>
    <row r="129" spans="1:12" hidden="1" x14ac:dyDescent="0.3">
      <c r="A129" t="s">
        <v>106</v>
      </c>
      <c r="B129" t="s">
        <v>193</v>
      </c>
      <c r="C129" t="s">
        <v>161</v>
      </c>
      <c r="D129" t="s">
        <v>203</v>
      </c>
      <c r="E129" t="s">
        <v>195</v>
      </c>
    </row>
    <row r="130" spans="1:12" hidden="1" x14ac:dyDescent="0.3">
      <c r="A130" t="s">
        <v>106</v>
      </c>
      <c r="B130" t="s">
        <v>193</v>
      </c>
      <c r="C130" t="s">
        <v>177</v>
      </c>
      <c r="D130" t="s">
        <v>203</v>
      </c>
      <c r="E130" t="s">
        <v>195</v>
      </c>
      <c r="F130">
        <v>3920</v>
      </c>
      <c r="G130">
        <v>4200</v>
      </c>
      <c r="H130" t="s">
        <v>157</v>
      </c>
      <c r="L130">
        <v>3100000</v>
      </c>
    </row>
    <row r="131" spans="1:12" hidden="1" x14ac:dyDescent="0.3">
      <c r="A131" t="s">
        <v>106</v>
      </c>
      <c r="B131" t="s">
        <v>193</v>
      </c>
      <c r="C131" t="s">
        <v>151</v>
      </c>
      <c r="D131" t="s">
        <v>203</v>
      </c>
      <c r="E131" t="s">
        <v>195</v>
      </c>
      <c r="F131">
        <v>5260</v>
      </c>
      <c r="G131">
        <v>5700</v>
      </c>
      <c r="L131">
        <v>5300000</v>
      </c>
    </row>
    <row r="132" spans="1:12" x14ac:dyDescent="0.3">
      <c r="A132" t="s">
        <v>106</v>
      </c>
      <c r="B132" t="s">
        <v>193</v>
      </c>
      <c r="C132" t="s">
        <v>152</v>
      </c>
      <c r="D132" t="s">
        <v>203</v>
      </c>
      <c r="E132" t="s">
        <v>195</v>
      </c>
      <c r="F132" s="3">
        <v>438000</v>
      </c>
      <c r="G132" s="3">
        <v>450000</v>
      </c>
      <c r="H132" t="s">
        <v>205</v>
      </c>
      <c r="L132">
        <v>29000000</v>
      </c>
    </row>
    <row r="133" spans="1:12" hidden="1" x14ac:dyDescent="0.3">
      <c r="A133" t="s">
        <v>106</v>
      </c>
      <c r="B133" t="s">
        <v>206</v>
      </c>
      <c r="C133" t="s">
        <v>134</v>
      </c>
      <c r="D133" t="s">
        <v>207</v>
      </c>
      <c r="E133" t="s">
        <v>136</v>
      </c>
      <c r="F133">
        <v>185</v>
      </c>
      <c r="G133">
        <v>180</v>
      </c>
    </row>
    <row r="134" spans="1:12" hidden="1" x14ac:dyDescent="0.3">
      <c r="A134" t="s">
        <v>106</v>
      </c>
      <c r="B134" t="s">
        <v>206</v>
      </c>
      <c r="C134" t="s">
        <v>142</v>
      </c>
      <c r="D134" t="s">
        <v>207</v>
      </c>
      <c r="E134" t="s">
        <v>136</v>
      </c>
      <c r="F134">
        <v>40</v>
      </c>
      <c r="G134">
        <v>80</v>
      </c>
      <c r="H134" t="s">
        <v>157</v>
      </c>
    </row>
    <row r="135" spans="1:12" hidden="1" x14ac:dyDescent="0.3">
      <c r="A135" t="s">
        <v>106</v>
      </c>
      <c r="B135" t="s">
        <v>206</v>
      </c>
      <c r="C135" t="s">
        <v>143</v>
      </c>
      <c r="D135" t="s">
        <v>207</v>
      </c>
      <c r="E135" t="s">
        <v>136</v>
      </c>
      <c r="F135">
        <v>74</v>
      </c>
      <c r="G135">
        <v>77</v>
      </c>
      <c r="H135" t="s">
        <v>157</v>
      </c>
    </row>
    <row r="136" spans="1:12" hidden="1" x14ac:dyDescent="0.3">
      <c r="A136" t="s">
        <v>106</v>
      </c>
      <c r="B136" t="s">
        <v>206</v>
      </c>
      <c r="C136" t="s">
        <v>208</v>
      </c>
      <c r="D136" t="s">
        <v>207</v>
      </c>
      <c r="E136" t="s">
        <v>136</v>
      </c>
      <c r="F136">
        <v>1</v>
      </c>
      <c r="G136">
        <v>1</v>
      </c>
      <c r="H136" t="s">
        <v>157</v>
      </c>
    </row>
    <row r="137" spans="1:12" hidden="1" x14ac:dyDescent="0.3">
      <c r="A137" t="s">
        <v>106</v>
      </c>
      <c r="B137" t="s">
        <v>206</v>
      </c>
      <c r="C137" t="s">
        <v>209</v>
      </c>
      <c r="D137" t="s">
        <v>207</v>
      </c>
      <c r="E137" t="s">
        <v>136</v>
      </c>
      <c r="F137">
        <v>23</v>
      </c>
      <c r="G137">
        <v>24</v>
      </c>
    </row>
    <row r="138" spans="1:12" hidden="1" x14ac:dyDescent="0.3">
      <c r="A138" t="s">
        <v>106</v>
      </c>
      <c r="B138" t="s">
        <v>206</v>
      </c>
      <c r="C138" t="s">
        <v>210</v>
      </c>
      <c r="D138" t="s">
        <v>207</v>
      </c>
      <c r="E138" t="s">
        <v>136</v>
      </c>
      <c r="F138">
        <v>1</v>
      </c>
      <c r="G138">
        <v>1</v>
      </c>
      <c r="H138" t="s">
        <v>157</v>
      </c>
    </row>
    <row r="139" spans="1:12" hidden="1" x14ac:dyDescent="0.3">
      <c r="A139" t="s">
        <v>106</v>
      </c>
      <c r="B139" t="s">
        <v>206</v>
      </c>
      <c r="C139" t="s">
        <v>211</v>
      </c>
      <c r="D139" t="s">
        <v>207</v>
      </c>
      <c r="E139" t="s">
        <v>136</v>
      </c>
      <c r="F139">
        <v>1</v>
      </c>
      <c r="G139">
        <v>1</v>
      </c>
      <c r="H139" t="s">
        <v>157</v>
      </c>
    </row>
    <row r="140" spans="1:12" x14ac:dyDescent="0.3">
      <c r="A140" t="s">
        <v>106</v>
      </c>
      <c r="B140" t="s">
        <v>206</v>
      </c>
      <c r="C140" t="s">
        <v>152</v>
      </c>
      <c r="D140" t="s">
        <v>207</v>
      </c>
      <c r="E140" t="s">
        <v>136</v>
      </c>
      <c r="F140" s="3">
        <v>325</v>
      </c>
      <c r="G140" s="3">
        <v>360</v>
      </c>
    </row>
    <row r="141" spans="1:12" hidden="1" x14ac:dyDescent="0.3">
      <c r="A141" t="s">
        <v>106</v>
      </c>
      <c r="B141" t="s">
        <v>212</v>
      </c>
      <c r="C141" t="s">
        <v>134</v>
      </c>
      <c r="D141" t="s">
        <v>37</v>
      </c>
      <c r="E141" t="s">
        <v>136</v>
      </c>
      <c r="K141" t="s">
        <v>169</v>
      </c>
    </row>
    <row r="142" spans="1:12" hidden="1" x14ac:dyDescent="0.3">
      <c r="A142" t="s">
        <v>106</v>
      </c>
      <c r="B142" t="s">
        <v>212</v>
      </c>
      <c r="C142" t="s">
        <v>166</v>
      </c>
      <c r="D142" t="s">
        <v>37</v>
      </c>
      <c r="E142" t="s">
        <v>136</v>
      </c>
      <c r="F142">
        <v>68</v>
      </c>
      <c r="G142">
        <v>70</v>
      </c>
      <c r="K142" t="s">
        <v>169</v>
      </c>
    </row>
    <row r="143" spans="1:12" hidden="1" x14ac:dyDescent="0.3">
      <c r="A143" t="s">
        <v>106</v>
      </c>
      <c r="B143" t="s">
        <v>212</v>
      </c>
      <c r="C143" t="s">
        <v>213</v>
      </c>
      <c r="D143" t="s">
        <v>37</v>
      </c>
      <c r="E143" t="s">
        <v>136</v>
      </c>
      <c r="F143">
        <v>46</v>
      </c>
      <c r="G143">
        <v>50</v>
      </c>
      <c r="K143" t="s">
        <v>169</v>
      </c>
    </row>
    <row r="144" spans="1:12" hidden="1" x14ac:dyDescent="0.3">
      <c r="A144" t="s">
        <v>106</v>
      </c>
      <c r="B144" t="s">
        <v>212</v>
      </c>
      <c r="C144" t="s">
        <v>143</v>
      </c>
      <c r="D144" t="s">
        <v>37</v>
      </c>
      <c r="E144" t="s">
        <v>136</v>
      </c>
      <c r="F144">
        <v>13300</v>
      </c>
      <c r="G144">
        <v>13000</v>
      </c>
      <c r="K144" t="s">
        <v>169</v>
      </c>
    </row>
    <row r="145" spans="1:13" hidden="1" x14ac:dyDescent="0.3">
      <c r="A145" t="s">
        <v>106</v>
      </c>
      <c r="B145" t="s">
        <v>212</v>
      </c>
      <c r="C145" t="s">
        <v>147</v>
      </c>
      <c r="D145" t="s">
        <v>37</v>
      </c>
      <c r="E145" t="s">
        <v>136</v>
      </c>
      <c r="F145">
        <v>500</v>
      </c>
      <c r="G145">
        <v>500</v>
      </c>
      <c r="K145" t="s">
        <v>169</v>
      </c>
    </row>
    <row r="146" spans="1:13" hidden="1" x14ac:dyDescent="0.3">
      <c r="A146" t="s">
        <v>106</v>
      </c>
      <c r="B146" t="s">
        <v>212</v>
      </c>
      <c r="C146" t="s">
        <v>171</v>
      </c>
      <c r="D146" t="s">
        <v>37</v>
      </c>
      <c r="E146" t="s">
        <v>136</v>
      </c>
      <c r="F146">
        <v>180</v>
      </c>
      <c r="G146">
        <v>180</v>
      </c>
      <c r="K146" t="s">
        <v>169</v>
      </c>
    </row>
    <row r="147" spans="1:13" hidden="1" x14ac:dyDescent="0.3">
      <c r="A147" t="s">
        <v>106</v>
      </c>
      <c r="B147" t="s">
        <v>212</v>
      </c>
      <c r="C147" t="s">
        <v>214</v>
      </c>
      <c r="D147" t="s">
        <v>37</v>
      </c>
      <c r="E147" t="s">
        <v>136</v>
      </c>
      <c r="F147">
        <v>1000</v>
      </c>
      <c r="G147">
        <v>1000</v>
      </c>
      <c r="K147" t="s">
        <v>169</v>
      </c>
    </row>
    <row r="148" spans="1:13" hidden="1" x14ac:dyDescent="0.3">
      <c r="A148" t="s">
        <v>106</v>
      </c>
      <c r="B148" t="s">
        <v>212</v>
      </c>
      <c r="C148" t="s">
        <v>173</v>
      </c>
      <c r="D148" t="s">
        <v>37</v>
      </c>
      <c r="E148" t="s">
        <v>136</v>
      </c>
      <c r="F148">
        <v>1150</v>
      </c>
      <c r="G148">
        <v>1100</v>
      </c>
      <c r="H148" t="s">
        <v>215</v>
      </c>
      <c r="K148" t="s">
        <v>169</v>
      </c>
    </row>
    <row r="149" spans="1:13" x14ac:dyDescent="0.3">
      <c r="A149" t="s">
        <v>106</v>
      </c>
      <c r="B149" t="s">
        <v>212</v>
      </c>
      <c r="C149" t="s">
        <v>152</v>
      </c>
      <c r="D149" t="s">
        <v>37</v>
      </c>
      <c r="E149" t="s">
        <v>136</v>
      </c>
      <c r="F149" s="3">
        <v>16200</v>
      </c>
      <c r="G149" s="3">
        <v>16000</v>
      </c>
      <c r="K149" t="s">
        <v>169</v>
      </c>
    </row>
    <row r="150" spans="1:13" hidden="1" x14ac:dyDescent="0.3">
      <c r="A150" t="s">
        <v>106</v>
      </c>
      <c r="B150" t="s">
        <v>216</v>
      </c>
      <c r="C150" t="s">
        <v>134</v>
      </c>
      <c r="D150" t="s">
        <v>217</v>
      </c>
      <c r="E150" t="s">
        <v>154</v>
      </c>
      <c r="H150" t="s">
        <v>190</v>
      </c>
      <c r="L150">
        <v>48000</v>
      </c>
    </row>
    <row r="151" spans="1:13" hidden="1" x14ac:dyDescent="0.3">
      <c r="A151" t="s">
        <v>106</v>
      </c>
      <c r="B151" t="s">
        <v>216</v>
      </c>
      <c r="C151" t="s">
        <v>218</v>
      </c>
      <c r="D151" t="s">
        <v>217</v>
      </c>
      <c r="E151" t="s">
        <v>154</v>
      </c>
      <c r="F151">
        <v>160</v>
      </c>
      <c r="G151">
        <v>160</v>
      </c>
      <c r="H151" t="s">
        <v>219</v>
      </c>
      <c r="M151" t="s">
        <v>169</v>
      </c>
    </row>
    <row r="152" spans="1:13" hidden="1" x14ac:dyDescent="0.3">
      <c r="A152" t="s">
        <v>106</v>
      </c>
      <c r="B152" t="s">
        <v>216</v>
      </c>
      <c r="C152" t="s">
        <v>166</v>
      </c>
      <c r="D152" t="s">
        <v>217</v>
      </c>
      <c r="E152" t="s">
        <v>154</v>
      </c>
      <c r="F152">
        <v>140</v>
      </c>
      <c r="G152">
        <v>230</v>
      </c>
      <c r="H152" t="s">
        <v>220</v>
      </c>
      <c r="M152" t="s">
        <v>169</v>
      </c>
    </row>
    <row r="153" spans="1:13" hidden="1" x14ac:dyDescent="0.3">
      <c r="A153" t="s">
        <v>106</v>
      </c>
      <c r="B153" t="s">
        <v>216</v>
      </c>
      <c r="C153" t="s">
        <v>221</v>
      </c>
      <c r="D153" t="s">
        <v>217</v>
      </c>
      <c r="E153" t="s">
        <v>154</v>
      </c>
      <c r="F153">
        <v>420</v>
      </c>
      <c r="G153">
        <v>420</v>
      </c>
      <c r="H153" t="s">
        <v>220</v>
      </c>
      <c r="L153">
        <v>35000</v>
      </c>
    </row>
    <row r="154" spans="1:13" hidden="1" x14ac:dyDescent="0.3">
      <c r="A154" t="s">
        <v>106</v>
      </c>
      <c r="B154" t="s">
        <v>216</v>
      </c>
      <c r="C154" t="s">
        <v>143</v>
      </c>
      <c r="D154" t="s">
        <v>217</v>
      </c>
      <c r="E154" t="s">
        <v>154</v>
      </c>
      <c r="F154">
        <v>300</v>
      </c>
      <c r="G154">
        <v>340</v>
      </c>
      <c r="H154" t="s">
        <v>222</v>
      </c>
      <c r="L154">
        <v>9100</v>
      </c>
    </row>
    <row r="155" spans="1:13" hidden="1" x14ac:dyDescent="0.3">
      <c r="A155" t="s">
        <v>106</v>
      </c>
      <c r="B155" t="s">
        <v>216</v>
      </c>
      <c r="C155" t="s">
        <v>145</v>
      </c>
      <c r="D155" t="s">
        <v>217</v>
      </c>
      <c r="E155" t="s">
        <v>154</v>
      </c>
      <c r="F155">
        <v>38</v>
      </c>
      <c r="G155">
        <v>40</v>
      </c>
      <c r="H155" t="s">
        <v>223</v>
      </c>
      <c r="M155" t="s">
        <v>169</v>
      </c>
    </row>
    <row r="156" spans="1:13" hidden="1" x14ac:dyDescent="0.3">
      <c r="A156" t="s">
        <v>106</v>
      </c>
      <c r="B156" t="s">
        <v>216</v>
      </c>
      <c r="C156" t="s">
        <v>182</v>
      </c>
      <c r="D156" t="s">
        <v>217</v>
      </c>
      <c r="E156" t="s">
        <v>154</v>
      </c>
      <c r="F156">
        <v>300</v>
      </c>
      <c r="G156">
        <v>300</v>
      </c>
      <c r="H156" t="s">
        <v>224</v>
      </c>
      <c r="L156">
        <v>4000</v>
      </c>
    </row>
    <row r="157" spans="1:13" hidden="1" x14ac:dyDescent="0.3">
      <c r="A157" t="s">
        <v>106</v>
      </c>
      <c r="B157" t="s">
        <v>216</v>
      </c>
      <c r="C157" t="s">
        <v>225</v>
      </c>
      <c r="D157" t="s">
        <v>217</v>
      </c>
      <c r="E157" t="s">
        <v>154</v>
      </c>
      <c r="F157">
        <v>80</v>
      </c>
      <c r="G157">
        <v>80</v>
      </c>
      <c r="H157" t="s">
        <v>226</v>
      </c>
      <c r="L157">
        <v>40000</v>
      </c>
    </row>
    <row r="158" spans="1:13" hidden="1" x14ac:dyDescent="0.3">
      <c r="A158" t="s">
        <v>106</v>
      </c>
      <c r="B158" t="s">
        <v>216</v>
      </c>
      <c r="C158" t="s">
        <v>176</v>
      </c>
      <c r="D158" t="s">
        <v>217</v>
      </c>
      <c r="E158" t="s">
        <v>154</v>
      </c>
      <c r="F158">
        <v>2500</v>
      </c>
      <c r="G158">
        <v>3000</v>
      </c>
      <c r="H158" t="s">
        <v>227</v>
      </c>
      <c r="L158">
        <v>950000</v>
      </c>
    </row>
    <row r="159" spans="1:13" x14ac:dyDescent="0.3">
      <c r="A159" t="s">
        <v>106</v>
      </c>
      <c r="B159" t="s">
        <v>216</v>
      </c>
      <c r="C159" t="s">
        <v>228</v>
      </c>
      <c r="D159" t="s">
        <v>217</v>
      </c>
      <c r="E159" t="s">
        <v>154</v>
      </c>
      <c r="F159" s="3"/>
      <c r="G159" s="3"/>
      <c r="H159" t="s">
        <v>229</v>
      </c>
      <c r="M159" t="s">
        <v>229</v>
      </c>
    </row>
    <row r="160" spans="1:13" hidden="1" x14ac:dyDescent="0.3">
      <c r="A160" t="s">
        <v>106</v>
      </c>
      <c r="B160" t="s">
        <v>230</v>
      </c>
      <c r="C160" t="s">
        <v>134</v>
      </c>
      <c r="D160" t="s">
        <v>231</v>
      </c>
      <c r="E160" t="s">
        <v>136</v>
      </c>
      <c r="H160" t="s">
        <v>190</v>
      </c>
      <c r="L160">
        <v>11000000</v>
      </c>
    </row>
    <row r="161" spans="1:13" hidden="1" x14ac:dyDescent="0.3">
      <c r="A161" t="s">
        <v>106</v>
      </c>
      <c r="B161" t="s">
        <v>230</v>
      </c>
      <c r="C161" t="s">
        <v>143</v>
      </c>
      <c r="D161" t="s">
        <v>231</v>
      </c>
      <c r="E161" t="s">
        <v>136</v>
      </c>
      <c r="F161">
        <v>101000</v>
      </c>
      <c r="G161">
        <v>100000</v>
      </c>
      <c r="H161" t="s">
        <v>232</v>
      </c>
      <c r="L161">
        <v>130000</v>
      </c>
    </row>
    <row r="162" spans="1:13" hidden="1" x14ac:dyDescent="0.3">
      <c r="A162" t="s">
        <v>106</v>
      </c>
      <c r="B162" t="s">
        <v>230</v>
      </c>
      <c r="C162" t="s">
        <v>146</v>
      </c>
      <c r="D162" t="s">
        <v>231</v>
      </c>
      <c r="E162" t="s">
        <v>136</v>
      </c>
      <c r="F162">
        <v>6900</v>
      </c>
      <c r="G162">
        <v>7000</v>
      </c>
      <c r="M162" t="s">
        <v>169</v>
      </c>
    </row>
    <row r="163" spans="1:13" hidden="1" x14ac:dyDescent="0.3">
      <c r="A163" t="s">
        <v>106</v>
      </c>
      <c r="B163" t="s">
        <v>230</v>
      </c>
      <c r="C163" t="s">
        <v>233</v>
      </c>
      <c r="D163" t="s">
        <v>231</v>
      </c>
      <c r="E163" t="s">
        <v>136</v>
      </c>
      <c r="F163">
        <v>143000</v>
      </c>
      <c r="G163">
        <v>140000</v>
      </c>
      <c r="H163" t="s">
        <v>232</v>
      </c>
      <c r="M163" t="s">
        <v>187</v>
      </c>
    </row>
    <row r="164" spans="1:13" hidden="1" x14ac:dyDescent="0.3">
      <c r="A164" t="s">
        <v>106</v>
      </c>
      <c r="B164" t="s">
        <v>230</v>
      </c>
      <c r="C164" t="s">
        <v>147</v>
      </c>
      <c r="D164" t="s">
        <v>231</v>
      </c>
      <c r="E164" t="s">
        <v>136</v>
      </c>
      <c r="F164">
        <v>20000</v>
      </c>
      <c r="G164">
        <v>20000</v>
      </c>
      <c r="M164" t="s">
        <v>169</v>
      </c>
    </row>
    <row r="165" spans="1:13" hidden="1" x14ac:dyDescent="0.3">
      <c r="A165" t="s">
        <v>106</v>
      </c>
      <c r="B165" t="s">
        <v>230</v>
      </c>
      <c r="C165" t="s">
        <v>234</v>
      </c>
      <c r="D165" t="s">
        <v>231</v>
      </c>
      <c r="E165" t="s">
        <v>136</v>
      </c>
      <c r="F165">
        <v>116000</v>
      </c>
      <c r="G165">
        <v>120000</v>
      </c>
      <c r="H165" t="s">
        <v>232</v>
      </c>
      <c r="L165">
        <v>360000</v>
      </c>
    </row>
    <row r="166" spans="1:13" hidden="1" x14ac:dyDescent="0.3">
      <c r="A166" t="s">
        <v>106</v>
      </c>
      <c r="B166" t="s">
        <v>230</v>
      </c>
      <c r="C166" t="s">
        <v>235</v>
      </c>
      <c r="D166" t="s">
        <v>231</v>
      </c>
      <c r="E166" t="s">
        <v>136</v>
      </c>
      <c r="F166">
        <v>8000</v>
      </c>
      <c r="G166">
        <v>8000</v>
      </c>
      <c r="M166" t="s">
        <v>169</v>
      </c>
    </row>
    <row r="167" spans="1:13" x14ac:dyDescent="0.3">
      <c r="A167" t="s">
        <v>106</v>
      </c>
      <c r="B167" t="s">
        <v>230</v>
      </c>
      <c r="C167" t="s">
        <v>152</v>
      </c>
      <c r="D167" t="s">
        <v>231</v>
      </c>
      <c r="E167" t="s">
        <v>136</v>
      </c>
      <c r="F167" s="3">
        <v>395000</v>
      </c>
      <c r="G167" s="3">
        <v>400000</v>
      </c>
      <c r="H167" t="s">
        <v>236</v>
      </c>
      <c r="M167" t="s">
        <v>187</v>
      </c>
    </row>
    <row r="168" spans="1:13" hidden="1" x14ac:dyDescent="0.3">
      <c r="A168" t="s">
        <v>106</v>
      </c>
      <c r="B168" t="s">
        <v>237</v>
      </c>
      <c r="C168" t="s">
        <v>134</v>
      </c>
      <c r="D168" t="s">
        <v>238</v>
      </c>
      <c r="E168" t="s">
        <v>136</v>
      </c>
      <c r="F168">
        <v>375</v>
      </c>
      <c r="G168">
        <v>300</v>
      </c>
      <c r="H168" t="s">
        <v>215</v>
      </c>
      <c r="M168" t="s">
        <v>239</v>
      </c>
    </row>
    <row r="169" spans="1:13" hidden="1" x14ac:dyDescent="0.3">
      <c r="A169" t="s">
        <v>106</v>
      </c>
      <c r="B169" t="s">
        <v>237</v>
      </c>
      <c r="C169" t="s">
        <v>140</v>
      </c>
      <c r="D169" t="s">
        <v>238</v>
      </c>
      <c r="E169" t="s">
        <v>136</v>
      </c>
      <c r="F169">
        <v>900</v>
      </c>
      <c r="G169">
        <v>900</v>
      </c>
    </row>
    <row r="170" spans="1:13" hidden="1" x14ac:dyDescent="0.3">
      <c r="A170" t="s">
        <v>106</v>
      </c>
      <c r="B170" t="s">
        <v>237</v>
      </c>
      <c r="C170" t="s">
        <v>213</v>
      </c>
      <c r="D170" t="s">
        <v>238</v>
      </c>
      <c r="E170" t="s">
        <v>136</v>
      </c>
      <c r="F170">
        <v>310</v>
      </c>
      <c r="G170">
        <v>300</v>
      </c>
    </row>
    <row r="171" spans="1:13" hidden="1" x14ac:dyDescent="0.3">
      <c r="A171" t="s">
        <v>106</v>
      </c>
      <c r="B171" t="s">
        <v>237</v>
      </c>
      <c r="C171" t="s">
        <v>156</v>
      </c>
      <c r="D171" t="s">
        <v>238</v>
      </c>
      <c r="E171" t="s">
        <v>136</v>
      </c>
      <c r="F171">
        <v>1800</v>
      </c>
      <c r="G171">
        <v>1700</v>
      </c>
    </row>
    <row r="172" spans="1:13" hidden="1" x14ac:dyDescent="0.3">
      <c r="A172" t="s">
        <v>106</v>
      </c>
      <c r="B172" t="s">
        <v>237</v>
      </c>
      <c r="C172" t="s">
        <v>143</v>
      </c>
      <c r="D172" t="s">
        <v>238</v>
      </c>
      <c r="E172" t="s">
        <v>136</v>
      </c>
      <c r="F172">
        <v>9300</v>
      </c>
      <c r="G172">
        <v>9300</v>
      </c>
    </row>
    <row r="173" spans="1:13" hidden="1" x14ac:dyDescent="0.3">
      <c r="A173" t="s">
        <v>106</v>
      </c>
      <c r="B173" t="s">
        <v>237</v>
      </c>
      <c r="C173" t="s">
        <v>145</v>
      </c>
      <c r="D173" t="s">
        <v>238</v>
      </c>
      <c r="E173" t="s">
        <v>136</v>
      </c>
      <c r="G173">
        <v>170</v>
      </c>
      <c r="H173" t="s">
        <v>139</v>
      </c>
    </row>
    <row r="174" spans="1:13" hidden="1" x14ac:dyDescent="0.3">
      <c r="A174" t="s">
        <v>106</v>
      </c>
      <c r="B174" t="s">
        <v>237</v>
      </c>
      <c r="C174" t="s">
        <v>147</v>
      </c>
      <c r="D174" t="s">
        <v>238</v>
      </c>
      <c r="E174" t="s">
        <v>136</v>
      </c>
      <c r="F174">
        <v>1800</v>
      </c>
      <c r="G174">
        <v>1700</v>
      </c>
    </row>
    <row r="175" spans="1:13" hidden="1" x14ac:dyDescent="0.3">
      <c r="A175" t="s">
        <v>106</v>
      </c>
      <c r="B175" t="s">
        <v>237</v>
      </c>
      <c r="C175" t="s">
        <v>171</v>
      </c>
      <c r="D175" t="s">
        <v>238</v>
      </c>
      <c r="E175" t="s">
        <v>136</v>
      </c>
      <c r="F175">
        <v>1000</v>
      </c>
      <c r="G175">
        <v>1000</v>
      </c>
    </row>
    <row r="176" spans="1:13" hidden="1" x14ac:dyDescent="0.3">
      <c r="A176" t="s">
        <v>106</v>
      </c>
      <c r="B176" t="s">
        <v>237</v>
      </c>
      <c r="C176" t="s">
        <v>214</v>
      </c>
      <c r="D176" t="s">
        <v>238</v>
      </c>
      <c r="E176" t="s">
        <v>136</v>
      </c>
      <c r="F176">
        <v>4500</v>
      </c>
      <c r="G176">
        <v>4500</v>
      </c>
    </row>
    <row r="177" spans="1:8" hidden="1" x14ac:dyDescent="0.3">
      <c r="A177" t="s">
        <v>106</v>
      </c>
      <c r="B177" t="s">
        <v>237</v>
      </c>
      <c r="C177" t="s">
        <v>148</v>
      </c>
      <c r="D177" t="s">
        <v>238</v>
      </c>
      <c r="E177" t="s">
        <v>136</v>
      </c>
      <c r="F177">
        <v>1020</v>
      </c>
      <c r="G177">
        <v>1200</v>
      </c>
      <c r="H177" t="s">
        <v>215</v>
      </c>
    </row>
    <row r="178" spans="1:8" hidden="1" x14ac:dyDescent="0.3">
      <c r="A178" t="s">
        <v>106</v>
      </c>
      <c r="B178" t="s">
        <v>237</v>
      </c>
      <c r="C178" t="s">
        <v>240</v>
      </c>
      <c r="D178" t="s">
        <v>238</v>
      </c>
      <c r="E178" t="s">
        <v>136</v>
      </c>
      <c r="F178">
        <v>726</v>
      </c>
      <c r="G178">
        <v>400</v>
      </c>
      <c r="H178" t="s">
        <v>215</v>
      </c>
    </row>
    <row r="179" spans="1:8" hidden="1" x14ac:dyDescent="0.3">
      <c r="A179" t="s">
        <v>106</v>
      </c>
      <c r="B179" t="s">
        <v>237</v>
      </c>
      <c r="C179" t="s">
        <v>149</v>
      </c>
      <c r="D179" t="s">
        <v>238</v>
      </c>
      <c r="E179" t="s">
        <v>136</v>
      </c>
      <c r="F179">
        <v>420</v>
      </c>
      <c r="G179">
        <v>350</v>
      </c>
    </row>
    <row r="180" spans="1:8" hidden="1" x14ac:dyDescent="0.3">
      <c r="A180" t="s">
        <v>106</v>
      </c>
      <c r="B180" t="s">
        <v>237</v>
      </c>
      <c r="C180" t="s">
        <v>182</v>
      </c>
      <c r="D180" t="s">
        <v>238</v>
      </c>
      <c r="E180" t="s">
        <v>136</v>
      </c>
      <c r="F180">
        <v>494</v>
      </c>
      <c r="G180">
        <v>620</v>
      </c>
      <c r="H180" t="s">
        <v>215</v>
      </c>
    </row>
    <row r="181" spans="1:8" hidden="1" x14ac:dyDescent="0.3">
      <c r="A181" t="s">
        <v>106</v>
      </c>
      <c r="B181" t="s">
        <v>237</v>
      </c>
      <c r="C181" t="s">
        <v>241</v>
      </c>
      <c r="D181" t="s">
        <v>238</v>
      </c>
      <c r="E181" t="s">
        <v>136</v>
      </c>
      <c r="F181">
        <v>250</v>
      </c>
      <c r="G181">
        <v>250</v>
      </c>
    </row>
    <row r="182" spans="1:8" hidden="1" x14ac:dyDescent="0.3">
      <c r="A182" t="s">
        <v>106</v>
      </c>
      <c r="B182" t="s">
        <v>237</v>
      </c>
      <c r="C182" t="s">
        <v>160</v>
      </c>
      <c r="D182" t="s">
        <v>238</v>
      </c>
      <c r="E182" t="s">
        <v>136</v>
      </c>
      <c r="F182">
        <v>1000</v>
      </c>
      <c r="G182">
        <v>800</v>
      </c>
    </row>
    <row r="183" spans="1:8" hidden="1" x14ac:dyDescent="0.3">
      <c r="A183" t="s">
        <v>106</v>
      </c>
      <c r="B183" t="s">
        <v>237</v>
      </c>
      <c r="C183" t="s">
        <v>242</v>
      </c>
      <c r="D183" t="s">
        <v>238</v>
      </c>
      <c r="E183" t="s">
        <v>136</v>
      </c>
      <c r="F183">
        <v>220</v>
      </c>
      <c r="G183">
        <v>200</v>
      </c>
    </row>
    <row r="184" spans="1:8" x14ac:dyDescent="0.3">
      <c r="A184" t="s">
        <v>106</v>
      </c>
      <c r="B184" t="s">
        <v>237</v>
      </c>
      <c r="C184" t="s">
        <v>152</v>
      </c>
      <c r="D184" t="s">
        <v>238</v>
      </c>
      <c r="E184" t="s">
        <v>136</v>
      </c>
      <c r="F184" s="3">
        <v>24100</v>
      </c>
      <c r="G184" s="3">
        <v>24000</v>
      </c>
    </row>
    <row r="185" spans="1:8" hidden="1" x14ac:dyDescent="0.3">
      <c r="A185" t="s">
        <v>106</v>
      </c>
      <c r="B185" t="s">
        <v>243</v>
      </c>
      <c r="C185" t="s">
        <v>244</v>
      </c>
      <c r="D185" t="s">
        <v>245</v>
      </c>
      <c r="E185" t="s">
        <v>154</v>
      </c>
      <c r="F185">
        <v>90000</v>
      </c>
      <c r="G185">
        <v>86000</v>
      </c>
    </row>
    <row r="186" spans="1:8" hidden="1" x14ac:dyDescent="0.3">
      <c r="A186" t="s">
        <v>106</v>
      </c>
      <c r="B186" t="s">
        <v>243</v>
      </c>
      <c r="C186" t="s">
        <v>142</v>
      </c>
      <c r="D186" t="s">
        <v>245</v>
      </c>
      <c r="E186" t="s">
        <v>154</v>
      </c>
      <c r="F186">
        <v>67000</v>
      </c>
      <c r="G186">
        <v>68000</v>
      </c>
    </row>
    <row r="187" spans="1:8" hidden="1" x14ac:dyDescent="0.3">
      <c r="A187" t="s">
        <v>106</v>
      </c>
      <c r="B187" t="s">
        <v>243</v>
      </c>
      <c r="C187" t="s">
        <v>143</v>
      </c>
      <c r="D187" t="s">
        <v>245</v>
      </c>
      <c r="E187" t="s">
        <v>154</v>
      </c>
      <c r="F187">
        <v>2000000</v>
      </c>
      <c r="G187">
        <v>1900000</v>
      </c>
    </row>
    <row r="188" spans="1:8" hidden="1" x14ac:dyDescent="0.3">
      <c r="A188" t="s">
        <v>106</v>
      </c>
      <c r="B188" t="s">
        <v>243</v>
      </c>
      <c r="C188" t="s">
        <v>246</v>
      </c>
      <c r="D188" t="s">
        <v>245</v>
      </c>
      <c r="E188" t="s">
        <v>154</v>
      </c>
      <c r="F188">
        <v>52000</v>
      </c>
      <c r="G188">
        <v>50000</v>
      </c>
    </row>
    <row r="189" spans="1:8" hidden="1" x14ac:dyDescent="0.3">
      <c r="A189" t="s">
        <v>106</v>
      </c>
      <c r="B189" t="s">
        <v>243</v>
      </c>
      <c r="C189" t="s">
        <v>146</v>
      </c>
      <c r="D189" t="s">
        <v>245</v>
      </c>
      <c r="E189" t="s">
        <v>154</v>
      </c>
      <c r="F189">
        <v>420000</v>
      </c>
      <c r="G189">
        <v>450000</v>
      </c>
    </row>
    <row r="190" spans="1:8" hidden="1" x14ac:dyDescent="0.3">
      <c r="A190" t="s">
        <v>106</v>
      </c>
      <c r="B190" t="s">
        <v>243</v>
      </c>
      <c r="C190" t="s">
        <v>198</v>
      </c>
      <c r="D190" t="s">
        <v>245</v>
      </c>
      <c r="E190" t="s">
        <v>154</v>
      </c>
      <c r="F190">
        <v>67000</v>
      </c>
      <c r="G190">
        <v>65000</v>
      </c>
    </row>
    <row r="191" spans="1:8" hidden="1" x14ac:dyDescent="0.3">
      <c r="A191" t="s">
        <v>106</v>
      </c>
      <c r="B191" t="s">
        <v>243</v>
      </c>
      <c r="C191" t="s">
        <v>170</v>
      </c>
      <c r="D191" t="s">
        <v>245</v>
      </c>
      <c r="E191" t="s">
        <v>154</v>
      </c>
      <c r="F191">
        <v>71000</v>
      </c>
      <c r="G191">
        <v>72000</v>
      </c>
    </row>
    <row r="192" spans="1:8" hidden="1" x14ac:dyDescent="0.3">
      <c r="A192" t="s">
        <v>106</v>
      </c>
      <c r="B192" t="s">
        <v>243</v>
      </c>
      <c r="C192" t="s">
        <v>147</v>
      </c>
      <c r="D192" t="s">
        <v>245</v>
      </c>
      <c r="E192" t="s">
        <v>154</v>
      </c>
      <c r="F192">
        <v>48000</v>
      </c>
      <c r="G192">
        <v>46000</v>
      </c>
    </row>
    <row r="193" spans="1:7" hidden="1" x14ac:dyDescent="0.3">
      <c r="A193" t="s">
        <v>106</v>
      </c>
      <c r="B193" t="s">
        <v>243</v>
      </c>
      <c r="C193" t="s">
        <v>214</v>
      </c>
      <c r="D193" t="s">
        <v>245</v>
      </c>
      <c r="E193" t="s">
        <v>154</v>
      </c>
      <c r="F193">
        <v>51000</v>
      </c>
      <c r="G193">
        <v>52000</v>
      </c>
    </row>
    <row r="194" spans="1:7" hidden="1" x14ac:dyDescent="0.3">
      <c r="A194" t="s">
        <v>106</v>
      </c>
      <c r="B194" t="s">
        <v>243</v>
      </c>
      <c r="C194" t="s">
        <v>148</v>
      </c>
      <c r="D194" t="s">
        <v>245</v>
      </c>
      <c r="E194" t="s">
        <v>154</v>
      </c>
      <c r="F194">
        <v>48000</v>
      </c>
      <c r="G194">
        <v>48000</v>
      </c>
    </row>
    <row r="195" spans="1:7" hidden="1" x14ac:dyDescent="0.3">
      <c r="A195" t="s">
        <v>106</v>
      </c>
      <c r="B195" t="s">
        <v>243</v>
      </c>
      <c r="C195" t="s">
        <v>160</v>
      </c>
      <c r="D195" t="s">
        <v>245</v>
      </c>
      <c r="E195" t="s">
        <v>154</v>
      </c>
      <c r="F195">
        <v>63000</v>
      </c>
      <c r="G195">
        <v>65000</v>
      </c>
    </row>
    <row r="196" spans="1:7" hidden="1" x14ac:dyDescent="0.3">
      <c r="A196" t="s">
        <v>106</v>
      </c>
      <c r="B196" t="s">
        <v>243</v>
      </c>
      <c r="C196" t="s">
        <v>201</v>
      </c>
      <c r="D196" t="s">
        <v>245</v>
      </c>
      <c r="E196" t="s">
        <v>154</v>
      </c>
      <c r="F196">
        <v>49000</v>
      </c>
      <c r="G196">
        <v>50000</v>
      </c>
    </row>
    <row r="197" spans="1:7" hidden="1" x14ac:dyDescent="0.3">
      <c r="A197" t="s">
        <v>106</v>
      </c>
      <c r="B197" t="s">
        <v>243</v>
      </c>
      <c r="C197" t="s">
        <v>176</v>
      </c>
      <c r="D197" t="s">
        <v>245</v>
      </c>
      <c r="E197" t="s">
        <v>154</v>
      </c>
      <c r="F197">
        <v>81000</v>
      </c>
      <c r="G197">
        <v>82000</v>
      </c>
    </row>
    <row r="198" spans="1:7" hidden="1" x14ac:dyDescent="0.3">
      <c r="A198" t="s">
        <v>106</v>
      </c>
      <c r="B198" t="s">
        <v>243</v>
      </c>
      <c r="C198" t="s">
        <v>177</v>
      </c>
      <c r="D198" t="s">
        <v>245</v>
      </c>
      <c r="E198" t="s">
        <v>154</v>
      </c>
      <c r="F198">
        <v>110000</v>
      </c>
      <c r="G198">
        <v>110000</v>
      </c>
    </row>
    <row r="199" spans="1:7" hidden="1" x14ac:dyDescent="0.3">
      <c r="A199" t="s">
        <v>106</v>
      </c>
      <c r="B199" t="s">
        <v>243</v>
      </c>
      <c r="C199" t="s">
        <v>247</v>
      </c>
      <c r="D199" t="s">
        <v>245</v>
      </c>
      <c r="E199" t="s">
        <v>154</v>
      </c>
      <c r="F199">
        <v>850000</v>
      </c>
      <c r="G199">
        <v>860000</v>
      </c>
    </row>
    <row r="200" spans="1:7" x14ac:dyDescent="0.3">
      <c r="A200" t="s">
        <v>106</v>
      </c>
      <c r="B200" t="s">
        <v>243</v>
      </c>
      <c r="C200" t="s">
        <v>152</v>
      </c>
      <c r="D200" t="s">
        <v>245</v>
      </c>
      <c r="E200" t="s">
        <v>154</v>
      </c>
      <c r="F200" s="3">
        <v>4100000</v>
      </c>
      <c r="G200" s="3">
        <v>4000000</v>
      </c>
    </row>
    <row r="201" spans="1:7" hidden="1" x14ac:dyDescent="0.3">
      <c r="A201" t="s">
        <v>106</v>
      </c>
      <c r="B201" t="s">
        <v>243</v>
      </c>
      <c r="C201" t="s">
        <v>244</v>
      </c>
      <c r="D201" t="s">
        <v>248</v>
      </c>
      <c r="E201" t="s">
        <v>154</v>
      </c>
      <c r="F201">
        <v>100000</v>
      </c>
      <c r="G201">
        <v>100000</v>
      </c>
    </row>
    <row r="202" spans="1:7" hidden="1" x14ac:dyDescent="0.3">
      <c r="A202" t="s">
        <v>106</v>
      </c>
      <c r="B202" t="s">
        <v>243</v>
      </c>
      <c r="C202" t="s">
        <v>142</v>
      </c>
      <c r="D202" t="s">
        <v>248</v>
      </c>
      <c r="E202" t="s">
        <v>154</v>
      </c>
      <c r="F202">
        <v>60000</v>
      </c>
      <c r="G202">
        <v>60000</v>
      </c>
    </row>
    <row r="203" spans="1:7" hidden="1" x14ac:dyDescent="0.3">
      <c r="A203" t="s">
        <v>106</v>
      </c>
      <c r="B203" t="s">
        <v>243</v>
      </c>
      <c r="C203" t="s">
        <v>143</v>
      </c>
      <c r="D203" t="s">
        <v>248</v>
      </c>
      <c r="E203" t="s">
        <v>154</v>
      </c>
      <c r="F203">
        <v>2000000</v>
      </c>
      <c r="G203">
        <v>1900000</v>
      </c>
    </row>
    <row r="204" spans="1:7" hidden="1" x14ac:dyDescent="0.3">
      <c r="A204" t="s">
        <v>106</v>
      </c>
      <c r="B204" t="s">
        <v>243</v>
      </c>
      <c r="C204" t="s">
        <v>246</v>
      </c>
      <c r="D204" t="s">
        <v>248</v>
      </c>
      <c r="E204" t="s">
        <v>154</v>
      </c>
      <c r="F204">
        <v>60000</v>
      </c>
      <c r="G204">
        <v>60000</v>
      </c>
    </row>
    <row r="205" spans="1:7" hidden="1" x14ac:dyDescent="0.3">
      <c r="A205" t="s">
        <v>106</v>
      </c>
      <c r="B205" t="s">
        <v>243</v>
      </c>
      <c r="C205" t="s">
        <v>146</v>
      </c>
      <c r="D205" t="s">
        <v>248</v>
      </c>
      <c r="E205" t="s">
        <v>154</v>
      </c>
      <c r="F205">
        <v>300000</v>
      </c>
      <c r="G205">
        <v>380000</v>
      </c>
    </row>
    <row r="206" spans="1:7" hidden="1" x14ac:dyDescent="0.3">
      <c r="A206" t="s">
        <v>106</v>
      </c>
      <c r="B206" t="s">
        <v>243</v>
      </c>
      <c r="C206" t="s">
        <v>198</v>
      </c>
      <c r="D206" t="s">
        <v>248</v>
      </c>
      <c r="E206" t="s">
        <v>154</v>
      </c>
      <c r="F206">
        <v>79000</v>
      </c>
      <c r="G206">
        <v>79000</v>
      </c>
    </row>
    <row r="207" spans="1:7" hidden="1" x14ac:dyDescent="0.3">
      <c r="A207" t="s">
        <v>106</v>
      </c>
      <c r="B207" t="s">
        <v>243</v>
      </c>
      <c r="C207" t="s">
        <v>170</v>
      </c>
      <c r="D207" t="s">
        <v>248</v>
      </c>
      <c r="E207" t="s">
        <v>154</v>
      </c>
      <c r="F207">
        <v>81000</v>
      </c>
      <c r="G207">
        <v>85000</v>
      </c>
    </row>
    <row r="208" spans="1:7" hidden="1" x14ac:dyDescent="0.3">
      <c r="A208" t="s">
        <v>106</v>
      </c>
      <c r="B208" t="s">
        <v>243</v>
      </c>
      <c r="C208" t="s">
        <v>147</v>
      </c>
      <c r="D208" t="s">
        <v>248</v>
      </c>
      <c r="E208" t="s">
        <v>154</v>
      </c>
      <c r="F208">
        <v>54000</v>
      </c>
      <c r="G208">
        <v>50000</v>
      </c>
    </row>
    <row r="209" spans="1:13" hidden="1" x14ac:dyDescent="0.3">
      <c r="A209" t="s">
        <v>106</v>
      </c>
      <c r="B209" t="s">
        <v>243</v>
      </c>
      <c r="C209" t="s">
        <v>214</v>
      </c>
      <c r="D209" t="s">
        <v>248</v>
      </c>
      <c r="E209" t="s">
        <v>154</v>
      </c>
      <c r="F209">
        <v>62000</v>
      </c>
      <c r="G209">
        <v>62000</v>
      </c>
    </row>
    <row r="210" spans="1:13" hidden="1" x14ac:dyDescent="0.3">
      <c r="A210" t="s">
        <v>106</v>
      </c>
      <c r="B210" t="s">
        <v>243</v>
      </c>
      <c r="C210" t="s">
        <v>148</v>
      </c>
      <c r="D210" t="s">
        <v>248</v>
      </c>
      <c r="E210" t="s">
        <v>154</v>
      </c>
      <c r="F210">
        <v>42000</v>
      </c>
      <c r="G210">
        <v>42000</v>
      </c>
    </row>
    <row r="211" spans="1:13" hidden="1" x14ac:dyDescent="0.3">
      <c r="A211" t="s">
        <v>106</v>
      </c>
      <c r="B211" t="s">
        <v>243</v>
      </c>
      <c r="C211" t="s">
        <v>160</v>
      </c>
      <c r="D211" t="s">
        <v>248</v>
      </c>
      <c r="E211" t="s">
        <v>154</v>
      </c>
      <c r="F211">
        <v>80000</v>
      </c>
      <c r="G211">
        <v>80000</v>
      </c>
    </row>
    <row r="212" spans="1:13" hidden="1" x14ac:dyDescent="0.3">
      <c r="A212" t="s">
        <v>106</v>
      </c>
      <c r="B212" t="s">
        <v>243</v>
      </c>
      <c r="C212" t="s">
        <v>201</v>
      </c>
      <c r="D212" t="s">
        <v>248</v>
      </c>
      <c r="E212" t="s">
        <v>154</v>
      </c>
      <c r="F212">
        <v>75000</v>
      </c>
      <c r="G212">
        <v>75000</v>
      </c>
    </row>
    <row r="213" spans="1:13" hidden="1" x14ac:dyDescent="0.3">
      <c r="A213" t="s">
        <v>106</v>
      </c>
      <c r="B213" t="s">
        <v>243</v>
      </c>
      <c r="C213" t="s">
        <v>176</v>
      </c>
      <c r="D213" t="s">
        <v>248</v>
      </c>
      <c r="E213" t="s">
        <v>154</v>
      </c>
      <c r="F213">
        <v>92000</v>
      </c>
      <c r="G213">
        <v>92000</v>
      </c>
    </row>
    <row r="214" spans="1:13" hidden="1" x14ac:dyDescent="0.3">
      <c r="A214" t="s">
        <v>106</v>
      </c>
      <c r="B214" t="s">
        <v>243</v>
      </c>
      <c r="C214" t="s">
        <v>177</v>
      </c>
      <c r="D214" t="s">
        <v>248</v>
      </c>
      <c r="E214" t="s">
        <v>154</v>
      </c>
      <c r="F214">
        <v>110000</v>
      </c>
      <c r="G214">
        <v>110000</v>
      </c>
    </row>
    <row r="215" spans="1:13" hidden="1" x14ac:dyDescent="0.3">
      <c r="A215" t="s">
        <v>106</v>
      </c>
      <c r="B215" t="s">
        <v>243</v>
      </c>
      <c r="C215" t="s">
        <v>247</v>
      </c>
      <c r="D215" t="s">
        <v>248</v>
      </c>
      <c r="E215" t="s">
        <v>154</v>
      </c>
      <c r="F215">
        <v>600000</v>
      </c>
      <c r="G215">
        <v>650000</v>
      </c>
    </row>
    <row r="216" spans="1:13" x14ac:dyDescent="0.3">
      <c r="A216" t="s">
        <v>106</v>
      </c>
      <c r="B216" t="s">
        <v>243</v>
      </c>
      <c r="C216" t="s">
        <v>152</v>
      </c>
      <c r="D216" t="s">
        <v>248</v>
      </c>
      <c r="E216" t="s">
        <v>154</v>
      </c>
      <c r="F216" s="3">
        <v>3800000</v>
      </c>
      <c r="G216" s="3">
        <v>3800000</v>
      </c>
    </row>
    <row r="217" spans="1:13" hidden="1" x14ac:dyDescent="0.3">
      <c r="A217" t="s">
        <v>106</v>
      </c>
      <c r="B217" t="s">
        <v>5</v>
      </c>
      <c r="C217" t="s">
        <v>134</v>
      </c>
      <c r="D217" t="s">
        <v>249</v>
      </c>
      <c r="E217" t="s">
        <v>154</v>
      </c>
      <c r="L217">
        <v>630</v>
      </c>
      <c r="M217" t="s">
        <v>250</v>
      </c>
    </row>
    <row r="218" spans="1:13" hidden="1" x14ac:dyDescent="0.3">
      <c r="A218" t="s">
        <v>106</v>
      </c>
      <c r="B218" t="s">
        <v>5</v>
      </c>
      <c r="C218" t="s">
        <v>142</v>
      </c>
      <c r="D218" t="s">
        <v>249</v>
      </c>
      <c r="E218" t="s">
        <v>154</v>
      </c>
      <c r="F218">
        <v>1420</v>
      </c>
      <c r="G218">
        <v>1400</v>
      </c>
      <c r="L218">
        <v>6600</v>
      </c>
    </row>
    <row r="219" spans="1:13" hidden="1" x14ac:dyDescent="0.3">
      <c r="A219" t="s">
        <v>106</v>
      </c>
      <c r="B219" t="s">
        <v>5</v>
      </c>
      <c r="C219" t="s">
        <v>251</v>
      </c>
      <c r="D219" t="s">
        <v>249</v>
      </c>
      <c r="E219" t="s">
        <v>154</v>
      </c>
      <c r="F219">
        <v>1910</v>
      </c>
      <c r="G219">
        <v>1900</v>
      </c>
      <c r="L219">
        <v>8300</v>
      </c>
    </row>
    <row r="220" spans="1:13" hidden="1" x14ac:dyDescent="0.3">
      <c r="A220" t="s">
        <v>106</v>
      </c>
      <c r="B220" t="s">
        <v>5</v>
      </c>
      <c r="C220" t="s">
        <v>146</v>
      </c>
      <c r="D220" t="s">
        <v>249</v>
      </c>
      <c r="E220" t="s">
        <v>154</v>
      </c>
      <c r="F220">
        <v>4100</v>
      </c>
      <c r="G220">
        <v>4100</v>
      </c>
      <c r="H220" t="s">
        <v>157</v>
      </c>
      <c r="L220">
        <v>79000</v>
      </c>
    </row>
    <row r="221" spans="1:13" hidden="1" x14ac:dyDescent="0.3">
      <c r="A221" t="s">
        <v>106</v>
      </c>
      <c r="B221" t="s">
        <v>5</v>
      </c>
      <c r="C221" t="s">
        <v>171</v>
      </c>
      <c r="D221" t="s">
        <v>249</v>
      </c>
      <c r="E221" t="s">
        <v>154</v>
      </c>
      <c r="F221">
        <v>6000</v>
      </c>
      <c r="G221">
        <v>6500</v>
      </c>
      <c r="H221" t="s">
        <v>157</v>
      </c>
      <c r="L221">
        <v>320000</v>
      </c>
    </row>
    <row r="222" spans="1:13" hidden="1" x14ac:dyDescent="0.3">
      <c r="A222" t="s">
        <v>106</v>
      </c>
      <c r="B222" t="s">
        <v>5</v>
      </c>
      <c r="C222" t="s">
        <v>252</v>
      </c>
      <c r="D222" t="s">
        <v>249</v>
      </c>
      <c r="E222" t="s">
        <v>154</v>
      </c>
      <c r="F222">
        <v>19700</v>
      </c>
      <c r="G222">
        <v>21000</v>
      </c>
      <c r="L222">
        <v>200000</v>
      </c>
    </row>
    <row r="223" spans="1:13" hidden="1" x14ac:dyDescent="0.3">
      <c r="A223" t="s">
        <v>106</v>
      </c>
      <c r="B223" t="s">
        <v>5</v>
      </c>
      <c r="C223" t="s">
        <v>176</v>
      </c>
      <c r="D223" t="s">
        <v>249</v>
      </c>
      <c r="E223" t="s">
        <v>154</v>
      </c>
      <c r="F223">
        <v>8160</v>
      </c>
      <c r="G223">
        <v>8000</v>
      </c>
      <c r="L223">
        <v>27000</v>
      </c>
    </row>
    <row r="224" spans="1:13" hidden="1" x14ac:dyDescent="0.3">
      <c r="A224" t="s">
        <v>106</v>
      </c>
      <c r="B224" t="s">
        <v>5</v>
      </c>
      <c r="C224" t="s">
        <v>253</v>
      </c>
      <c r="D224" t="s">
        <v>249</v>
      </c>
      <c r="E224" t="s">
        <v>154</v>
      </c>
      <c r="F224">
        <v>1070</v>
      </c>
      <c r="G224">
        <v>1100</v>
      </c>
      <c r="L224">
        <v>540000</v>
      </c>
    </row>
    <row r="225" spans="1:13" hidden="1" x14ac:dyDescent="0.3">
      <c r="A225" t="s">
        <v>106</v>
      </c>
      <c r="B225" t="s">
        <v>5</v>
      </c>
      <c r="C225" t="s">
        <v>151</v>
      </c>
      <c r="D225" t="s">
        <v>249</v>
      </c>
      <c r="E225" t="s">
        <v>154</v>
      </c>
      <c r="F225">
        <v>2880</v>
      </c>
      <c r="G225">
        <v>2900</v>
      </c>
      <c r="M225" t="s">
        <v>169</v>
      </c>
    </row>
    <row r="226" spans="1:13" x14ac:dyDescent="0.3">
      <c r="A226" t="s">
        <v>106</v>
      </c>
      <c r="B226" t="s">
        <v>5</v>
      </c>
      <c r="C226" t="s">
        <v>152</v>
      </c>
      <c r="D226" t="s">
        <v>249</v>
      </c>
      <c r="E226" t="s">
        <v>154</v>
      </c>
      <c r="F226" s="3">
        <v>45200</v>
      </c>
      <c r="G226" s="3">
        <v>47000</v>
      </c>
      <c r="L226" t="s">
        <v>254</v>
      </c>
    </row>
    <row r="227" spans="1:13" hidden="1" x14ac:dyDescent="0.3">
      <c r="A227" t="s">
        <v>106</v>
      </c>
      <c r="B227" t="s">
        <v>255</v>
      </c>
      <c r="C227" t="s">
        <v>134</v>
      </c>
      <c r="D227" t="s">
        <v>256</v>
      </c>
      <c r="E227" t="s">
        <v>154</v>
      </c>
      <c r="F227">
        <v>4360</v>
      </c>
      <c r="G227">
        <v>4800</v>
      </c>
    </row>
    <row r="228" spans="1:13" hidden="1" x14ac:dyDescent="0.3">
      <c r="A228" t="s">
        <v>106</v>
      </c>
      <c r="B228" t="s">
        <v>255</v>
      </c>
      <c r="C228" t="s">
        <v>257</v>
      </c>
      <c r="D228" t="s">
        <v>256</v>
      </c>
      <c r="E228" t="s">
        <v>154</v>
      </c>
      <c r="F228">
        <v>386</v>
      </c>
      <c r="G228">
        <v>390</v>
      </c>
    </row>
    <row r="229" spans="1:13" hidden="1" x14ac:dyDescent="0.3">
      <c r="A229" t="s">
        <v>106</v>
      </c>
      <c r="B229" t="s">
        <v>255</v>
      </c>
      <c r="C229" t="s">
        <v>143</v>
      </c>
      <c r="D229" t="s">
        <v>256</v>
      </c>
      <c r="E229" t="s">
        <v>154</v>
      </c>
      <c r="F229">
        <v>2100</v>
      </c>
      <c r="G229">
        <v>2100</v>
      </c>
      <c r="H229" t="s">
        <v>157</v>
      </c>
    </row>
    <row r="230" spans="1:13" hidden="1" x14ac:dyDescent="0.3">
      <c r="A230" t="s">
        <v>106</v>
      </c>
      <c r="B230" t="s">
        <v>255</v>
      </c>
      <c r="C230" t="s">
        <v>258</v>
      </c>
      <c r="D230" t="s">
        <v>256</v>
      </c>
      <c r="E230" t="s">
        <v>154</v>
      </c>
      <c r="F230">
        <v>196</v>
      </c>
      <c r="G230">
        <v>200</v>
      </c>
    </row>
    <row r="231" spans="1:13" hidden="1" x14ac:dyDescent="0.3">
      <c r="A231" t="s">
        <v>106</v>
      </c>
      <c r="B231" t="s">
        <v>255</v>
      </c>
      <c r="C231" t="s">
        <v>259</v>
      </c>
      <c r="D231" t="s">
        <v>256</v>
      </c>
      <c r="E231" t="s">
        <v>154</v>
      </c>
      <c r="F231">
        <v>925</v>
      </c>
      <c r="G231">
        <v>930</v>
      </c>
      <c r="H231" t="s">
        <v>157</v>
      </c>
    </row>
    <row r="232" spans="1:13" hidden="1" x14ac:dyDescent="0.3">
      <c r="A232" t="s">
        <v>106</v>
      </c>
      <c r="B232" t="s">
        <v>255</v>
      </c>
      <c r="C232" t="s">
        <v>196</v>
      </c>
      <c r="D232" t="s">
        <v>256</v>
      </c>
      <c r="E232" t="s">
        <v>154</v>
      </c>
      <c r="F232">
        <v>1100</v>
      </c>
      <c r="G232">
        <v>1100</v>
      </c>
      <c r="H232" t="s">
        <v>260</v>
      </c>
    </row>
    <row r="233" spans="1:13" hidden="1" x14ac:dyDescent="0.3">
      <c r="A233" t="s">
        <v>106</v>
      </c>
      <c r="B233" t="s">
        <v>255</v>
      </c>
      <c r="C233" t="s">
        <v>146</v>
      </c>
      <c r="D233" t="s">
        <v>256</v>
      </c>
      <c r="E233" t="s">
        <v>154</v>
      </c>
      <c r="F233">
        <v>3700</v>
      </c>
      <c r="G233">
        <v>3700</v>
      </c>
      <c r="H233" t="s">
        <v>157</v>
      </c>
    </row>
    <row r="234" spans="1:13" hidden="1" x14ac:dyDescent="0.3">
      <c r="A234" t="s">
        <v>106</v>
      </c>
      <c r="B234" t="s">
        <v>255</v>
      </c>
      <c r="C234" t="s">
        <v>170</v>
      </c>
      <c r="D234" t="s">
        <v>256</v>
      </c>
      <c r="E234" t="s">
        <v>154</v>
      </c>
      <c r="F234">
        <v>850</v>
      </c>
      <c r="G234">
        <v>850</v>
      </c>
      <c r="H234" t="s">
        <v>157</v>
      </c>
    </row>
    <row r="235" spans="1:13" hidden="1" x14ac:dyDescent="0.3">
      <c r="A235" t="s">
        <v>106</v>
      </c>
      <c r="B235" t="s">
        <v>255</v>
      </c>
      <c r="C235" t="s">
        <v>148</v>
      </c>
      <c r="D235" t="s">
        <v>256</v>
      </c>
      <c r="E235" t="s">
        <v>154</v>
      </c>
      <c r="F235">
        <v>79</v>
      </c>
      <c r="G235">
        <v>80</v>
      </c>
      <c r="H235" t="s">
        <v>157</v>
      </c>
    </row>
    <row r="236" spans="1:13" hidden="1" x14ac:dyDescent="0.3">
      <c r="A236" t="s">
        <v>106</v>
      </c>
      <c r="B236" t="s">
        <v>255</v>
      </c>
      <c r="C236" t="s">
        <v>160</v>
      </c>
      <c r="D236" t="s">
        <v>256</v>
      </c>
      <c r="E236" t="s">
        <v>154</v>
      </c>
      <c r="F236">
        <v>36</v>
      </c>
      <c r="G236">
        <v>40</v>
      </c>
      <c r="H236" t="s">
        <v>157</v>
      </c>
    </row>
    <row r="237" spans="1:13" hidden="1" x14ac:dyDescent="0.3">
      <c r="A237" t="s">
        <v>106</v>
      </c>
      <c r="B237" t="s">
        <v>255</v>
      </c>
      <c r="C237" t="s">
        <v>261</v>
      </c>
      <c r="D237" t="s">
        <v>256</v>
      </c>
      <c r="E237" t="s">
        <v>154</v>
      </c>
    </row>
    <row r="238" spans="1:13" hidden="1" x14ac:dyDescent="0.3">
      <c r="A238" t="s">
        <v>106</v>
      </c>
      <c r="B238" t="s">
        <v>255</v>
      </c>
      <c r="C238" t="s">
        <v>202</v>
      </c>
      <c r="D238" t="s">
        <v>256</v>
      </c>
      <c r="E238" t="s">
        <v>154</v>
      </c>
      <c r="F238">
        <v>118</v>
      </c>
      <c r="G238">
        <v>120</v>
      </c>
    </row>
    <row r="239" spans="1:13" hidden="1" x14ac:dyDescent="0.3">
      <c r="A239" t="s">
        <v>106</v>
      </c>
      <c r="B239" t="s">
        <v>255</v>
      </c>
      <c r="C239" t="s">
        <v>176</v>
      </c>
      <c r="D239" t="s">
        <v>256</v>
      </c>
      <c r="E239" t="s">
        <v>154</v>
      </c>
      <c r="F239">
        <v>2490</v>
      </c>
      <c r="G239">
        <v>2500</v>
      </c>
    </row>
    <row r="240" spans="1:13" hidden="1" x14ac:dyDescent="0.3">
      <c r="A240" t="s">
        <v>106</v>
      </c>
      <c r="B240" t="s">
        <v>255</v>
      </c>
      <c r="C240" t="s">
        <v>242</v>
      </c>
      <c r="D240" t="s">
        <v>256</v>
      </c>
      <c r="E240" t="s">
        <v>154</v>
      </c>
      <c r="F240">
        <v>60</v>
      </c>
      <c r="G240">
        <v>60</v>
      </c>
      <c r="H240" t="s">
        <v>157</v>
      </c>
    </row>
    <row r="241" spans="1:8" hidden="1" x14ac:dyDescent="0.3">
      <c r="A241" t="s">
        <v>106</v>
      </c>
      <c r="B241" t="s">
        <v>255</v>
      </c>
      <c r="C241" t="s">
        <v>151</v>
      </c>
      <c r="D241" t="s">
        <v>256</v>
      </c>
      <c r="E241" t="s">
        <v>154</v>
      </c>
      <c r="F241">
        <v>3870</v>
      </c>
      <c r="G241">
        <v>3900</v>
      </c>
    </row>
    <row r="242" spans="1:8" x14ac:dyDescent="0.3">
      <c r="A242" t="s">
        <v>106</v>
      </c>
      <c r="B242" t="s">
        <v>255</v>
      </c>
      <c r="C242" t="s">
        <v>152</v>
      </c>
      <c r="D242" t="s">
        <v>256</v>
      </c>
      <c r="E242" t="s">
        <v>154</v>
      </c>
      <c r="F242" s="3">
        <v>20300</v>
      </c>
      <c r="G242" s="3">
        <v>21000</v>
      </c>
    </row>
    <row r="243" spans="1:8" hidden="1" x14ac:dyDescent="0.3">
      <c r="A243" t="s">
        <v>106</v>
      </c>
      <c r="B243" t="s">
        <v>255</v>
      </c>
      <c r="C243" t="s">
        <v>134</v>
      </c>
      <c r="D243" t="s">
        <v>262</v>
      </c>
      <c r="E243" t="s">
        <v>154</v>
      </c>
      <c r="F243">
        <v>2260</v>
      </c>
      <c r="G243">
        <v>2400</v>
      </c>
      <c r="H243" t="s">
        <v>263</v>
      </c>
    </row>
    <row r="244" spans="1:8" hidden="1" x14ac:dyDescent="0.3">
      <c r="A244" t="s">
        <v>106</v>
      </c>
      <c r="B244" t="s">
        <v>255</v>
      </c>
      <c r="C244" t="s">
        <v>196</v>
      </c>
      <c r="D244" t="s">
        <v>262</v>
      </c>
      <c r="E244" t="s">
        <v>154</v>
      </c>
      <c r="F244">
        <v>49</v>
      </c>
      <c r="G244">
        <v>50</v>
      </c>
    </row>
    <row r="245" spans="1:8" hidden="1" x14ac:dyDescent="0.3">
      <c r="A245" t="s">
        <v>106</v>
      </c>
      <c r="B245" t="s">
        <v>255</v>
      </c>
      <c r="C245" t="s">
        <v>146</v>
      </c>
      <c r="D245" t="s">
        <v>262</v>
      </c>
      <c r="E245" t="s">
        <v>154</v>
      </c>
      <c r="F245">
        <v>730</v>
      </c>
      <c r="G245">
        <v>730</v>
      </c>
      <c r="H245" t="s">
        <v>157</v>
      </c>
    </row>
    <row r="246" spans="1:8" hidden="1" x14ac:dyDescent="0.3">
      <c r="A246" t="s">
        <v>106</v>
      </c>
      <c r="B246" t="s">
        <v>255</v>
      </c>
      <c r="C246" t="s">
        <v>148</v>
      </c>
      <c r="D246" t="s">
        <v>262</v>
      </c>
      <c r="E246" t="s">
        <v>154</v>
      </c>
      <c r="F246">
        <v>120</v>
      </c>
      <c r="G246">
        <v>120</v>
      </c>
    </row>
    <row r="247" spans="1:8" hidden="1" x14ac:dyDescent="0.3">
      <c r="A247" t="s">
        <v>106</v>
      </c>
      <c r="B247" t="s">
        <v>255</v>
      </c>
      <c r="C247" t="s">
        <v>261</v>
      </c>
      <c r="D247" t="s">
        <v>262</v>
      </c>
      <c r="E247" t="s">
        <v>154</v>
      </c>
      <c r="F247">
        <v>150</v>
      </c>
      <c r="G247">
        <v>150</v>
      </c>
      <c r="H247" t="s">
        <v>157</v>
      </c>
    </row>
    <row r="248" spans="1:8" hidden="1" x14ac:dyDescent="0.3">
      <c r="A248" t="s">
        <v>106</v>
      </c>
      <c r="B248" t="s">
        <v>255</v>
      </c>
      <c r="C248" t="s">
        <v>202</v>
      </c>
      <c r="D248" t="s">
        <v>262</v>
      </c>
      <c r="E248" t="s">
        <v>154</v>
      </c>
      <c r="F248">
        <v>620</v>
      </c>
      <c r="G248">
        <v>620</v>
      </c>
    </row>
    <row r="249" spans="1:8" hidden="1" x14ac:dyDescent="0.3">
      <c r="A249" t="s">
        <v>106</v>
      </c>
      <c r="B249" t="s">
        <v>255</v>
      </c>
      <c r="C249" t="s">
        <v>176</v>
      </c>
      <c r="D249" t="s">
        <v>262</v>
      </c>
      <c r="E249" t="s">
        <v>154</v>
      </c>
      <c r="F249">
        <v>74</v>
      </c>
      <c r="G249">
        <v>70</v>
      </c>
    </row>
    <row r="250" spans="1:8" hidden="1" x14ac:dyDescent="0.3">
      <c r="A250" t="s">
        <v>106</v>
      </c>
      <c r="B250" t="s">
        <v>255</v>
      </c>
      <c r="C250" t="s">
        <v>151</v>
      </c>
      <c r="D250" t="s">
        <v>262</v>
      </c>
      <c r="E250" t="s">
        <v>154</v>
      </c>
      <c r="F250">
        <v>195</v>
      </c>
      <c r="G250">
        <v>190</v>
      </c>
    </row>
    <row r="251" spans="1:8" x14ac:dyDescent="0.3">
      <c r="A251" t="s">
        <v>106</v>
      </c>
      <c r="B251" t="s">
        <v>255</v>
      </c>
      <c r="C251" t="s">
        <v>152</v>
      </c>
      <c r="D251" t="s">
        <v>262</v>
      </c>
      <c r="E251" t="s">
        <v>154</v>
      </c>
      <c r="F251" s="3">
        <v>4200</v>
      </c>
      <c r="G251" s="3">
        <v>4300</v>
      </c>
    </row>
    <row r="252" spans="1:8" hidden="1" x14ac:dyDescent="0.3">
      <c r="A252" t="s">
        <v>106</v>
      </c>
      <c r="B252" t="s">
        <v>255</v>
      </c>
      <c r="C252" t="s">
        <v>134</v>
      </c>
      <c r="D252" t="s">
        <v>264</v>
      </c>
      <c r="E252" t="s">
        <v>154</v>
      </c>
      <c r="F252">
        <v>4560</v>
      </c>
      <c r="G252">
        <v>4500</v>
      </c>
      <c r="H252" t="s">
        <v>157</v>
      </c>
    </row>
    <row r="253" spans="1:8" hidden="1" x14ac:dyDescent="0.3">
      <c r="A253" t="s">
        <v>106</v>
      </c>
      <c r="B253" t="s">
        <v>255</v>
      </c>
      <c r="C253" t="s">
        <v>257</v>
      </c>
      <c r="D253" t="s">
        <v>264</v>
      </c>
      <c r="E253" t="s">
        <v>154</v>
      </c>
      <c r="F253">
        <v>828</v>
      </c>
      <c r="G253">
        <v>830</v>
      </c>
    </row>
    <row r="254" spans="1:8" hidden="1" x14ac:dyDescent="0.3">
      <c r="A254" t="s">
        <v>106</v>
      </c>
      <c r="B254" t="s">
        <v>255</v>
      </c>
      <c r="C254" t="s">
        <v>143</v>
      </c>
      <c r="D254" t="s">
        <v>264</v>
      </c>
      <c r="E254" t="s">
        <v>154</v>
      </c>
      <c r="F254">
        <v>7800</v>
      </c>
      <c r="G254">
        <v>7800</v>
      </c>
      <c r="H254" t="s">
        <v>157</v>
      </c>
    </row>
    <row r="255" spans="1:8" hidden="1" x14ac:dyDescent="0.3">
      <c r="A255" t="s">
        <v>106</v>
      </c>
      <c r="B255" t="s">
        <v>255</v>
      </c>
      <c r="C255" t="s">
        <v>258</v>
      </c>
      <c r="D255" t="s">
        <v>264</v>
      </c>
      <c r="E255" t="s">
        <v>154</v>
      </c>
      <c r="F255">
        <v>2400</v>
      </c>
      <c r="G255">
        <v>2400</v>
      </c>
      <c r="H255" t="s">
        <v>260</v>
      </c>
    </row>
    <row r="256" spans="1:8" hidden="1" x14ac:dyDescent="0.3">
      <c r="A256" t="s">
        <v>106</v>
      </c>
      <c r="B256" t="s">
        <v>255</v>
      </c>
      <c r="C256" t="s">
        <v>146</v>
      </c>
      <c r="D256" t="s">
        <v>264</v>
      </c>
      <c r="E256" t="s">
        <v>154</v>
      </c>
      <c r="F256">
        <v>8400</v>
      </c>
      <c r="G256">
        <v>8400</v>
      </c>
      <c r="H256" t="s">
        <v>260</v>
      </c>
    </row>
    <row r="257" spans="1:13" hidden="1" x14ac:dyDescent="0.3">
      <c r="A257" t="s">
        <v>106</v>
      </c>
      <c r="B257" t="s">
        <v>255</v>
      </c>
      <c r="C257" t="s">
        <v>170</v>
      </c>
      <c r="D257" t="s">
        <v>264</v>
      </c>
      <c r="E257" t="s">
        <v>154</v>
      </c>
      <c r="F257">
        <v>2100</v>
      </c>
      <c r="G257">
        <v>2100</v>
      </c>
      <c r="H257" t="s">
        <v>157</v>
      </c>
    </row>
    <row r="258" spans="1:13" hidden="1" x14ac:dyDescent="0.3">
      <c r="A258" t="s">
        <v>106</v>
      </c>
      <c r="B258" t="s">
        <v>255</v>
      </c>
      <c r="C258" t="s">
        <v>148</v>
      </c>
      <c r="D258" t="s">
        <v>264</v>
      </c>
      <c r="E258" t="s">
        <v>154</v>
      </c>
      <c r="F258">
        <v>230</v>
      </c>
      <c r="G258">
        <v>230</v>
      </c>
      <c r="H258" t="s">
        <v>157</v>
      </c>
    </row>
    <row r="259" spans="1:13" hidden="1" x14ac:dyDescent="0.3">
      <c r="A259" t="s">
        <v>106</v>
      </c>
      <c r="B259" t="s">
        <v>255</v>
      </c>
      <c r="C259" t="s">
        <v>160</v>
      </c>
      <c r="D259" t="s">
        <v>264</v>
      </c>
      <c r="E259" t="s">
        <v>154</v>
      </c>
      <c r="F259">
        <v>2500</v>
      </c>
      <c r="G259">
        <v>2500</v>
      </c>
      <c r="H259" t="s">
        <v>157</v>
      </c>
    </row>
    <row r="260" spans="1:13" hidden="1" x14ac:dyDescent="0.3">
      <c r="A260" t="s">
        <v>106</v>
      </c>
      <c r="B260" t="s">
        <v>255</v>
      </c>
      <c r="C260" t="s">
        <v>202</v>
      </c>
      <c r="D260" t="s">
        <v>264</v>
      </c>
      <c r="E260" t="s">
        <v>154</v>
      </c>
      <c r="F260">
        <v>280</v>
      </c>
      <c r="G260">
        <v>280</v>
      </c>
      <c r="H260" t="s">
        <v>265</v>
      </c>
    </row>
    <row r="261" spans="1:13" hidden="1" x14ac:dyDescent="0.3">
      <c r="A261" t="s">
        <v>106</v>
      </c>
      <c r="B261" t="s">
        <v>255</v>
      </c>
      <c r="C261" t="s">
        <v>176</v>
      </c>
      <c r="D261" t="s">
        <v>264</v>
      </c>
      <c r="E261" t="s">
        <v>154</v>
      </c>
      <c r="F261">
        <v>1350</v>
      </c>
      <c r="G261">
        <v>1300</v>
      </c>
    </row>
    <row r="262" spans="1:13" hidden="1" x14ac:dyDescent="0.3">
      <c r="A262" t="s">
        <v>106</v>
      </c>
      <c r="B262" t="s">
        <v>255</v>
      </c>
      <c r="C262" t="s">
        <v>242</v>
      </c>
      <c r="D262" t="s">
        <v>264</v>
      </c>
      <c r="E262" t="s">
        <v>154</v>
      </c>
      <c r="F262">
        <v>4000</v>
      </c>
      <c r="G262">
        <v>4000</v>
      </c>
      <c r="H262" t="s">
        <v>157</v>
      </c>
    </row>
    <row r="263" spans="1:13" hidden="1" x14ac:dyDescent="0.3">
      <c r="A263" t="s">
        <v>106</v>
      </c>
      <c r="B263" t="s">
        <v>255</v>
      </c>
      <c r="C263" t="s">
        <v>151</v>
      </c>
      <c r="D263" t="s">
        <v>264</v>
      </c>
      <c r="E263" t="s">
        <v>154</v>
      </c>
      <c r="F263">
        <v>9950</v>
      </c>
      <c r="G263">
        <v>9900</v>
      </c>
    </row>
    <row r="264" spans="1:13" x14ac:dyDescent="0.3">
      <c r="A264" t="s">
        <v>106</v>
      </c>
      <c r="B264" t="s">
        <v>255</v>
      </c>
      <c r="C264" t="s">
        <v>152</v>
      </c>
      <c r="D264" t="s">
        <v>264</v>
      </c>
      <c r="E264" t="s">
        <v>154</v>
      </c>
      <c r="F264" s="3">
        <v>44400</v>
      </c>
      <c r="G264" s="3">
        <v>4400</v>
      </c>
    </row>
    <row r="265" spans="1:13" hidden="1" x14ac:dyDescent="0.3">
      <c r="A265" t="s">
        <v>106</v>
      </c>
      <c r="B265" t="s">
        <v>6</v>
      </c>
      <c r="C265" t="s">
        <v>134</v>
      </c>
      <c r="D265" t="s">
        <v>266</v>
      </c>
      <c r="E265" t="s">
        <v>136</v>
      </c>
      <c r="F265">
        <v>500</v>
      </c>
      <c r="G265">
        <v>300</v>
      </c>
      <c r="L265">
        <v>70000</v>
      </c>
    </row>
    <row r="266" spans="1:13" hidden="1" x14ac:dyDescent="0.3">
      <c r="A266" t="s">
        <v>106</v>
      </c>
      <c r="B266" t="s">
        <v>6</v>
      </c>
      <c r="C266" t="s">
        <v>140</v>
      </c>
      <c r="D266" t="s">
        <v>267</v>
      </c>
      <c r="E266" t="s">
        <v>136</v>
      </c>
      <c r="F266">
        <v>5220</v>
      </c>
      <c r="G266">
        <v>3600</v>
      </c>
      <c r="L266">
        <v>1700000</v>
      </c>
      <c r="M266" t="s">
        <v>268</v>
      </c>
    </row>
    <row r="267" spans="1:13" hidden="1" x14ac:dyDescent="0.3">
      <c r="A267" t="s">
        <v>106</v>
      </c>
      <c r="B267" t="s">
        <v>6</v>
      </c>
      <c r="C267" t="s">
        <v>156</v>
      </c>
      <c r="D267" t="s">
        <v>267</v>
      </c>
      <c r="E267" t="s">
        <v>136</v>
      </c>
      <c r="F267">
        <v>4220</v>
      </c>
      <c r="G267">
        <v>4500</v>
      </c>
      <c r="L267">
        <v>220000</v>
      </c>
    </row>
    <row r="268" spans="1:13" hidden="1" x14ac:dyDescent="0.3">
      <c r="A268" t="s">
        <v>106</v>
      </c>
      <c r="B268" t="s">
        <v>6</v>
      </c>
      <c r="C268" t="s">
        <v>269</v>
      </c>
      <c r="D268" t="s">
        <v>267</v>
      </c>
      <c r="E268" t="s">
        <v>136</v>
      </c>
      <c r="F268">
        <v>175000</v>
      </c>
      <c r="G268">
        <v>220000</v>
      </c>
      <c r="L268">
        <v>6000000</v>
      </c>
    </row>
    <row r="269" spans="1:13" hidden="1" x14ac:dyDescent="0.3">
      <c r="A269" t="s">
        <v>106</v>
      </c>
      <c r="B269" t="s">
        <v>6</v>
      </c>
      <c r="C269" t="s">
        <v>270</v>
      </c>
      <c r="D269" t="s">
        <v>267</v>
      </c>
      <c r="E269" t="s">
        <v>136</v>
      </c>
      <c r="F269">
        <v>3300</v>
      </c>
      <c r="G269">
        <v>3500</v>
      </c>
      <c r="L269">
        <v>500000</v>
      </c>
    </row>
    <row r="270" spans="1:13" hidden="1" x14ac:dyDescent="0.3">
      <c r="A270" t="s">
        <v>106</v>
      </c>
      <c r="B270" t="s">
        <v>6</v>
      </c>
      <c r="C270" t="s">
        <v>198</v>
      </c>
      <c r="D270" t="s">
        <v>267</v>
      </c>
      <c r="E270" t="s">
        <v>136</v>
      </c>
      <c r="F270">
        <v>19000</v>
      </c>
      <c r="G270">
        <v>28000</v>
      </c>
      <c r="L270">
        <v>640000</v>
      </c>
    </row>
    <row r="271" spans="1:13" hidden="1" x14ac:dyDescent="0.3">
      <c r="A271" t="s">
        <v>106</v>
      </c>
      <c r="B271" t="s">
        <v>6</v>
      </c>
      <c r="C271" t="s">
        <v>208</v>
      </c>
      <c r="D271" t="s">
        <v>267</v>
      </c>
      <c r="E271" t="s">
        <v>136</v>
      </c>
      <c r="F271">
        <v>4000</v>
      </c>
      <c r="G271">
        <v>2600</v>
      </c>
      <c r="L271">
        <v>100000</v>
      </c>
    </row>
    <row r="272" spans="1:13" hidden="1" x14ac:dyDescent="0.3">
      <c r="A272" t="s">
        <v>106</v>
      </c>
      <c r="B272" t="s">
        <v>6</v>
      </c>
      <c r="C272" t="s">
        <v>271</v>
      </c>
      <c r="D272" t="s">
        <v>267</v>
      </c>
      <c r="E272" t="s">
        <v>136</v>
      </c>
      <c r="F272">
        <v>2570</v>
      </c>
      <c r="G272">
        <v>1500</v>
      </c>
      <c r="M272" t="s">
        <v>169</v>
      </c>
    </row>
    <row r="273" spans="1:13" hidden="1" x14ac:dyDescent="0.3">
      <c r="A273" t="s">
        <v>106</v>
      </c>
      <c r="B273" t="s">
        <v>6</v>
      </c>
      <c r="C273" t="s">
        <v>272</v>
      </c>
      <c r="D273" t="s">
        <v>267</v>
      </c>
      <c r="E273" t="s">
        <v>136</v>
      </c>
      <c r="F273">
        <v>3070</v>
      </c>
      <c r="G273">
        <v>2800</v>
      </c>
      <c r="L273">
        <v>62000</v>
      </c>
    </row>
    <row r="274" spans="1:13" hidden="1" x14ac:dyDescent="0.3">
      <c r="A274" t="s">
        <v>106</v>
      </c>
      <c r="B274" t="s">
        <v>6</v>
      </c>
      <c r="C274" t="s">
        <v>273</v>
      </c>
      <c r="D274" t="s">
        <v>267</v>
      </c>
      <c r="E274" t="s">
        <v>136</v>
      </c>
      <c r="F274">
        <v>3800</v>
      </c>
      <c r="G274">
        <v>3800</v>
      </c>
      <c r="L274">
        <v>260000</v>
      </c>
    </row>
    <row r="275" spans="1:13" hidden="1" x14ac:dyDescent="0.3">
      <c r="A275" t="s">
        <v>106</v>
      </c>
      <c r="B275" t="s">
        <v>6</v>
      </c>
      <c r="C275" t="s">
        <v>160</v>
      </c>
      <c r="D275" t="s">
        <v>267</v>
      </c>
      <c r="E275" t="s">
        <v>136</v>
      </c>
      <c r="F275">
        <v>8700</v>
      </c>
      <c r="G275">
        <v>8700</v>
      </c>
      <c r="L275">
        <v>250000</v>
      </c>
    </row>
    <row r="276" spans="1:13" hidden="1" x14ac:dyDescent="0.3">
      <c r="A276" t="s">
        <v>106</v>
      </c>
      <c r="B276" t="s">
        <v>6</v>
      </c>
      <c r="C276" t="s">
        <v>176</v>
      </c>
      <c r="D276" t="s">
        <v>267</v>
      </c>
      <c r="E276" t="s">
        <v>136</v>
      </c>
      <c r="F276">
        <v>2500</v>
      </c>
      <c r="G276">
        <v>2700</v>
      </c>
      <c r="L276">
        <v>91000</v>
      </c>
    </row>
    <row r="277" spans="1:13" hidden="1" x14ac:dyDescent="0.3">
      <c r="A277" t="s">
        <v>106</v>
      </c>
      <c r="B277" t="s">
        <v>6</v>
      </c>
      <c r="C277" t="s">
        <v>151</v>
      </c>
      <c r="D277" t="s">
        <v>267</v>
      </c>
      <c r="E277" t="s">
        <v>136</v>
      </c>
      <c r="F277">
        <v>6080</v>
      </c>
      <c r="G277">
        <v>6200</v>
      </c>
      <c r="L277">
        <v>800000</v>
      </c>
    </row>
    <row r="278" spans="1:13" x14ac:dyDescent="0.3">
      <c r="A278" t="s">
        <v>106</v>
      </c>
      <c r="B278" t="s">
        <v>6</v>
      </c>
      <c r="C278" t="s">
        <v>152</v>
      </c>
      <c r="D278" t="s">
        <v>267</v>
      </c>
      <c r="E278" t="s">
        <v>136</v>
      </c>
      <c r="F278" s="3">
        <v>238000</v>
      </c>
      <c r="G278" s="3">
        <v>290000</v>
      </c>
      <c r="L278">
        <v>11000000</v>
      </c>
    </row>
    <row r="279" spans="1:13" hidden="1" x14ac:dyDescent="0.3">
      <c r="A279" t="s">
        <v>106</v>
      </c>
      <c r="B279" t="s">
        <v>108</v>
      </c>
      <c r="C279" t="s">
        <v>134</v>
      </c>
      <c r="D279" t="s">
        <v>109</v>
      </c>
      <c r="E279" t="s">
        <v>154</v>
      </c>
      <c r="F279">
        <v>1130</v>
      </c>
      <c r="G279">
        <v>1100</v>
      </c>
      <c r="L279">
        <v>47000</v>
      </c>
    </row>
    <row r="280" spans="1:13" hidden="1" x14ac:dyDescent="0.3">
      <c r="A280" t="s">
        <v>106</v>
      </c>
      <c r="B280" t="s">
        <v>108</v>
      </c>
      <c r="C280" t="s">
        <v>140</v>
      </c>
      <c r="D280" t="s">
        <v>109</v>
      </c>
      <c r="E280" t="s">
        <v>154</v>
      </c>
      <c r="F280">
        <v>778</v>
      </c>
      <c r="G280">
        <v>800</v>
      </c>
      <c r="L280">
        <v>100000</v>
      </c>
      <c r="M280" t="s">
        <v>274</v>
      </c>
    </row>
    <row r="281" spans="1:13" hidden="1" x14ac:dyDescent="0.3">
      <c r="A281" t="s">
        <v>106</v>
      </c>
      <c r="B281" t="s">
        <v>108</v>
      </c>
      <c r="C281" t="s">
        <v>156</v>
      </c>
      <c r="D281" t="s">
        <v>109</v>
      </c>
      <c r="E281" t="s">
        <v>154</v>
      </c>
      <c r="F281">
        <v>500</v>
      </c>
      <c r="G281">
        <v>450</v>
      </c>
      <c r="L281">
        <v>8300</v>
      </c>
    </row>
    <row r="282" spans="1:13" hidden="1" x14ac:dyDescent="0.3">
      <c r="A282" t="s">
        <v>106</v>
      </c>
      <c r="B282" t="s">
        <v>108</v>
      </c>
      <c r="C282" t="s">
        <v>221</v>
      </c>
      <c r="D282" t="s">
        <v>109</v>
      </c>
      <c r="E282" t="s">
        <v>154</v>
      </c>
      <c r="F282">
        <v>5250</v>
      </c>
      <c r="G282">
        <v>5300</v>
      </c>
      <c r="L282">
        <v>190000</v>
      </c>
    </row>
    <row r="283" spans="1:13" hidden="1" x14ac:dyDescent="0.3">
      <c r="A283" t="s">
        <v>106</v>
      </c>
      <c r="B283" t="s">
        <v>108</v>
      </c>
      <c r="C283" t="s">
        <v>143</v>
      </c>
      <c r="D283" t="s">
        <v>109</v>
      </c>
      <c r="E283" t="s">
        <v>154</v>
      </c>
      <c r="F283">
        <v>1820</v>
      </c>
      <c r="G283">
        <v>1800</v>
      </c>
      <c r="L283">
        <v>41000</v>
      </c>
    </row>
    <row r="284" spans="1:13" hidden="1" x14ac:dyDescent="0.3">
      <c r="A284" t="s">
        <v>106</v>
      </c>
      <c r="B284" t="s">
        <v>108</v>
      </c>
      <c r="C284" t="s">
        <v>269</v>
      </c>
      <c r="D284" t="s">
        <v>109</v>
      </c>
      <c r="E284" t="s">
        <v>154</v>
      </c>
      <c r="F284">
        <v>2930</v>
      </c>
      <c r="G284">
        <v>3300</v>
      </c>
      <c r="L284">
        <v>80000</v>
      </c>
    </row>
    <row r="285" spans="1:13" hidden="1" x14ac:dyDescent="0.3">
      <c r="A285" t="s">
        <v>106</v>
      </c>
      <c r="B285" t="s">
        <v>108</v>
      </c>
      <c r="C285" t="s">
        <v>145</v>
      </c>
      <c r="D285" t="s">
        <v>109</v>
      </c>
      <c r="E285" t="s">
        <v>154</v>
      </c>
    </row>
    <row r="286" spans="1:13" hidden="1" x14ac:dyDescent="0.3">
      <c r="A286" t="s">
        <v>106</v>
      </c>
      <c r="B286" t="s">
        <v>108</v>
      </c>
      <c r="C286" t="s">
        <v>146</v>
      </c>
      <c r="D286" t="s">
        <v>109</v>
      </c>
      <c r="E286" t="s">
        <v>154</v>
      </c>
      <c r="F286">
        <v>27</v>
      </c>
      <c r="G286">
        <v>30</v>
      </c>
      <c r="L286">
        <v>2200</v>
      </c>
    </row>
    <row r="287" spans="1:13" hidden="1" x14ac:dyDescent="0.3">
      <c r="A287" t="s">
        <v>106</v>
      </c>
      <c r="B287" t="s">
        <v>108</v>
      </c>
      <c r="C287" t="s">
        <v>198</v>
      </c>
      <c r="D287" t="s">
        <v>109</v>
      </c>
      <c r="E287" t="s">
        <v>154</v>
      </c>
      <c r="F287">
        <v>907</v>
      </c>
      <c r="G287">
        <v>1100</v>
      </c>
      <c r="L287">
        <v>21000</v>
      </c>
    </row>
    <row r="288" spans="1:13" hidden="1" x14ac:dyDescent="0.3">
      <c r="A288" t="s">
        <v>106</v>
      </c>
      <c r="B288" t="s">
        <v>108</v>
      </c>
      <c r="C288" t="s">
        <v>147</v>
      </c>
      <c r="D288" t="s">
        <v>109</v>
      </c>
      <c r="E288" t="s">
        <v>154</v>
      </c>
    </row>
    <row r="289" spans="1:12" hidden="1" x14ac:dyDescent="0.3">
      <c r="A289" t="s">
        <v>106</v>
      </c>
      <c r="B289" t="s">
        <v>108</v>
      </c>
      <c r="C289" t="s">
        <v>171</v>
      </c>
      <c r="D289" t="s">
        <v>109</v>
      </c>
      <c r="E289" t="s">
        <v>154</v>
      </c>
      <c r="F289">
        <v>740</v>
      </c>
      <c r="G289">
        <v>740</v>
      </c>
      <c r="H289" t="s">
        <v>157</v>
      </c>
      <c r="L289">
        <v>20000</v>
      </c>
    </row>
    <row r="290" spans="1:12" hidden="1" x14ac:dyDescent="0.3">
      <c r="A290" t="s">
        <v>106</v>
      </c>
      <c r="B290" t="s">
        <v>108</v>
      </c>
      <c r="C290" t="s">
        <v>214</v>
      </c>
      <c r="D290" t="s">
        <v>109</v>
      </c>
      <c r="E290" t="s">
        <v>154</v>
      </c>
    </row>
    <row r="291" spans="1:12" hidden="1" x14ac:dyDescent="0.3">
      <c r="A291" t="s">
        <v>106</v>
      </c>
      <c r="B291" t="s">
        <v>108</v>
      </c>
      <c r="C291" t="s">
        <v>148</v>
      </c>
      <c r="D291" t="s">
        <v>109</v>
      </c>
      <c r="E291" t="s">
        <v>154</v>
      </c>
      <c r="F291">
        <v>699</v>
      </c>
      <c r="G291">
        <v>700</v>
      </c>
      <c r="L291">
        <v>53000</v>
      </c>
    </row>
    <row r="292" spans="1:12" hidden="1" x14ac:dyDescent="0.3">
      <c r="A292" t="s">
        <v>106</v>
      </c>
      <c r="B292" t="s">
        <v>108</v>
      </c>
      <c r="C292" t="s">
        <v>182</v>
      </c>
      <c r="D292" t="s">
        <v>109</v>
      </c>
      <c r="E292" t="s">
        <v>154</v>
      </c>
      <c r="F292">
        <v>2760</v>
      </c>
      <c r="G292">
        <v>2600</v>
      </c>
      <c r="L292">
        <v>100000</v>
      </c>
    </row>
    <row r="293" spans="1:12" hidden="1" x14ac:dyDescent="0.3">
      <c r="A293" t="s">
        <v>106</v>
      </c>
      <c r="B293" t="s">
        <v>108</v>
      </c>
      <c r="C293" t="s">
        <v>241</v>
      </c>
      <c r="D293" t="s">
        <v>109</v>
      </c>
      <c r="E293" t="s">
        <v>154</v>
      </c>
      <c r="F293">
        <v>395</v>
      </c>
      <c r="G293">
        <v>410</v>
      </c>
      <c r="L293">
        <v>34000</v>
      </c>
    </row>
    <row r="294" spans="1:12" hidden="1" x14ac:dyDescent="0.3">
      <c r="A294" t="s">
        <v>106</v>
      </c>
      <c r="B294" t="s">
        <v>108</v>
      </c>
      <c r="C294" t="s">
        <v>160</v>
      </c>
      <c r="D294" t="s">
        <v>109</v>
      </c>
      <c r="E294" t="s">
        <v>154</v>
      </c>
      <c r="F294">
        <v>890</v>
      </c>
      <c r="G294">
        <v>930</v>
      </c>
      <c r="H294" t="s">
        <v>157</v>
      </c>
      <c r="L294">
        <v>80000</v>
      </c>
    </row>
    <row r="295" spans="1:12" hidden="1" x14ac:dyDescent="0.3">
      <c r="A295" t="s">
        <v>106</v>
      </c>
      <c r="B295" t="s">
        <v>108</v>
      </c>
      <c r="C295" t="s">
        <v>275</v>
      </c>
      <c r="D295" t="s">
        <v>109</v>
      </c>
      <c r="E295" t="s">
        <v>154</v>
      </c>
      <c r="F295">
        <v>712</v>
      </c>
      <c r="G295">
        <v>680</v>
      </c>
      <c r="L295">
        <v>21000</v>
      </c>
    </row>
    <row r="296" spans="1:12" hidden="1" x14ac:dyDescent="0.3">
      <c r="A296" t="s">
        <v>106</v>
      </c>
      <c r="B296" t="s">
        <v>108</v>
      </c>
      <c r="C296" t="s">
        <v>151</v>
      </c>
      <c r="D296" t="s">
        <v>109</v>
      </c>
      <c r="E296" t="s">
        <v>154</v>
      </c>
      <c r="F296">
        <v>3020</v>
      </c>
      <c r="G296">
        <v>2700</v>
      </c>
      <c r="L296">
        <v>180000</v>
      </c>
    </row>
    <row r="297" spans="1:12" x14ac:dyDescent="0.3">
      <c r="A297" t="s">
        <v>106</v>
      </c>
      <c r="B297" t="s">
        <v>108</v>
      </c>
      <c r="C297" t="s">
        <v>152</v>
      </c>
      <c r="D297" t="s">
        <v>109</v>
      </c>
      <c r="E297" t="s">
        <v>154</v>
      </c>
      <c r="F297" s="3">
        <v>22600</v>
      </c>
      <c r="G297" s="3">
        <v>23000</v>
      </c>
      <c r="L297">
        <v>980000</v>
      </c>
    </row>
    <row r="298" spans="1:12" hidden="1" x14ac:dyDescent="0.3">
      <c r="A298" t="s">
        <v>106</v>
      </c>
      <c r="B298" t="s">
        <v>108</v>
      </c>
      <c r="C298" t="s">
        <v>134</v>
      </c>
      <c r="D298" t="s">
        <v>110</v>
      </c>
      <c r="E298" t="s">
        <v>154</v>
      </c>
      <c r="F298">
        <v>882</v>
      </c>
      <c r="G298">
        <v>890</v>
      </c>
    </row>
    <row r="299" spans="1:12" hidden="1" x14ac:dyDescent="0.3">
      <c r="A299" t="s">
        <v>106</v>
      </c>
      <c r="B299" t="s">
        <v>108</v>
      </c>
      <c r="C299" t="s">
        <v>140</v>
      </c>
      <c r="D299" t="s">
        <v>110</v>
      </c>
      <c r="E299" t="s">
        <v>154</v>
      </c>
      <c r="F299">
        <v>442</v>
      </c>
      <c r="G299">
        <v>460</v>
      </c>
    </row>
    <row r="300" spans="1:12" hidden="1" x14ac:dyDescent="0.3">
      <c r="A300" t="s">
        <v>106</v>
      </c>
      <c r="B300" t="s">
        <v>108</v>
      </c>
      <c r="C300" t="s">
        <v>156</v>
      </c>
      <c r="D300" t="s">
        <v>110</v>
      </c>
      <c r="E300" t="s">
        <v>154</v>
      </c>
      <c r="F300">
        <v>315</v>
      </c>
      <c r="G300">
        <v>320</v>
      </c>
    </row>
    <row r="301" spans="1:12" hidden="1" x14ac:dyDescent="0.3">
      <c r="A301" t="s">
        <v>106</v>
      </c>
      <c r="B301" t="s">
        <v>108</v>
      </c>
      <c r="C301" t="s">
        <v>221</v>
      </c>
      <c r="D301" t="s">
        <v>110</v>
      </c>
      <c r="E301" t="s">
        <v>154</v>
      </c>
      <c r="F301">
        <v>2080</v>
      </c>
      <c r="G301">
        <v>1900</v>
      </c>
    </row>
    <row r="302" spans="1:12" hidden="1" x14ac:dyDescent="0.3">
      <c r="A302" t="s">
        <v>106</v>
      </c>
      <c r="B302" t="s">
        <v>108</v>
      </c>
      <c r="C302" t="s">
        <v>143</v>
      </c>
      <c r="D302" t="s">
        <v>110</v>
      </c>
      <c r="E302" t="s">
        <v>154</v>
      </c>
      <c r="F302">
        <v>12000</v>
      </c>
      <c r="G302">
        <v>12000</v>
      </c>
    </row>
    <row r="303" spans="1:12" hidden="1" x14ac:dyDescent="0.3">
      <c r="A303" t="s">
        <v>106</v>
      </c>
      <c r="B303" t="s">
        <v>108</v>
      </c>
      <c r="C303" t="s">
        <v>269</v>
      </c>
      <c r="D303" t="s">
        <v>110</v>
      </c>
      <c r="E303" t="s">
        <v>154</v>
      </c>
      <c r="F303">
        <v>2170</v>
      </c>
      <c r="G303">
        <v>2500</v>
      </c>
    </row>
    <row r="304" spans="1:12" hidden="1" x14ac:dyDescent="0.3">
      <c r="A304" t="s">
        <v>106</v>
      </c>
      <c r="B304" t="s">
        <v>108</v>
      </c>
      <c r="C304" t="s">
        <v>145</v>
      </c>
      <c r="D304" t="s">
        <v>110</v>
      </c>
      <c r="E304" t="s">
        <v>154</v>
      </c>
      <c r="F304">
        <v>609</v>
      </c>
      <c r="G304">
        <v>630</v>
      </c>
    </row>
    <row r="305" spans="1:13" hidden="1" x14ac:dyDescent="0.3">
      <c r="A305" t="s">
        <v>106</v>
      </c>
      <c r="B305" t="s">
        <v>108</v>
      </c>
      <c r="C305" t="s">
        <v>146</v>
      </c>
      <c r="D305" t="s">
        <v>110</v>
      </c>
      <c r="E305" t="s">
        <v>154</v>
      </c>
      <c r="F305">
        <v>509</v>
      </c>
      <c r="G305">
        <v>510</v>
      </c>
    </row>
    <row r="306" spans="1:13" hidden="1" x14ac:dyDescent="0.3">
      <c r="A306" t="s">
        <v>106</v>
      </c>
      <c r="B306" t="s">
        <v>108</v>
      </c>
      <c r="C306" t="s">
        <v>198</v>
      </c>
      <c r="D306" t="s">
        <v>110</v>
      </c>
      <c r="E306" t="s">
        <v>154</v>
      </c>
      <c r="F306">
        <v>225</v>
      </c>
      <c r="G306">
        <v>350</v>
      </c>
    </row>
    <row r="307" spans="1:13" hidden="1" x14ac:dyDescent="0.3">
      <c r="A307" t="s">
        <v>106</v>
      </c>
      <c r="B307" t="s">
        <v>108</v>
      </c>
      <c r="C307" t="s">
        <v>147</v>
      </c>
      <c r="D307" t="s">
        <v>110</v>
      </c>
      <c r="E307" t="s">
        <v>154</v>
      </c>
      <c r="F307">
        <v>1490</v>
      </c>
      <c r="G307">
        <v>1600</v>
      </c>
    </row>
    <row r="308" spans="1:13" hidden="1" x14ac:dyDescent="0.3">
      <c r="A308" t="s">
        <v>106</v>
      </c>
      <c r="B308" t="s">
        <v>108</v>
      </c>
      <c r="C308" t="s">
        <v>171</v>
      </c>
      <c r="D308" t="s">
        <v>110</v>
      </c>
      <c r="E308" t="s">
        <v>154</v>
      </c>
      <c r="F308">
        <v>458</v>
      </c>
      <c r="G308">
        <v>470</v>
      </c>
    </row>
    <row r="309" spans="1:13" hidden="1" x14ac:dyDescent="0.3">
      <c r="A309" t="s">
        <v>106</v>
      </c>
      <c r="B309" t="s">
        <v>108</v>
      </c>
      <c r="C309" t="s">
        <v>214</v>
      </c>
      <c r="D309" t="s">
        <v>110</v>
      </c>
      <c r="E309" t="s">
        <v>154</v>
      </c>
      <c r="F309">
        <v>604</v>
      </c>
      <c r="G309">
        <v>620</v>
      </c>
    </row>
    <row r="310" spans="1:13" hidden="1" x14ac:dyDescent="0.3">
      <c r="A310" t="s">
        <v>106</v>
      </c>
      <c r="B310" t="s">
        <v>108</v>
      </c>
      <c r="C310" t="s">
        <v>148</v>
      </c>
      <c r="D310" t="s">
        <v>110</v>
      </c>
      <c r="E310" t="s">
        <v>154</v>
      </c>
      <c r="F310">
        <v>509</v>
      </c>
      <c r="G310">
        <v>350</v>
      </c>
    </row>
    <row r="311" spans="1:13" hidden="1" x14ac:dyDescent="0.3">
      <c r="A311" t="s">
        <v>106</v>
      </c>
      <c r="B311" t="s">
        <v>108</v>
      </c>
      <c r="C311" t="s">
        <v>182</v>
      </c>
      <c r="D311" t="s">
        <v>110</v>
      </c>
      <c r="E311" t="s">
        <v>154</v>
      </c>
      <c r="F311">
        <v>403</v>
      </c>
      <c r="G311">
        <v>390</v>
      </c>
    </row>
    <row r="312" spans="1:13" hidden="1" x14ac:dyDescent="0.3">
      <c r="A312" t="s">
        <v>106</v>
      </c>
      <c r="B312" t="s">
        <v>108</v>
      </c>
      <c r="C312" t="s">
        <v>241</v>
      </c>
      <c r="D312" t="s">
        <v>110</v>
      </c>
      <c r="E312" t="s">
        <v>154</v>
      </c>
      <c r="F312">
        <v>592</v>
      </c>
      <c r="G312">
        <v>590</v>
      </c>
    </row>
    <row r="313" spans="1:13" hidden="1" x14ac:dyDescent="0.3">
      <c r="A313" t="s">
        <v>106</v>
      </c>
      <c r="B313" t="s">
        <v>108</v>
      </c>
      <c r="C313" t="s">
        <v>160</v>
      </c>
      <c r="D313" t="s">
        <v>110</v>
      </c>
      <c r="E313" t="s">
        <v>154</v>
      </c>
      <c r="F313">
        <v>1000</v>
      </c>
      <c r="G313">
        <v>960</v>
      </c>
      <c r="H313" t="s">
        <v>157</v>
      </c>
    </row>
    <row r="314" spans="1:13" hidden="1" x14ac:dyDescent="0.3">
      <c r="A314" t="s">
        <v>106</v>
      </c>
      <c r="B314" t="s">
        <v>108</v>
      </c>
      <c r="C314" t="s">
        <v>275</v>
      </c>
      <c r="D314" t="s">
        <v>110</v>
      </c>
      <c r="E314" t="s">
        <v>154</v>
      </c>
      <c r="F314">
        <v>222</v>
      </c>
      <c r="G314">
        <v>170</v>
      </c>
    </row>
    <row r="315" spans="1:13" hidden="1" x14ac:dyDescent="0.3">
      <c r="A315" t="s">
        <v>106</v>
      </c>
      <c r="B315" t="s">
        <v>108</v>
      </c>
      <c r="C315" t="s">
        <v>151</v>
      </c>
      <c r="D315" t="s">
        <v>110</v>
      </c>
      <c r="E315" t="s">
        <v>154</v>
      </c>
      <c r="F315">
        <v>2460</v>
      </c>
      <c r="G315">
        <v>2500</v>
      </c>
    </row>
    <row r="316" spans="1:13" x14ac:dyDescent="0.3">
      <c r="A316" t="s">
        <v>106</v>
      </c>
      <c r="B316" t="s">
        <v>108</v>
      </c>
      <c r="C316" t="s">
        <v>152</v>
      </c>
      <c r="D316" t="s">
        <v>110</v>
      </c>
      <c r="E316" t="s">
        <v>154</v>
      </c>
      <c r="F316" s="3">
        <v>27000</v>
      </c>
      <c r="G316" s="3">
        <v>27000</v>
      </c>
    </row>
    <row r="317" spans="1:13" hidden="1" x14ac:dyDescent="0.3">
      <c r="A317" t="s">
        <v>106</v>
      </c>
      <c r="B317" t="s">
        <v>276</v>
      </c>
      <c r="C317" t="s">
        <v>134</v>
      </c>
      <c r="D317" t="s">
        <v>277</v>
      </c>
      <c r="E317" t="s">
        <v>278</v>
      </c>
      <c r="M317" t="s">
        <v>169</v>
      </c>
    </row>
    <row r="318" spans="1:13" hidden="1" x14ac:dyDescent="0.3">
      <c r="A318" t="s">
        <v>106</v>
      </c>
      <c r="B318" t="s">
        <v>276</v>
      </c>
      <c r="C318" t="s">
        <v>279</v>
      </c>
      <c r="D318" t="s">
        <v>277</v>
      </c>
      <c r="E318" t="s">
        <v>278</v>
      </c>
      <c r="F318">
        <v>1</v>
      </c>
      <c r="G318">
        <v>1</v>
      </c>
      <c r="L318">
        <v>150</v>
      </c>
    </row>
    <row r="319" spans="1:13" hidden="1" x14ac:dyDescent="0.3">
      <c r="A319" t="s">
        <v>106</v>
      </c>
      <c r="B319" t="s">
        <v>276</v>
      </c>
      <c r="C319" t="s">
        <v>280</v>
      </c>
      <c r="D319" t="s">
        <v>277</v>
      </c>
      <c r="E319" t="s">
        <v>278</v>
      </c>
      <c r="F319">
        <v>8</v>
      </c>
      <c r="G319">
        <v>8</v>
      </c>
      <c r="L319">
        <v>250</v>
      </c>
    </row>
    <row r="320" spans="1:13" hidden="1" x14ac:dyDescent="0.3">
      <c r="A320" t="s">
        <v>106</v>
      </c>
      <c r="B320" t="s">
        <v>276</v>
      </c>
      <c r="C320" t="s">
        <v>269</v>
      </c>
      <c r="D320" t="s">
        <v>277</v>
      </c>
      <c r="E320" t="s">
        <v>278</v>
      </c>
      <c r="F320">
        <v>7</v>
      </c>
      <c r="G320">
        <v>7</v>
      </c>
      <c r="L320">
        <v>150</v>
      </c>
    </row>
    <row r="321" spans="1:13" hidden="1" x14ac:dyDescent="0.3">
      <c r="A321" t="s">
        <v>106</v>
      </c>
      <c r="B321" t="s">
        <v>276</v>
      </c>
      <c r="C321" t="s">
        <v>160</v>
      </c>
      <c r="D321" t="s">
        <v>277</v>
      </c>
      <c r="E321" t="s">
        <v>278</v>
      </c>
      <c r="F321">
        <v>16</v>
      </c>
      <c r="G321">
        <v>16</v>
      </c>
      <c r="L321">
        <v>990</v>
      </c>
    </row>
    <row r="322" spans="1:13" hidden="1" x14ac:dyDescent="0.3">
      <c r="A322" t="s">
        <v>106</v>
      </c>
      <c r="B322" t="s">
        <v>276</v>
      </c>
      <c r="C322" t="s">
        <v>252</v>
      </c>
      <c r="D322" t="s">
        <v>277</v>
      </c>
      <c r="E322" t="s">
        <v>278</v>
      </c>
      <c r="F322">
        <v>4</v>
      </c>
      <c r="G322">
        <v>4</v>
      </c>
      <c r="L322">
        <v>85</v>
      </c>
    </row>
    <row r="323" spans="1:13" hidden="1" x14ac:dyDescent="0.3">
      <c r="A323" t="s">
        <v>106</v>
      </c>
      <c r="B323" t="s">
        <v>276</v>
      </c>
      <c r="C323" t="s">
        <v>253</v>
      </c>
      <c r="D323" t="s">
        <v>277</v>
      </c>
      <c r="E323" t="s">
        <v>278</v>
      </c>
      <c r="F323">
        <v>4</v>
      </c>
      <c r="G323">
        <v>4</v>
      </c>
      <c r="M323" t="s">
        <v>169</v>
      </c>
    </row>
    <row r="324" spans="1:13" hidden="1" x14ac:dyDescent="0.3">
      <c r="A324" t="s">
        <v>106</v>
      </c>
      <c r="B324" t="s">
        <v>276</v>
      </c>
      <c r="C324" t="s">
        <v>151</v>
      </c>
      <c r="D324" t="s">
        <v>277</v>
      </c>
      <c r="E324" t="s">
        <v>278</v>
      </c>
      <c r="F324">
        <v>1</v>
      </c>
      <c r="G324">
        <v>1</v>
      </c>
      <c r="L324">
        <v>120</v>
      </c>
    </row>
    <row r="325" spans="1:13" x14ac:dyDescent="0.3">
      <c r="A325" t="s">
        <v>106</v>
      </c>
      <c r="B325" t="s">
        <v>276</v>
      </c>
      <c r="C325" t="s">
        <v>152</v>
      </c>
      <c r="D325" t="s">
        <v>277</v>
      </c>
      <c r="E325" t="s">
        <v>278</v>
      </c>
      <c r="F325" s="3">
        <v>41</v>
      </c>
      <c r="G325" s="3">
        <v>41</v>
      </c>
      <c r="H325" t="s">
        <v>139</v>
      </c>
      <c r="L325">
        <v>1700</v>
      </c>
    </row>
    <row r="326" spans="1:13" hidden="1" x14ac:dyDescent="0.3">
      <c r="A326" t="s">
        <v>106</v>
      </c>
      <c r="B326" t="s">
        <v>281</v>
      </c>
      <c r="C326" t="s">
        <v>134</v>
      </c>
      <c r="D326" t="s">
        <v>266</v>
      </c>
      <c r="E326" t="s">
        <v>154</v>
      </c>
      <c r="F326">
        <v>849</v>
      </c>
      <c r="G326">
        <v>880</v>
      </c>
      <c r="L326">
        <v>250000</v>
      </c>
    </row>
    <row r="327" spans="1:13" hidden="1" x14ac:dyDescent="0.3">
      <c r="A327" t="s">
        <v>106</v>
      </c>
      <c r="B327" t="s">
        <v>281</v>
      </c>
      <c r="C327" t="s">
        <v>218</v>
      </c>
      <c r="D327" t="s">
        <v>266</v>
      </c>
      <c r="E327" t="s">
        <v>154</v>
      </c>
      <c r="F327">
        <v>100</v>
      </c>
      <c r="G327">
        <v>100</v>
      </c>
      <c r="M327" t="s">
        <v>169</v>
      </c>
    </row>
    <row r="328" spans="1:13" hidden="1" x14ac:dyDescent="0.3">
      <c r="A328" t="s">
        <v>106</v>
      </c>
      <c r="B328" t="s">
        <v>281</v>
      </c>
      <c r="C328" t="s">
        <v>143</v>
      </c>
      <c r="D328" t="s">
        <v>266</v>
      </c>
      <c r="E328" t="s">
        <v>154</v>
      </c>
      <c r="F328">
        <v>370</v>
      </c>
      <c r="G328">
        <v>370</v>
      </c>
      <c r="L328">
        <v>120000</v>
      </c>
    </row>
    <row r="329" spans="1:13" hidden="1" x14ac:dyDescent="0.3">
      <c r="A329" t="s">
        <v>106</v>
      </c>
      <c r="B329" t="s">
        <v>281</v>
      </c>
      <c r="C329" t="s">
        <v>258</v>
      </c>
      <c r="D329" t="s">
        <v>266</v>
      </c>
      <c r="E329" t="s">
        <v>154</v>
      </c>
      <c r="F329">
        <v>44</v>
      </c>
      <c r="G329">
        <v>40</v>
      </c>
      <c r="M329" t="s">
        <v>169</v>
      </c>
    </row>
    <row r="330" spans="1:13" hidden="1" x14ac:dyDescent="0.3">
      <c r="A330" t="s">
        <v>106</v>
      </c>
      <c r="B330" t="s">
        <v>281</v>
      </c>
      <c r="C330" t="s">
        <v>282</v>
      </c>
      <c r="D330" t="s">
        <v>266</v>
      </c>
      <c r="E330" t="s">
        <v>154</v>
      </c>
      <c r="F330">
        <v>530</v>
      </c>
      <c r="G330">
        <v>530</v>
      </c>
      <c r="M330" t="s">
        <v>169</v>
      </c>
    </row>
    <row r="331" spans="1:13" hidden="1" x14ac:dyDescent="0.3">
      <c r="A331" t="s">
        <v>106</v>
      </c>
      <c r="B331" t="s">
        <v>281</v>
      </c>
      <c r="C331" t="s">
        <v>144</v>
      </c>
      <c r="D331" t="s">
        <v>266</v>
      </c>
      <c r="E331" t="s">
        <v>154</v>
      </c>
      <c r="F331">
        <v>250</v>
      </c>
      <c r="G331">
        <v>250</v>
      </c>
      <c r="L331">
        <v>1000</v>
      </c>
    </row>
    <row r="332" spans="1:13" hidden="1" x14ac:dyDescent="0.3">
      <c r="A332" t="s">
        <v>106</v>
      </c>
      <c r="B332" t="s">
        <v>281</v>
      </c>
      <c r="C332" t="s">
        <v>145</v>
      </c>
      <c r="D332" t="s">
        <v>266</v>
      </c>
      <c r="E332" t="s">
        <v>154</v>
      </c>
      <c r="F332">
        <v>50</v>
      </c>
      <c r="G332">
        <v>50</v>
      </c>
      <c r="M332" t="s">
        <v>169</v>
      </c>
    </row>
    <row r="333" spans="1:13" hidden="1" x14ac:dyDescent="0.3">
      <c r="A333" t="s">
        <v>106</v>
      </c>
      <c r="B333" t="s">
        <v>281</v>
      </c>
      <c r="C333" t="s">
        <v>214</v>
      </c>
      <c r="D333" t="s">
        <v>266</v>
      </c>
      <c r="E333" t="s">
        <v>154</v>
      </c>
      <c r="F333">
        <v>50</v>
      </c>
      <c r="G333">
        <v>50</v>
      </c>
      <c r="L333">
        <v>2200</v>
      </c>
    </row>
    <row r="334" spans="1:13" hidden="1" x14ac:dyDescent="0.3">
      <c r="A334" t="s">
        <v>106</v>
      </c>
      <c r="B334" t="s">
        <v>281</v>
      </c>
      <c r="C334" t="s">
        <v>148</v>
      </c>
      <c r="D334" t="s">
        <v>266</v>
      </c>
      <c r="E334" t="s">
        <v>154</v>
      </c>
      <c r="F334">
        <v>100</v>
      </c>
      <c r="G334">
        <v>100</v>
      </c>
      <c r="M334" t="s">
        <v>169</v>
      </c>
    </row>
    <row r="335" spans="1:13" hidden="1" x14ac:dyDescent="0.3">
      <c r="A335" t="s">
        <v>106</v>
      </c>
      <c r="B335" t="s">
        <v>281</v>
      </c>
      <c r="C335" t="s">
        <v>182</v>
      </c>
      <c r="D335" t="s">
        <v>266</v>
      </c>
      <c r="E335" t="s">
        <v>154</v>
      </c>
      <c r="F335">
        <v>100</v>
      </c>
      <c r="G335">
        <v>100</v>
      </c>
      <c r="M335" t="s">
        <v>169</v>
      </c>
    </row>
    <row r="336" spans="1:13" hidden="1" x14ac:dyDescent="0.3">
      <c r="A336" t="s">
        <v>106</v>
      </c>
      <c r="B336" t="s">
        <v>281</v>
      </c>
      <c r="C336" t="s">
        <v>209</v>
      </c>
      <c r="D336" t="s">
        <v>266</v>
      </c>
      <c r="E336" t="s">
        <v>154</v>
      </c>
      <c r="F336">
        <v>50</v>
      </c>
      <c r="G336">
        <v>50</v>
      </c>
      <c r="M336" t="s">
        <v>169</v>
      </c>
    </row>
    <row r="337" spans="1:13" hidden="1" x14ac:dyDescent="0.3">
      <c r="A337" t="s">
        <v>106</v>
      </c>
      <c r="B337" t="s">
        <v>281</v>
      </c>
      <c r="C337" t="s">
        <v>160</v>
      </c>
      <c r="D337" t="s">
        <v>266</v>
      </c>
      <c r="E337" t="s">
        <v>154</v>
      </c>
      <c r="F337">
        <v>50</v>
      </c>
      <c r="G337">
        <v>50</v>
      </c>
      <c r="M337" t="s">
        <v>169</v>
      </c>
    </row>
    <row r="338" spans="1:13" hidden="1" x14ac:dyDescent="0.3">
      <c r="A338" t="s">
        <v>106</v>
      </c>
      <c r="B338" t="s">
        <v>281</v>
      </c>
      <c r="C338" t="s">
        <v>202</v>
      </c>
      <c r="D338" t="s">
        <v>266</v>
      </c>
      <c r="E338" t="s">
        <v>154</v>
      </c>
      <c r="F338">
        <v>50</v>
      </c>
      <c r="G338">
        <v>50</v>
      </c>
      <c r="L338">
        <v>57000</v>
      </c>
    </row>
    <row r="339" spans="1:13" hidden="1" x14ac:dyDescent="0.3">
      <c r="A339" t="s">
        <v>106</v>
      </c>
      <c r="B339" t="s">
        <v>281</v>
      </c>
      <c r="C339" t="s">
        <v>176</v>
      </c>
      <c r="D339" t="s">
        <v>266</v>
      </c>
      <c r="E339" t="s">
        <v>154</v>
      </c>
      <c r="F339">
        <v>240</v>
      </c>
      <c r="G339">
        <v>240</v>
      </c>
      <c r="L339">
        <v>44000</v>
      </c>
    </row>
    <row r="340" spans="1:13" hidden="1" x14ac:dyDescent="0.3">
      <c r="A340" t="s">
        <v>106</v>
      </c>
      <c r="B340" t="s">
        <v>281</v>
      </c>
      <c r="C340" t="s">
        <v>151</v>
      </c>
      <c r="D340" t="s">
        <v>266</v>
      </c>
      <c r="E340" t="s">
        <v>154</v>
      </c>
      <c r="F340">
        <v>172</v>
      </c>
      <c r="G340">
        <v>170</v>
      </c>
      <c r="M340" t="s">
        <v>169</v>
      </c>
    </row>
    <row r="341" spans="1:13" x14ac:dyDescent="0.3">
      <c r="A341" t="s">
        <v>106</v>
      </c>
      <c r="B341" t="s">
        <v>281</v>
      </c>
      <c r="C341" t="s">
        <v>152</v>
      </c>
      <c r="D341" t="s">
        <v>266</v>
      </c>
      <c r="E341" t="s">
        <v>154</v>
      </c>
      <c r="F341" s="3">
        <v>3010</v>
      </c>
      <c r="G341" s="3">
        <v>3000</v>
      </c>
      <c r="M341" t="s">
        <v>187</v>
      </c>
    </row>
    <row r="342" spans="1:13" hidden="1" x14ac:dyDescent="0.3">
      <c r="A342" t="s">
        <v>106</v>
      </c>
      <c r="B342" t="s">
        <v>283</v>
      </c>
      <c r="C342" t="s">
        <v>134</v>
      </c>
      <c r="D342" t="s">
        <v>266</v>
      </c>
      <c r="E342" t="s">
        <v>154</v>
      </c>
      <c r="F342">
        <v>450</v>
      </c>
      <c r="G342">
        <v>450</v>
      </c>
      <c r="M342" t="s">
        <v>169</v>
      </c>
    </row>
    <row r="343" spans="1:13" hidden="1" x14ac:dyDescent="0.3">
      <c r="A343" t="s">
        <v>106</v>
      </c>
      <c r="B343" t="s">
        <v>283</v>
      </c>
      <c r="C343" t="s">
        <v>284</v>
      </c>
      <c r="D343" t="s">
        <v>266</v>
      </c>
      <c r="E343" t="s">
        <v>154</v>
      </c>
      <c r="F343">
        <v>622</v>
      </c>
      <c r="G343">
        <v>420</v>
      </c>
      <c r="H343" t="s">
        <v>215</v>
      </c>
      <c r="L343">
        <v>150000</v>
      </c>
    </row>
    <row r="344" spans="1:13" hidden="1" x14ac:dyDescent="0.3">
      <c r="A344" t="s">
        <v>106</v>
      </c>
      <c r="B344" t="s">
        <v>283</v>
      </c>
      <c r="C344" t="s">
        <v>143</v>
      </c>
      <c r="D344" t="s">
        <v>266</v>
      </c>
      <c r="E344" t="s">
        <v>154</v>
      </c>
      <c r="F344">
        <v>2500</v>
      </c>
      <c r="G344">
        <v>2500</v>
      </c>
      <c r="L344">
        <v>730000</v>
      </c>
    </row>
    <row r="345" spans="1:13" hidden="1" x14ac:dyDescent="0.3">
      <c r="A345" t="s">
        <v>106</v>
      </c>
      <c r="B345" t="s">
        <v>283</v>
      </c>
      <c r="C345" t="s">
        <v>146</v>
      </c>
      <c r="D345" t="s">
        <v>266</v>
      </c>
      <c r="E345" t="s">
        <v>154</v>
      </c>
      <c r="F345">
        <v>6000</v>
      </c>
      <c r="G345">
        <v>6000</v>
      </c>
      <c r="L345">
        <v>320000</v>
      </c>
    </row>
    <row r="346" spans="1:13" hidden="1" x14ac:dyDescent="0.3">
      <c r="A346" t="s">
        <v>106</v>
      </c>
      <c r="B346" t="s">
        <v>283</v>
      </c>
      <c r="C346" t="s">
        <v>170</v>
      </c>
      <c r="D346" t="s">
        <v>266</v>
      </c>
      <c r="E346" t="s">
        <v>154</v>
      </c>
      <c r="F346">
        <v>3100</v>
      </c>
      <c r="G346">
        <v>3100</v>
      </c>
      <c r="L346">
        <v>130000</v>
      </c>
    </row>
    <row r="347" spans="1:13" hidden="1" x14ac:dyDescent="0.3">
      <c r="A347" t="s">
        <v>106</v>
      </c>
      <c r="B347" t="s">
        <v>283</v>
      </c>
      <c r="C347" t="s">
        <v>285</v>
      </c>
      <c r="D347" t="s">
        <v>266</v>
      </c>
      <c r="E347" t="s">
        <v>154</v>
      </c>
      <c r="F347">
        <v>2200</v>
      </c>
      <c r="G347">
        <v>2200</v>
      </c>
      <c r="M347" t="s">
        <v>169</v>
      </c>
    </row>
    <row r="348" spans="1:13" hidden="1" x14ac:dyDescent="0.3">
      <c r="A348" t="s">
        <v>106</v>
      </c>
      <c r="B348" t="s">
        <v>283</v>
      </c>
      <c r="C348" t="s">
        <v>214</v>
      </c>
      <c r="D348" t="s">
        <v>266</v>
      </c>
      <c r="E348" t="s">
        <v>154</v>
      </c>
      <c r="F348">
        <v>991</v>
      </c>
      <c r="G348">
        <v>990</v>
      </c>
      <c r="H348" t="s">
        <v>215</v>
      </c>
      <c r="L348">
        <v>200000</v>
      </c>
    </row>
    <row r="349" spans="1:13" hidden="1" x14ac:dyDescent="0.3">
      <c r="A349" t="s">
        <v>106</v>
      </c>
      <c r="B349" t="s">
        <v>283</v>
      </c>
      <c r="C349" t="s">
        <v>181</v>
      </c>
      <c r="D349" t="s">
        <v>266</v>
      </c>
      <c r="E349" t="s">
        <v>154</v>
      </c>
      <c r="F349">
        <v>590</v>
      </c>
      <c r="G349">
        <v>590</v>
      </c>
      <c r="M349" t="s">
        <v>169</v>
      </c>
    </row>
    <row r="350" spans="1:13" hidden="1" x14ac:dyDescent="0.3">
      <c r="A350" t="s">
        <v>106</v>
      </c>
      <c r="B350" t="s">
        <v>283</v>
      </c>
      <c r="C350" t="s">
        <v>225</v>
      </c>
      <c r="D350" t="s">
        <v>266</v>
      </c>
      <c r="E350" t="s">
        <v>154</v>
      </c>
      <c r="F350">
        <v>650</v>
      </c>
      <c r="G350">
        <v>650</v>
      </c>
      <c r="M350" t="s">
        <v>169</v>
      </c>
    </row>
    <row r="351" spans="1:13" hidden="1" x14ac:dyDescent="0.3">
      <c r="A351" t="s">
        <v>106</v>
      </c>
      <c r="B351" t="s">
        <v>283</v>
      </c>
      <c r="C351" t="s">
        <v>201</v>
      </c>
      <c r="D351" t="s">
        <v>266</v>
      </c>
      <c r="E351" t="s">
        <v>154</v>
      </c>
      <c r="F351">
        <v>650</v>
      </c>
      <c r="G351">
        <v>650</v>
      </c>
      <c r="M351" t="s">
        <v>169</v>
      </c>
    </row>
    <row r="352" spans="1:13" hidden="1" x14ac:dyDescent="0.3">
      <c r="A352" t="s">
        <v>106</v>
      </c>
      <c r="B352" t="s">
        <v>283</v>
      </c>
      <c r="C352" t="s">
        <v>286</v>
      </c>
      <c r="D352" t="s">
        <v>266</v>
      </c>
      <c r="E352" t="s">
        <v>154</v>
      </c>
      <c r="F352">
        <v>990</v>
      </c>
      <c r="G352">
        <v>990</v>
      </c>
      <c r="M352" t="s">
        <v>169</v>
      </c>
    </row>
    <row r="353" spans="1:13" hidden="1" x14ac:dyDescent="0.3">
      <c r="A353" t="s">
        <v>106</v>
      </c>
      <c r="B353" t="s">
        <v>283</v>
      </c>
      <c r="C353" t="s">
        <v>287</v>
      </c>
      <c r="D353" t="s">
        <v>266</v>
      </c>
      <c r="E353" t="s">
        <v>154</v>
      </c>
      <c r="F353">
        <v>2000</v>
      </c>
      <c r="G353">
        <v>2000</v>
      </c>
      <c r="L353">
        <v>45000</v>
      </c>
    </row>
    <row r="354" spans="1:13" hidden="1" x14ac:dyDescent="0.3">
      <c r="A354" t="s">
        <v>106</v>
      </c>
      <c r="B354" t="s">
        <v>283</v>
      </c>
      <c r="C354" t="s">
        <v>176</v>
      </c>
      <c r="D354" t="s">
        <v>266</v>
      </c>
      <c r="E354" t="s">
        <v>154</v>
      </c>
      <c r="F354">
        <v>9480</v>
      </c>
      <c r="G354">
        <v>9500</v>
      </c>
      <c r="H354" t="s">
        <v>215</v>
      </c>
      <c r="L354">
        <v>720000</v>
      </c>
    </row>
    <row r="355" spans="1:13" hidden="1" x14ac:dyDescent="0.3">
      <c r="A355" t="s">
        <v>106</v>
      </c>
      <c r="B355" t="s">
        <v>283</v>
      </c>
      <c r="C355" t="s">
        <v>151</v>
      </c>
      <c r="D355" t="s">
        <v>266</v>
      </c>
      <c r="E355" t="s">
        <v>154</v>
      </c>
      <c r="F355">
        <v>3220</v>
      </c>
      <c r="G355">
        <v>3200</v>
      </c>
      <c r="M355" t="s">
        <v>169</v>
      </c>
    </row>
    <row r="356" spans="1:13" x14ac:dyDescent="0.3">
      <c r="A356" t="s">
        <v>106</v>
      </c>
      <c r="B356" t="s">
        <v>283</v>
      </c>
      <c r="C356" t="s">
        <v>152</v>
      </c>
      <c r="D356" t="s">
        <v>266</v>
      </c>
      <c r="E356" t="s">
        <v>154</v>
      </c>
      <c r="F356" s="3">
        <v>33400</v>
      </c>
      <c r="G356" s="3">
        <v>33000</v>
      </c>
      <c r="M356" t="s">
        <v>187</v>
      </c>
    </row>
    <row r="357" spans="1:13" hidden="1" x14ac:dyDescent="0.3">
      <c r="A357" t="s">
        <v>106</v>
      </c>
      <c r="B357" t="s">
        <v>288</v>
      </c>
      <c r="C357" t="s">
        <v>134</v>
      </c>
      <c r="D357" t="s">
        <v>266</v>
      </c>
      <c r="E357" t="s">
        <v>154</v>
      </c>
      <c r="H357" t="s">
        <v>169</v>
      </c>
      <c r="M357" t="s">
        <v>169</v>
      </c>
    </row>
    <row r="358" spans="1:13" hidden="1" x14ac:dyDescent="0.3">
      <c r="A358" t="s">
        <v>106</v>
      </c>
      <c r="B358" t="s">
        <v>288</v>
      </c>
      <c r="C358" t="s">
        <v>143</v>
      </c>
      <c r="D358" t="s">
        <v>266</v>
      </c>
      <c r="E358" t="s">
        <v>154</v>
      </c>
      <c r="F358">
        <v>6000</v>
      </c>
      <c r="G358">
        <v>5900</v>
      </c>
      <c r="L358">
        <v>86000</v>
      </c>
    </row>
    <row r="359" spans="1:13" hidden="1" x14ac:dyDescent="0.3">
      <c r="A359" t="s">
        <v>106</v>
      </c>
      <c r="B359" t="s">
        <v>288</v>
      </c>
      <c r="C359" t="s">
        <v>145</v>
      </c>
      <c r="D359" t="s">
        <v>266</v>
      </c>
      <c r="E359" t="s">
        <v>154</v>
      </c>
      <c r="F359">
        <v>100</v>
      </c>
      <c r="G359">
        <v>100</v>
      </c>
      <c r="M359" t="s">
        <v>169</v>
      </c>
    </row>
    <row r="360" spans="1:13" hidden="1" x14ac:dyDescent="0.3">
      <c r="A360" t="s">
        <v>106</v>
      </c>
      <c r="B360" t="s">
        <v>288</v>
      </c>
      <c r="C360" t="s">
        <v>170</v>
      </c>
      <c r="D360" t="s">
        <v>266</v>
      </c>
      <c r="E360" t="s">
        <v>154</v>
      </c>
      <c r="F360">
        <v>121</v>
      </c>
      <c r="G360">
        <v>120</v>
      </c>
      <c r="L360">
        <v>7600</v>
      </c>
    </row>
    <row r="361" spans="1:13" hidden="1" x14ac:dyDescent="0.3">
      <c r="A361" t="s">
        <v>106</v>
      </c>
      <c r="B361" t="s">
        <v>288</v>
      </c>
      <c r="C361" t="s">
        <v>148</v>
      </c>
      <c r="D361" t="s">
        <v>266</v>
      </c>
      <c r="E361" t="s">
        <v>154</v>
      </c>
      <c r="F361">
        <v>1160</v>
      </c>
      <c r="G361">
        <v>1200</v>
      </c>
      <c r="H361" t="s">
        <v>232</v>
      </c>
      <c r="L361">
        <v>68000</v>
      </c>
    </row>
    <row r="362" spans="1:13" hidden="1" x14ac:dyDescent="0.3">
      <c r="A362" t="s">
        <v>106</v>
      </c>
      <c r="B362" t="s">
        <v>288</v>
      </c>
      <c r="C362" t="s">
        <v>289</v>
      </c>
      <c r="D362" t="s">
        <v>266</v>
      </c>
      <c r="E362" t="s">
        <v>154</v>
      </c>
      <c r="F362">
        <v>1210</v>
      </c>
      <c r="G362">
        <v>1200</v>
      </c>
      <c r="L362">
        <v>34000</v>
      </c>
    </row>
    <row r="363" spans="1:13" hidden="1" x14ac:dyDescent="0.3">
      <c r="A363" t="s">
        <v>106</v>
      </c>
      <c r="B363" t="s">
        <v>288</v>
      </c>
      <c r="C363" t="s">
        <v>174</v>
      </c>
      <c r="D363" t="s">
        <v>266</v>
      </c>
      <c r="E363" t="s">
        <v>154</v>
      </c>
      <c r="F363">
        <v>55</v>
      </c>
      <c r="G363">
        <v>52</v>
      </c>
      <c r="M363" t="s">
        <v>169</v>
      </c>
    </row>
    <row r="364" spans="1:13" hidden="1" x14ac:dyDescent="0.3">
      <c r="A364" t="s">
        <v>106</v>
      </c>
      <c r="B364" t="s">
        <v>288</v>
      </c>
      <c r="C364" t="s">
        <v>252</v>
      </c>
      <c r="D364" t="s">
        <v>266</v>
      </c>
      <c r="E364" t="s">
        <v>154</v>
      </c>
      <c r="F364">
        <v>345</v>
      </c>
      <c r="G364">
        <v>380</v>
      </c>
      <c r="L364">
        <v>41000</v>
      </c>
    </row>
    <row r="365" spans="1:13" hidden="1" x14ac:dyDescent="0.3">
      <c r="A365" t="s">
        <v>106</v>
      </c>
      <c r="B365" t="s">
        <v>288</v>
      </c>
      <c r="C365" t="s">
        <v>202</v>
      </c>
      <c r="D365" t="s">
        <v>266</v>
      </c>
      <c r="E365" t="s">
        <v>154</v>
      </c>
      <c r="F365">
        <v>165</v>
      </c>
      <c r="G365">
        <v>160</v>
      </c>
      <c r="L365">
        <v>15000</v>
      </c>
    </row>
    <row r="366" spans="1:13" hidden="1" x14ac:dyDescent="0.3">
      <c r="A366" t="s">
        <v>106</v>
      </c>
      <c r="B366" t="s">
        <v>288</v>
      </c>
      <c r="C366" t="s">
        <v>287</v>
      </c>
      <c r="D366" t="s">
        <v>266</v>
      </c>
      <c r="E366" t="s">
        <v>154</v>
      </c>
      <c r="F366">
        <v>48</v>
      </c>
      <c r="G366">
        <v>76</v>
      </c>
      <c r="L366">
        <v>3600</v>
      </c>
    </row>
    <row r="367" spans="1:13" hidden="1" x14ac:dyDescent="0.3">
      <c r="A367" t="s">
        <v>106</v>
      </c>
      <c r="B367" t="s">
        <v>288</v>
      </c>
      <c r="C367" t="s">
        <v>177</v>
      </c>
      <c r="D367" t="s">
        <v>266</v>
      </c>
      <c r="E367" t="s">
        <v>154</v>
      </c>
      <c r="F367">
        <v>146</v>
      </c>
      <c r="G367">
        <v>110</v>
      </c>
      <c r="H367" t="s">
        <v>215</v>
      </c>
      <c r="L367">
        <v>16000</v>
      </c>
    </row>
    <row r="368" spans="1:13" hidden="1" x14ac:dyDescent="0.3">
      <c r="A368" t="s">
        <v>106</v>
      </c>
      <c r="B368" t="s">
        <v>288</v>
      </c>
      <c r="C368" t="s">
        <v>151</v>
      </c>
      <c r="D368" t="s">
        <v>266</v>
      </c>
      <c r="E368" t="s">
        <v>154</v>
      </c>
      <c r="F368">
        <v>180</v>
      </c>
      <c r="G368">
        <v>170</v>
      </c>
      <c r="L368">
        <v>46000</v>
      </c>
    </row>
    <row r="369" spans="1:13" x14ac:dyDescent="0.3">
      <c r="A369" t="s">
        <v>106</v>
      </c>
      <c r="B369" t="s">
        <v>288</v>
      </c>
      <c r="C369" t="s">
        <v>152</v>
      </c>
      <c r="D369" t="s">
        <v>266</v>
      </c>
      <c r="E369" t="s">
        <v>154</v>
      </c>
      <c r="F369" s="3">
        <v>9530</v>
      </c>
      <c r="G369" s="3">
        <v>9500</v>
      </c>
      <c r="L369">
        <v>320000</v>
      </c>
    </row>
    <row r="370" spans="1:13" hidden="1" x14ac:dyDescent="0.3">
      <c r="A370" t="s">
        <v>106</v>
      </c>
      <c r="B370" t="s">
        <v>290</v>
      </c>
      <c r="C370" t="s">
        <v>134</v>
      </c>
      <c r="D370" t="s">
        <v>42</v>
      </c>
      <c r="E370" t="s">
        <v>291</v>
      </c>
    </row>
    <row r="371" spans="1:13" hidden="1" x14ac:dyDescent="0.3">
      <c r="A371" t="s">
        <v>106</v>
      </c>
      <c r="B371" t="s">
        <v>290</v>
      </c>
      <c r="C371" t="s">
        <v>143</v>
      </c>
      <c r="D371" t="s">
        <v>42</v>
      </c>
      <c r="E371" t="s">
        <v>291</v>
      </c>
      <c r="F371">
        <v>621000</v>
      </c>
      <c r="G371">
        <v>750000</v>
      </c>
      <c r="H371" t="s">
        <v>292</v>
      </c>
      <c r="J371">
        <v>1000000</v>
      </c>
    </row>
    <row r="372" spans="1:13" hidden="1" x14ac:dyDescent="0.3">
      <c r="A372" t="s">
        <v>106</v>
      </c>
      <c r="B372" t="s">
        <v>290</v>
      </c>
      <c r="C372" t="s">
        <v>147</v>
      </c>
      <c r="D372" t="s">
        <v>42</v>
      </c>
      <c r="E372" t="s">
        <v>291</v>
      </c>
      <c r="F372">
        <v>3000</v>
      </c>
      <c r="G372">
        <v>3000</v>
      </c>
      <c r="J372">
        <v>10000</v>
      </c>
    </row>
    <row r="373" spans="1:13" hidden="1" x14ac:dyDescent="0.3">
      <c r="A373" t="s">
        <v>106</v>
      </c>
      <c r="B373" t="s">
        <v>290</v>
      </c>
      <c r="C373" t="s">
        <v>214</v>
      </c>
      <c r="D373" t="s">
        <v>42</v>
      </c>
      <c r="E373" t="s">
        <v>291</v>
      </c>
      <c r="F373">
        <v>3000</v>
      </c>
      <c r="G373">
        <v>3000</v>
      </c>
      <c r="J373">
        <v>16000</v>
      </c>
    </row>
    <row r="374" spans="1:13" hidden="1" x14ac:dyDescent="0.3">
      <c r="A374" t="s">
        <v>106</v>
      </c>
      <c r="B374" t="s">
        <v>290</v>
      </c>
      <c r="C374" t="s">
        <v>160</v>
      </c>
      <c r="D374" t="s">
        <v>42</v>
      </c>
      <c r="E374" t="s">
        <v>291</v>
      </c>
      <c r="F374">
        <v>6000</v>
      </c>
      <c r="G374">
        <v>6000</v>
      </c>
      <c r="J374">
        <v>10000</v>
      </c>
    </row>
    <row r="375" spans="1:13" hidden="1" x14ac:dyDescent="0.3">
      <c r="A375" t="s">
        <v>106</v>
      </c>
      <c r="B375" t="s">
        <v>290</v>
      </c>
      <c r="C375" t="s">
        <v>151</v>
      </c>
      <c r="D375" t="s">
        <v>42</v>
      </c>
      <c r="E375" t="s">
        <v>291</v>
      </c>
      <c r="H375" t="s">
        <v>293</v>
      </c>
      <c r="J375">
        <v>88000</v>
      </c>
      <c r="K375" t="s">
        <v>294</v>
      </c>
    </row>
    <row r="376" spans="1:13" x14ac:dyDescent="0.3">
      <c r="A376" t="s">
        <v>106</v>
      </c>
      <c r="B376" t="s">
        <v>290</v>
      </c>
      <c r="C376" t="s">
        <v>152</v>
      </c>
      <c r="D376" t="s">
        <v>42</v>
      </c>
      <c r="E376" t="s">
        <v>291</v>
      </c>
      <c r="F376" s="3">
        <v>633000</v>
      </c>
      <c r="G376" s="3">
        <v>760000</v>
      </c>
      <c r="J376">
        <v>1100000</v>
      </c>
      <c r="K376" t="s">
        <v>294</v>
      </c>
    </row>
    <row r="377" spans="1:13" hidden="1" x14ac:dyDescent="0.3">
      <c r="A377" t="s">
        <v>106</v>
      </c>
      <c r="B377" t="s">
        <v>295</v>
      </c>
      <c r="C377" t="s">
        <v>134</v>
      </c>
      <c r="D377" t="s">
        <v>266</v>
      </c>
      <c r="E377" t="s">
        <v>136</v>
      </c>
      <c r="F377">
        <v>71900</v>
      </c>
      <c r="G377">
        <v>80000</v>
      </c>
      <c r="L377">
        <v>5000000</v>
      </c>
    </row>
    <row r="378" spans="1:13" hidden="1" x14ac:dyDescent="0.3">
      <c r="A378" t="s">
        <v>106</v>
      </c>
      <c r="B378" t="s">
        <v>295</v>
      </c>
      <c r="C378" t="s">
        <v>140</v>
      </c>
      <c r="D378" t="s">
        <v>266</v>
      </c>
      <c r="E378" t="s">
        <v>136</v>
      </c>
      <c r="F378">
        <v>390000</v>
      </c>
      <c r="G378">
        <v>390000</v>
      </c>
      <c r="M378" t="s">
        <v>296</v>
      </c>
    </row>
    <row r="379" spans="1:13" hidden="1" x14ac:dyDescent="0.3">
      <c r="A379" t="s">
        <v>106</v>
      </c>
      <c r="B379" t="s">
        <v>295</v>
      </c>
      <c r="C379" t="s">
        <v>143</v>
      </c>
      <c r="D379" t="s">
        <v>266</v>
      </c>
      <c r="E379" t="s">
        <v>136</v>
      </c>
      <c r="F379">
        <v>310000</v>
      </c>
      <c r="G379">
        <v>310000</v>
      </c>
      <c r="L379">
        <v>37000000</v>
      </c>
    </row>
    <row r="380" spans="1:13" hidden="1" x14ac:dyDescent="0.3">
      <c r="A380" t="s">
        <v>106</v>
      </c>
      <c r="B380" t="s">
        <v>295</v>
      </c>
      <c r="C380" t="s">
        <v>258</v>
      </c>
      <c r="D380" t="s">
        <v>266</v>
      </c>
      <c r="E380" t="s">
        <v>136</v>
      </c>
      <c r="F380">
        <v>3000</v>
      </c>
      <c r="G380">
        <v>3000</v>
      </c>
      <c r="M380" t="s">
        <v>169</v>
      </c>
    </row>
    <row r="381" spans="1:13" hidden="1" x14ac:dyDescent="0.3">
      <c r="A381" t="s">
        <v>106</v>
      </c>
      <c r="B381" t="s">
        <v>295</v>
      </c>
      <c r="C381" t="s">
        <v>146</v>
      </c>
      <c r="D381" t="s">
        <v>266</v>
      </c>
      <c r="E381" t="s">
        <v>136</v>
      </c>
      <c r="F381">
        <v>15000</v>
      </c>
      <c r="G381">
        <v>15000</v>
      </c>
      <c r="L381">
        <v>8600000</v>
      </c>
    </row>
    <row r="382" spans="1:13" hidden="1" x14ac:dyDescent="0.3">
      <c r="A382" t="s">
        <v>106</v>
      </c>
      <c r="B382" t="s">
        <v>295</v>
      </c>
      <c r="C382" t="s">
        <v>174</v>
      </c>
      <c r="D382" t="s">
        <v>266</v>
      </c>
      <c r="E382" t="s">
        <v>136</v>
      </c>
      <c r="F382">
        <v>1900</v>
      </c>
      <c r="G382">
        <v>1900</v>
      </c>
      <c r="M382" t="s">
        <v>169</v>
      </c>
    </row>
    <row r="383" spans="1:13" hidden="1" x14ac:dyDescent="0.3">
      <c r="A383" t="s">
        <v>106</v>
      </c>
      <c r="B383" t="s">
        <v>295</v>
      </c>
      <c r="C383" t="s">
        <v>252</v>
      </c>
      <c r="D383" t="s">
        <v>266</v>
      </c>
      <c r="E383" t="s">
        <v>136</v>
      </c>
      <c r="F383">
        <v>180000</v>
      </c>
      <c r="G383">
        <v>180000</v>
      </c>
      <c r="L383">
        <v>880000</v>
      </c>
    </row>
    <row r="384" spans="1:13" x14ac:dyDescent="0.3">
      <c r="A384" t="s">
        <v>106</v>
      </c>
      <c r="B384" t="s">
        <v>295</v>
      </c>
      <c r="C384" t="s">
        <v>152</v>
      </c>
      <c r="D384" t="s">
        <v>266</v>
      </c>
      <c r="E384" t="s">
        <v>136</v>
      </c>
      <c r="F384" s="3">
        <v>972000</v>
      </c>
      <c r="G384" s="3">
        <v>980000</v>
      </c>
      <c r="M384" t="s">
        <v>296</v>
      </c>
    </row>
    <row r="385" spans="1:13" hidden="1" x14ac:dyDescent="0.3">
      <c r="A385" t="s">
        <v>106</v>
      </c>
      <c r="B385" t="s">
        <v>297</v>
      </c>
      <c r="C385" t="s">
        <v>134</v>
      </c>
      <c r="D385" t="s">
        <v>298</v>
      </c>
      <c r="E385" t="s">
        <v>299</v>
      </c>
      <c r="M385" t="s">
        <v>169</v>
      </c>
    </row>
    <row r="386" spans="1:13" hidden="1" x14ac:dyDescent="0.3">
      <c r="A386" t="s">
        <v>106</v>
      </c>
      <c r="B386" t="s">
        <v>297</v>
      </c>
      <c r="C386" t="s">
        <v>279</v>
      </c>
      <c r="D386" t="s">
        <v>298</v>
      </c>
      <c r="E386" t="s">
        <v>299</v>
      </c>
      <c r="F386">
        <v>8780</v>
      </c>
      <c r="G386">
        <v>8800</v>
      </c>
      <c r="L386">
        <v>150000</v>
      </c>
    </row>
    <row r="387" spans="1:13" hidden="1" x14ac:dyDescent="0.3">
      <c r="A387" t="s">
        <v>106</v>
      </c>
      <c r="B387" t="s">
        <v>297</v>
      </c>
      <c r="C387" t="s">
        <v>280</v>
      </c>
      <c r="D387" t="s">
        <v>298</v>
      </c>
      <c r="E387" t="s">
        <v>299</v>
      </c>
      <c r="F387">
        <v>17600</v>
      </c>
      <c r="G387">
        <v>18000</v>
      </c>
      <c r="L387">
        <v>250000</v>
      </c>
    </row>
    <row r="388" spans="1:13" hidden="1" x14ac:dyDescent="0.3">
      <c r="A388" t="s">
        <v>106</v>
      </c>
      <c r="B388" t="s">
        <v>297</v>
      </c>
      <c r="C388" t="s">
        <v>156</v>
      </c>
      <c r="D388" t="s">
        <v>298</v>
      </c>
      <c r="E388" t="s">
        <v>299</v>
      </c>
      <c r="F388">
        <v>16000</v>
      </c>
      <c r="G388">
        <v>16000</v>
      </c>
      <c r="L388">
        <v>110000</v>
      </c>
    </row>
    <row r="389" spans="1:13" hidden="1" x14ac:dyDescent="0.3">
      <c r="A389" t="s">
        <v>106</v>
      </c>
      <c r="B389" t="s">
        <v>297</v>
      </c>
      <c r="C389" t="s">
        <v>269</v>
      </c>
      <c r="D389" t="s">
        <v>298</v>
      </c>
      <c r="E389" t="s">
        <v>299</v>
      </c>
      <c r="F389">
        <v>1670</v>
      </c>
      <c r="G389">
        <v>1700</v>
      </c>
      <c r="L389">
        <v>150000</v>
      </c>
    </row>
    <row r="390" spans="1:13" hidden="1" x14ac:dyDescent="0.3">
      <c r="A390" t="s">
        <v>106</v>
      </c>
      <c r="B390" t="s">
        <v>297</v>
      </c>
      <c r="C390" t="s">
        <v>300</v>
      </c>
      <c r="D390" t="s">
        <v>298</v>
      </c>
      <c r="E390" t="s">
        <v>299</v>
      </c>
      <c r="F390">
        <v>203</v>
      </c>
      <c r="G390">
        <v>200</v>
      </c>
      <c r="M390" t="s">
        <v>169</v>
      </c>
    </row>
    <row r="391" spans="1:13" hidden="1" x14ac:dyDescent="0.3">
      <c r="A391" t="s">
        <v>106</v>
      </c>
      <c r="B391" t="s">
        <v>297</v>
      </c>
      <c r="C391" t="s">
        <v>197</v>
      </c>
      <c r="D391" t="s">
        <v>298</v>
      </c>
      <c r="E391" t="s">
        <v>299</v>
      </c>
      <c r="F391">
        <v>96</v>
      </c>
      <c r="G391">
        <v>96</v>
      </c>
      <c r="M391" t="s">
        <v>169</v>
      </c>
    </row>
    <row r="392" spans="1:13" hidden="1" x14ac:dyDescent="0.3">
      <c r="A392" t="s">
        <v>106</v>
      </c>
      <c r="B392" t="s">
        <v>297</v>
      </c>
      <c r="C392" t="s">
        <v>301</v>
      </c>
      <c r="D392" t="s">
        <v>298</v>
      </c>
      <c r="E392" t="s">
        <v>299</v>
      </c>
      <c r="F392">
        <v>472</v>
      </c>
      <c r="G392">
        <v>470</v>
      </c>
      <c r="M392" t="s">
        <v>169</v>
      </c>
    </row>
    <row r="393" spans="1:13" hidden="1" x14ac:dyDescent="0.3">
      <c r="A393" t="s">
        <v>106</v>
      </c>
      <c r="B393" t="s">
        <v>297</v>
      </c>
      <c r="C393" t="s">
        <v>302</v>
      </c>
      <c r="D393" t="s">
        <v>298</v>
      </c>
      <c r="E393" t="s">
        <v>299</v>
      </c>
      <c r="F393">
        <v>2390</v>
      </c>
      <c r="G393">
        <v>2400</v>
      </c>
      <c r="M393" t="s">
        <v>169</v>
      </c>
    </row>
    <row r="394" spans="1:13" hidden="1" x14ac:dyDescent="0.3">
      <c r="A394" t="s">
        <v>106</v>
      </c>
      <c r="B394" t="s">
        <v>297</v>
      </c>
      <c r="C394" t="s">
        <v>160</v>
      </c>
      <c r="D394" t="s">
        <v>298</v>
      </c>
      <c r="E394" t="s">
        <v>299</v>
      </c>
      <c r="F394">
        <v>20900</v>
      </c>
      <c r="G394">
        <v>21000</v>
      </c>
      <c r="L394">
        <v>990000</v>
      </c>
    </row>
    <row r="395" spans="1:13" hidden="1" x14ac:dyDescent="0.3">
      <c r="A395" t="s">
        <v>106</v>
      </c>
      <c r="B395" t="s">
        <v>297</v>
      </c>
      <c r="C395" t="s">
        <v>303</v>
      </c>
      <c r="D395" t="s">
        <v>298</v>
      </c>
      <c r="E395" t="s">
        <v>299</v>
      </c>
      <c r="F395">
        <v>420</v>
      </c>
      <c r="G395">
        <v>420</v>
      </c>
      <c r="M395" t="s">
        <v>169</v>
      </c>
    </row>
    <row r="396" spans="1:13" hidden="1" x14ac:dyDescent="0.3">
      <c r="A396" t="s">
        <v>106</v>
      </c>
      <c r="B396" t="s">
        <v>297</v>
      </c>
      <c r="C396" t="s">
        <v>252</v>
      </c>
      <c r="D396" t="s">
        <v>298</v>
      </c>
      <c r="E396" t="s">
        <v>299</v>
      </c>
      <c r="F396">
        <v>2360</v>
      </c>
      <c r="G396">
        <v>2400</v>
      </c>
      <c r="L396">
        <v>85000</v>
      </c>
    </row>
    <row r="397" spans="1:13" hidden="1" x14ac:dyDescent="0.3">
      <c r="A397" t="s">
        <v>106</v>
      </c>
      <c r="B397" t="s">
        <v>297</v>
      </c>
      <c r="C397" t="s">
        <v>304</v>
      </c>
      <c r="D397" t="s">
        <v>298</v>
      </c>
      <c r="E397" t="s">
        <v>299</v>
      </c>
      <c r="F397">
        <v>162</v>
      </c>
      <c r="G397">
        <v>160</v>
      </c>
      <c r="M397" t="s">
        <v>169</v>
      </c>
    </row>
    <row r="398" spans="1:13" hidden="1" x14ac:dyDescent="0.3">
      <c r="A398" t="s">
        <v>106</v>
      </c>
      <c r="B398" t="s">
        <v>297</v>
      </c>
      <c r="C398" t="s">
        <v>253</v>
      </c>
      <c r="D398" t="s">
        <v>298</v>
      </c>
      <c r="E398" t="s">
        <v>299</v>
      </c>
      <c r="F398">
        <v>491</v>
      </c>
      <c r="G398">
        <v>490</v>
      </c>
      <c r="M398" t="s">
        <v>169</v>
      </c>
    </row>
    <row r="399" spans="1:13" hidden="1" x14ac:dyDescent="0.3">
      <c r="A399" t="s">
        <v>106</v>
      </c>
      <c r="B399" t="s">
        <v>297</v>
      </c>
      <c r="C399" t="s">
        <v>151</v>
      </c>
      <c r="D399" t="s">
        <v>298</v>
      </c>
      <c r="E399" t="s">
        <v>299</v>
      </c>
      <c r="F399">
        <v>280</v>
      </c>
      <c r="G399">
        <v>280</v>
      </c>
      <c r="L399">
        <v>120000</v>
      </c>
    </row>
    <row r="400" spans="1:13" x14ac:dyDescent="0.3">
      <c r="A400" t="s">
        <v>106</v>
      </c>
      <c r="B400" t="s">
        <v>297</v>
      </c>
      <c r="C400" t="s">
        <v>152</v>
      </c>
      <c r="D400" t="s">
        <v>298</v>
      </c>
      <c r="E400" t="s">
        <v>299</v>
      </c>
      <c r="F400" s="3">
        <v>71800</v>
      </c>
      <c r="G400" s="3">
        <v>72000</v>
      </c>
      <c r="L400" t="s">
        <v>179</v>
      </c>
    </row>
    <row r="401" spans="1:13" hidden="1" x14ac:dyDescent="0.3">
      <c r="A401" t="s">
        <v>106</v>
      </c>
      <c r="B401" t="s">
        <v>305</v>
      </c>
      <c r="C401" t="s">
        <v>134</v>
      </c>
      <c r="D401" t="s">
        <v>306</v>
      </c>
      <c r="E401" t="s">
        <v>291</v>
      </c>
    </row>
    <row r="402" spans="1:13" hidden="1" x14ac:dyDescent="0.3">
      <c r="A402" t="s">
        <v>106</v>
      </c>
      <c r="B402" t="s">
        <v>305</v>
      </c>
      <c r="C402" t="s">
        <v>180</v>
      </c>
      <c r="D402" t="s">
        <v>306</v>
      </c>
      <c r="E402" t="s">
        <v>291</v>
      </c>
    </row>
    <row r="403" spans="1:13" hidden="1" x14ac:dyDescent="0.3">
      <c r="A403" t="s">
        <v>106</v>
      </c>
      <c r="B403" t="s">
        <v>305</v>
      </c>
      <c r="C403" t="s">
        <v>156</v>
      </c>
      <c r="D403" t="s">
        <v>306</v>
      </c>
      <c r="E403" t="s">
        <v>291</v>
      </c>
    </row>
    <row r="404" spans="1:13" hidden="1" x14ac:dyDescent="0.3">
      <c r="A404" t="s">
        <v>106</v>
      </c>
      <c r="B404" t="s">
        <v>305</v>
      </c>
      <c r="C404" t="s">
        <v>143</v>
      </c>
      <c r="D404" t="s">
        <v>306</v>
      </c>
      <c r="E404" t="s">
        <v>291</v>
      </c>
    </row>
    <row r="405" spans="1:13" hidden="1" x14ac:dyDescent="0.3">
      <c r="A405" t="s">
        <v>106</v>
      </c>
      <c r="B405" t="s">
        <v>305</v>
      </c>
      <c r="C405" t="s">
        <v>145</v>
      </c>
      <c r="D405" t="s">
        <v>306</v>
      </c>
      <c r="E405" t="s">
        <v>291</v>
      </c>
    </row>
    <row r="406" spans="1:13" hidden="1" x14ac:dyDescent="0.3">
      <c r="A406" t="s">
        <v>106</v>
      </c>
      <c r="B406" t="s">
        <v>305</v>
      </c>
      <c r="C406" t="s">
        <v>160</v>
      </c>
      <c r="D406" t="s">
        <v>306</v>
      </c>
      <c r="E406" t="s">
        <v>291</v>
      </c>
    </row>
    <row r="407" spans="1:13" hidden="1" x14ac:dyDescent="0.3">
      <c r="A407" t="s">
        <v>106</v>
      </c>
      <c r="B407" t="s">
        <v>305</v>
      </c>
      <c r="C407" t="s">
        <v>151</v>
      </c>
      <c r="D407" t="s">
        <v>306</v>
      </c>
      <c r="E407" t="s">
        <v>291</v>
      </c>
    </row>
    <row r="408" spans="1:13" x14ac:dyDescent="0.3">
      <c r="A408" t="s">
        <v>106</v>
      </c>
      <c r="B408" t="s">
        <v>305</v>
      </c>
      <c r="C408" t="s">
        <v>152</v>
      </c>
      <c r="D408" t="s">
        <v>306</v>
      </c>
      <c r="E408" t="s">
        <v>291</v>
      </c>
      <c r="F408" s="3"/>
      <c r="G408" s="3"/>
    </row>
    <row r="409" spans="1:13" hidden="1" x14ac:dyDescent="0.3">
      <c r="A409" t="s">
        <v>106</v>
      </c>
      <c r="B409" t="s">
        <v>307</v>
      </c>
      <c r="C409" t="s">
        <v>134</v>
      </c>
      <c r="D409" t="s">
        <v>308</v>
      </c>
      <c r="E409" t="s">
        <v>136</v>
      </c>
      <c r="F409">
        <v>170</v>
      </c>
      <c r="G409">
        <v>160</v>
      </c>
      <c r="L409">
        <v>3000</v>
      </c>
    </row>
    <row r="410" spans="1:13" hidden="1" x14ac:dyDescent="0.3">
      <c r="A410" t="s">
        <v>106</v>
      </c>
      <c r="B410" t="s">
        <v>307</v>
      </c>
      <c r="C410" t="s">
        <v>140</v>
      </c>
      <c r="D410" t="s">
        <v>308</v>
      </c>
      <c r="E410" t="s">
        <v>136</v>
      </c>
      <c r="F410">
        <v>296</v>
      </c>
      <c r="G410">
        <v>290</v>
      </c>
      <c r="L410">
        <v>12000</v>
      </c>
      <c r="M410" t="s">
        <v>309</v>
      </c>
    </row>
    <row r="411" spans="1:13" hidden="1" x14ac:dyDescent="0.3">
      <c r="A411" t="s">
        <v>106</v>
      </c>
      <c r="B411" t="s">
        <v>307</v>
      </c>
      <c r="C411" t="s">
        <v>142</v>
      </c>
      <c r="D411" t="s">
        <v>308</v>
      </c>
      <c r="E411" t="s">
        <v>136</v>
      </c>
      <c r="F411">
        <v>71</v>
      </c>
      <c r="G411">
        <v>70</v>
      </c>
      <c r="L411">
        <v>2400</v>
      </c>
    </row>
    <row r="412" spans="1:13" hidden="1" x14ac:dyDescent="0.3">
      <c r="A412" t="s">
        <v>106</v>
      </c>
      <c r="B412" t="s">
        <v>307</v>
      </c>
      <c r="C412" t="s">
        <v>310</v>
      </c>
      <c r="D412" t="s">
        <v>308</v>
      </c>
      <c r="E412" t="s">
        <v>136</v>
      </c>
      <c r="F412">
        <v>57</v>
      </c>
      <c r="G412">
        <v>60</v>
      </c>
      <c r="M412" t="s">
        <v>169</v>
      </c>
    </row>
    <row r="413" spans="1:13" hidden="1" x14ac:dyDescent="0.3">
      <c r="A413" t="s">
        <v>106</v>
      </c>
      <c r="B413" t="s">
        <v>307</v>
      </c>
      <c r="C413" t="s">
        <v>156</v>
      </c>
      <c r="D413" t="s">
        <v>308</v>
      </c>
      <c r="E413" t="s">
        <v>136</v>
      </c>
      <c r="F413">
        <v>198</v>
      </c>
      <c r="G413">
        <v>200</v>
      </c>
      <c r="L413">
        <v>3200</v>
      </c>
    </row>
    <row r="414" spans="1:13" hidden="1" x14ac:dyDescent="0.3">
      <c r="A414" t="s">
        <v>106</v>
      </c>
      <c r="B414" t="s">
        <v>307</v>
      </c>
      <c r="C414" t="s">
        <v>143</v>
      </c>
      <c r="D414" t="s">
        <v>308</v>
      </c>
      <c r="E414" t="s">
        <v>136</v>
      </c>
      <c r="F414">
        <v>375</v>
      </c>
      <c r="G414">
        <v>380</v>
      </c>
      <c r="L414">
        <v>3100</v>
      </c>
    </row>
    <row r="415" spans="1:13" hidden="1" x14ac:dyDescent="0.3">
      <c r="A415" t="s">
        <v>106</v>
      </c>
      <c r="B415" t="s">
        <v>307</v>
      </c>
      <c r="C415" t="s">
        <v>311</v>
      </c>
      <c r="D415" t="s">
        <v>308</v>
      </c>
      <c r="E415" t="s">
        <v>136</v>
      </c>
      <c r="F415">
        <v>61</v>
      </c>
      <c r="G415">
        <v>60</v>
      </c>
      <c r="L415">
        <v>700</v>
      </c>
    </row>
    <row r="416" spans="1:13" hidden="1" x14ac:dyDescent="0.3">
      <c r="A416" t="s">
        <v>106</v>
      </c>
      <c r="B416" t="s">
        <v>307</v>
      </c>
      <c r="C416" t="s">
        <v>300</v>
      </c>
      <c r="D416" t="s">
        <v>308</v>
      </c>
      <c r="E416" t="s">
        <v>136</v>
      </c>
      <c r="F416">
        <v>126</v>
      </c>
      <c r="G416">
        <v>130</v>
      </c>
      <c r="L416">
        <v>1000</v>
      </c>
    </row>
    <row r="417" spans="1:13" hidden="1" x14ac:dyDescent="0.3">
      <c r="A417" t="s">
        <v>106</v>
      </c>
      <c r="B417" t="s">
        <v>307</v>
      </c>
      <c r="C417" t="s">
        <v>198</v>
      </c>
      <c r="D417" t="s">
        <v>308</v>
      </c>
      <c r="E417" t="s">
        <v>136</v>
      </c>
      <c r="F417">
        <v>100</v>
      </c>
      <c r="G417">
        <v>100</v>
      </c>
      <c r="H417" t="s">
        <v>157</v>
      </c>
      <c r="L417">
        <v>3600</v>
      </c>
    </row>
    <row r="418" spans="1:13" hidden="1" x14ac:dyDescent="0.3">
      <c r="A418" t="s">
        <v>106</v>
      </c>
      <c r="B418" t="s">
        <v>307</v>
      </c>
      <c r="C418" t="s">
        <v>171</v>
      </c>
      <c r="D418" t="s">
        <v>308</v>
      </c>
      <c r="E418" t="s">
        <v>136</v>
      </c>
      <c r="F418">
        <v>133</v>
      </c>
      <c r="G418">
        <v>130</v>
      </c>
      <c r="L418">
        <v>2300</v>
      </c>
    </row>
    <row r="419" spans="1:13" hidden="1" x14ac:dyDescent="0.3">
      <c r="A419" t="s">
        <v>106</v>
      </c>
      <c r="B419" t="s">
        <v>307</v>
      </c>
      <c r="C419" t="s">
        <v>312</v>
      </c>
      <c r="D419" t="s">
        <v>308</v>
      </c>
      <c r="E419" t="s">
        <v>136</v>
      </c>
      <c r="F419">
        <v>67</v>
      </c>
      <c r="G419">
        <v>70</v>
      </c>
      <c r="H419" t="s">
        <v>157</v>
      </c>
      <c r="L419">
        <v>800</v>
      </c>
    </row>
    <row r="420" spans="1:13" hidden="1" x14ac:dyDescent="0.3">
      <c r="A420" t="s">
        <v>106</v>
      </c>
      <c r="B420" t="s">
        <v>307</v>
      </c>
      <c r="C420" t="s">
        <v>148</v>
      </c>
      <c r="D420" t="s">
        <v>308</v>
      </c>
      <c r="E420" t="s">
        <v>136</v>
      </c>
      <c r="F420">
        <v>127</v>
      </c>
      <c r="G420">
        <v>130</v>
      </c>
      <c r="L420">
        <v>1400</v>
      </c>
    </row>
    <row r="421" spans="1:13" hidden="1" x14ac:dyDescent="0.3">
      <c r="A421" t="s">
        <v>106</v>
      </c>
      <c r="B421" t="s">
        <v>307</v>
      </c>
      <c r="C421" t="s">
        <v>182</v>
      </c>
      <c r="D421" t="s">
        <v>308</v>
      </c>
      <c r="E421" t="s">
        <v>136</v>
      </c>
      <c r="F421">
        <v>100</v>
      </c>
      <c r="G421">
        <v>100</v>
      </c>
      <c r="L421">
        <v>2500</v>
      </c>
    </row>
    <row r="422" spans="1:13" hidden="1" x14ac:dyDescent="0.3">
      <c r="A422" t="s">
        <v>106</v>
      </c>
      <c r="B422" t="s">
        <v>307</v>
      </c>
      <c r="C422" t="s">
        <v>160</v>
      </c>
      <c r="D422" t="s">
        <v>308</v>
      </c>
      <c r="E422" t="s">
        <v>136</v>
      </c>
      <c r="F422">
        <v>313</v>
      </c>
      <c r="G422">
        <v>310</v>
      </c>
      <c r="L422">
        <v>12000</v>
      </c>
    </row>
    <row r="423" spans="1:13" hidden="1" x14ac:dyDescent="0.3">
      <c r="A423" t="s">
        <v>106</v>
      </c>
      <c r="B423" t="s">
        <v>307</v>
      </c>
      <c r="C423" t="s">
        <v>252</v>
      </c>
      <c r="D423" t="s">
        <v>308</v>
      </c>
      <c r="E423" t="s">
        <v>136</v>
      </c>
      <c r="F423">
        <v>104</v>
      </c>
      <c r="G423">
        <v>100</v>
      </c>
      <c r="L423">
        <v>5000</v>
      </c>
    </row>
    <row r="424" spans="1:13" hidden="1" x14ac:dyDescent="0.3">
      <c r="A424" t="s">
        <v>106</v>
      </c>
      <c r="B424" t="s">
        <v>307</v>
      </c>
      <c r="C424" t="s">
        <v>304</v>
      </c>
      <c r="D424" t="s">
        <v>308</v>
      </c>
      <c r="E424" t="s">
        <v>136</v>
      </c>
      <c r="F424">
        <v>55</v>
      </c>
      <c r="G424">
        <v>60</v>
      </c>
      <c r="L424">
        <v>400</v>
      </c>
    </row>
    <row r="425" spans="1:13" hidden="1" x14ac:dyDescent="0.3">
      <c r="A425" t="s">
        <v>106</v>
      </c>
      <c r="B425" t="s">
        <v>307</v>
      </c>
      <c r="C425" t="s">
        <v>242</v>
      </c>
      <c r="D425" t="s">
        <v>308</v>
      </c>
      <c r="E425" t="s">
        <v>136</v>
      </c>
      <c r="F425">
        <v>120</v>
      </c>
      <c r="G425">
        <v>120</v>
      </c>
      <c r="L425">
        <v>1800</v>
      </c>
    </row>
    <row r="426" spans="1:13" hidden="1" x14ac:dyDescent="0.3">
      <c r="A426" t="s">
        <v>106</v>
      </c>
      <c r="B426" t="s">
        <v>307</v>
      </c>
      <c r="C426" t="s">
        <v>151</v>
      </c>
      <c r="D426" t="s">
        <v>308</v>
      </c>
      <c r="E426" t="s">
        <v>136</v>
      </c>
      <c r="F426">
        <v>777</v>
      </c>
      <c r="G426">
        <v>780</v>
      </c>
      <c r="L426">
        <v>9200</v>
      </c>
    </row>
    <row r="427" spans="1:13" x14ac:dyDescent="0.3">
      <c r="A427" t="s">
        <v>106</v>
      </c>
      <c r="B427" t="s">
        <v>307</v>
      </c>
      <c r="C427" t="s">
        <v>152</v>
      </c>
      <c r="D427" t="s">
        <v>308</v>
      </c>
      <c r="E427" t="s">
        <v>136</v>
      </c>
      <c r="F427" s="3">
        <v>3250</v>
      </c>
      <c r="G427" s="3">
        <v>3300</v>
      </c>
      <c r="L427">
        <v>64000</v>
      </c>
    </row>
    <row r="428" spans="1:13" hidden="1" x14ac:dyDescent="0.3">
      <c r="A428" t="s">
        <v>106</v>
      </c>
      <c r="B428" t="s">
        <v>12</v>
      </c>
      <c r="C428" t="s">
        <v>134</v>
      </c>
      <c r="D428" t="s">
        <v>43</v>
      </c>
      <c r="E428" t="s">
        <v>136</v>
      </c>
      <c r="M428" t="s">
        <v>313</v>
      </c>
    </row>
    <row r="429" spans="1:13" hidden="1" x14ac:dyDescent="0.3">
      <c r="A429" t="s">
        <v>106</v>
      </c>
      <c r="B429" t="s">
        <v>12</v>
      </c>
      <c r="C429" t="s">
        <v>141</v>
      </c>
      <c r="D429" t="s">
        <v>43</v>
      </c>
      <c r="E429" t="s">
        <v>136</v>
      </c>
      <c r="F429">
        <v>500</v>
      </c>
      <c r="G429">
        <v>500</v>
      </c>
      <c r="M429" t="s">
        <v>313</v>
      </c>
    </row>
    <row r="430" spans="1:13" hidden="1" x14ac:dyDescent="0.3">
      <c r="A430" t="s">
        <v>106</v>
      </c>
      <c r="B430" t="s">
        <v>12</v>
      </c>
      <c r="C430" t="s">
        <v>142</v>
      </c>
      <c r="D430" t="s">
        <v>43</v>
      </c>
      <c r="E430" t="s">
        <v>136</v>
      </c>
      <c r="F430">
        <v>66300</v>
      </c>
      <c r="G430">
        <v>68000</v>
      </c>
      <c r="L430">
        <v>74000000</v>
      </c>
    </row>
    <row r="431" spans="1:13" hidden="1" x14ac:dyDescent="0.3">
      <c r="A431" t="s">
        <v>106</v>
      </c>
      <c r="B431" t="s">
        <v>12</v>
      </c>
      <c r="C431" t="s">
        <v>156</v>
      </c>
      <c r="D431" t="s">
        <v>43</v>
      </c>
      <c r="E431" t="s">
        <v>136</v>
      </c>
      <c r="F431">
        <v>5470</v>
      </c>
      <c r="G431">
        <v>20000</v>
      </c>
      <c r="L431">
        <v>5900000</v>
      </c>
    </row>
    <row r="432" spans="1:13" hidden="1" x14ac:dyDescent="0.3">
      <c r="A432" t="s">
        <v>106</v>
      </c>
      <c r="B432" t="s">
        <v>12</v>
      </c>
      <c r="C432" t="s">
        <v>143</v>
      </c>
      <c r="D432" t="s">
        <v>43</v>
      </c>
      <c r="E432" t="s">
        <v>136</v>
      </c>
      <c r="F432">
        <v>1210000</v>
      </c>
      <c r="G432">
        <v>1270000</v>
      </c>
      <c r="L432">
        <v>81000000</v>
      </c>
    </row>
    <row r="433" spans="1:13" hidden="1" x14ac:dyDescent="0.3">
      <c r="A433" t="s">
        <v>106</v>
      </c>
      <c r="B433" t="s">
        <v>12</v>
      </c>
      <c r="C433" t="s">
        <v>145</v>
      </c>
      <c r="D433" t="s">
        <v>43</v>
      </c>
      <c r="E433" t="s">
        <v>136</v>
      </c>
      <c r="F433">
        <v>180</v>
      </c>
      <c r="G433">
        <v>170</v>
      </c>
      <c r="M433" t="s">
        <v>313</v>
      </c>
    </row>
    <row r="434" spans="1:13" hidden="1" x14ac:dyDescent="0.3">
      <c r="A434" t="s">
        <v>106</v>
      </c>
      <c r="B434" t="s">
        <v>12</v>
      </c>
      <c r="C434" t="s">
        <v>146</v>
      </c>
      <c r="D434" t="s">
        <v>43</v>
      </c>
      <c r="E434" t="s">
        <v>136</v>
      </c>
      <c r="F434">
        <v>25600</v>
      </c>
      <c r="G434">
        <v>27800</v>
      </c>
      <c r="L434">
        <v>8600000</v>
      </c>
    </row>
    <row r="435" spans="1:13" hidden="1" x14ac:dyDescent="0.3">
      <c r="A435" t="s">
        <v>106</v>
      </c>
      <c r="B435" t="s">
        <v>12</v>
      </c>
      <c r="C435" t="s">
        <v>314</v>
      </c>
      <c r="D435" t="s">
        <v>43</v>
      </c>
      <c r="E435" t="s">
        <v>136</v>
      </c>
      <c r="F435">
        <v>8100</v>
      </c>
      <c r="G435">
        <v>8100</v>
      </c>
      <c r="H435" t="s">
        <v>157</v>
      </c>
      <c r="L435">
        <v>2000000</v>
      </c>
    </row>
    <row r="436" spans="1:13" hidden="1" x14ac:dyDescent="0.3">
      <c r="A436" t="s">
        <v>106</v>
      </c>
      <c r="B436" t="s">
        <v>12</v>
      </c>
      <c r="C436" t="s">
        <v>214</v>
      </c>
      <c r="D436" t="s">
        <v>43</v>
      </c>
      <c r="E436" t="s">
        <v>136</v>
      </c>
      <c r="F436">
        <v>9620</v>
      </c>
      <c r="G436">
        <v>9600</v>
      </c>
      <c r="L436">
        <v>1800000</v>
      </c>
    </row>
    <row r="437" spans="1:13" hidden="1" x14ac:dyDescent="0.3">
      <c r="A437" t="s">
        <v>106</v>
      </c>
      <c r="B437" t="s">
        <v>12</v>
      </c>
      <c r="C437" t="s">
        <v>208</v>
      </c>
      <c r="D437" t="s">
        <v>43</v>
      </c>
      <c r="E437" t="s">
        <v>136</v>
      </c>
      <c r="F437">
        <v>63000</v>
      </c>
      <c r="G437">
        <v>89000</v>
      </c>
      <c r="H437" t="s">
        <v>157</v>
      </c>
      <c r="L437">
        <v>27000000</v>
      </c>
    </row>
    <row r="438" spans="1:13" hidden="1" x14ac:dyDescent="0.3">
      <c r="A438" t="s">
        <v>106</v>
      </c>
      <c r="B438" t="s">
        <v>12</v>
      </c>
      <c r="C438" t="s">
        <v>148</v>
      </c>
      <c r="D438" t="s">
        <v>43</v>
      </c>
      <c r="E438" t="s">
        <v>136</v>
      </c>
      <c r="F438">
        <v>1300</v>
      </c>
      <c r="G438">
        <v>900</v>
      </c>
      <c r="L438">
        <v>3100000</v>
      </c>
    </row>
    <row r="439" spans="1:13" hidden="1" x14ac:dyDescent="0.3">
      <c r="A439" t="s">
        <v>106</v>
      </c>
      <c r="B439" t="s">
        <v>12</v>
      </c>
      <c r="C439" t="s">
        <v>209</v>
      </c>
      <c r="D439" t="s">
        <v>43</v>
      </c>
      <c r="E439" t="s">
        <v>136</v>
      </c>
      <c r="F439">
        <v>98000</v>
      </c>
      <c r="G439">
        <v>75000</v>
      </c>
      <c r="H439" t="s">
        <v>157</v>
      </c>
      <c r="L439">
        <v>25000000</v>
      </c>
    </row>
    <row r="440" spans="1:13" hidden="1" x14ac:dyDescent="0.3">
      <c r="A440" t="s">
        <v>106</v>
      </c>
      <c r="B440" t="s">
        <v>12</v>
      </c>
      <c r="C440" t="s">
        <v>149</v>
      </c>
      <c r="D440" t="s">
        <v>43</v>
      </c>
      <c r="E440" t="s">
        <v>136</v>
      </c>
      <c r="F440">
        <v>6480</v>
      </c>
      <c r="G440">
        <v>7000</v>
      </c>
      <c r="L440">
        <v>600000</v>
      </c>
    </row>
    <row r="441" spans="1:13" hidden="1" x14ac:dyDescent="0.3">
      <c r="A441" t="s">
        <v>106</v>
      </c>
      <c r="B441" t="s">
        <v>12</v>
      </c>
      <c r="C441" t="s">
        <v>160</v>
      </c>
      <c r="D441" t="s">
        <v>43</v>
      </c>
      <c r="E441" t="s">
        <v>136</v>
      </c>
      <c r="F441">
        <v>15000</v>
      </c>
      <c r="G441">
        <v>20000</v>
      </c>
      <c r="H441" t="s">
        <v>157</v>
      </c>
      <c r="L441">
        <v>14000000</v>
      </c>
    </row>
    <row r="442" spans="1:13" hidden="1" x14ac:dyDescent="0.3">
      <c r="A442" t="s">
        <v>106</v>
      </c>
      <c r="B442" t="s">
        <v>12</v>
      </c>
      <c r="C442" t="s">
        <v>315</v>
      </c>
      <c r="D442" t="s">
        <v>43</v>
      </c>
      <c r="E442" t="s">
        <v>136</v>
      </c>
      <c r="F442">
        <v>3000</v>
      </c>
      <c r="G442">
        <v>3300</v>
      </c>
      <c r="L442">
        <v>1500000</v>
      </c>
    </row>
    <row r="443" spans="1:13" hidden="1" x14ac:dyDescent="0.3">
      <c r="A443" t="s">
        <v>106</v>
      </c>
      <c r="B443" t="s">
        <v>12</v>
      </c>
      <c r="C443" t="s">
        <v>304</v>
      </c>
      <c r="D443" t="s">
        <v>43</v>
      </c>
      <c r="E443" t="s">
        <v>136</v>
      </c>
      <c r="F443">
        <v>13200</v>
      </c>
      <c r="G443">
        <v>25000</v>
      </c>
      <c r="H443" t="s">
        <v>157</v>
      </c>
      <c r="L443">
        <v>18000000</v>
      </c>
    </row>
    <row r="444" spans="1:13" hidden="1" x14ac:dyDescent="0.3">
      <c r="A444" t="s">
        <v>106</v>
      </c>
      <c r="B444" t="s">
        <v>12</v>
      </c>
      <c r="C444" t="s">
        <v>176</v>
      </c>
      <c r="D444" t="s">
        <v>43</v>
      </c>
      <c r="E444" t="s">
        <v>136</v>
      </c>
      <c r="F444">
        <v>2800</v>
      </c>
      <c r="G444">
        <v>3100</v>
      </c>
      <c r="L444">
        <v>6900000</v>
      </c>
    </row>
    <row r="445" spans="1:13" hidden="1" x14ac:dyDescent="0.3">
      <c r="A445" t="s">
        <v>106</v>
      </c>
      <c r="B445" t="s">
        <v>12</v>
      </c>
      <c r="C445" t="s">
        <v>235</v>
      </c>
      <c r="D445" t="s">
        <v>43</v>
      </c>
      <c r="E445" t="s">
        <v>136</v>
      </c>
      <c r="F445">
        <v>1670</v>
      </c>
      <c r="G445">
        <v>1200</v>
      </c>
      <c r="M445" t="s">
        <v>313</v>
      </c>
    </row>
    <row r="446" spans="1:13" hidden="1" x14ac:dyDescent="0.3">
      <c r="A446" t="s">
        <v>106</v>
      </c>
      <c r="B446" t="s">
        <v>12</v>
      </c>
      <c r="C446" t="s">
        <v>177</v>
      </c>
      <c r="D446" t="s">
        <v>43</v>
      </c>
      <c r="E446" t="s">
        <v>136</v>
      </c>
      <c r="F446">
        <v>2500</v>
      </c>
      <c r="G446">
        <v>2000</v>
      </c>
      <c r="L446">
        <v>9700000</v>
      </c>
    </row>
    <row r="447" spans="1:13" x14ac:dyDescent="0.3">
      <c r="A447" t="s">
        <v>106</v>
      </c>
      <c r="B447" t="s">
        <v>12</v>
      </c>
      <c r="C447" t="s">
        <v>152</v>
      </c>
      <c r="D447" t="s">
        <v>43</v>
      </c>
      <c r="E447" t="s">
        <v>136</v>
      </c>
      <c r="F447" s="3">
        <v>1530000</v>
      </c>
      <c r="G447" s="3">
        <v>1600000</v>
      </c>
      <c r="L447">
        <v>290000000</v>
      </c>
    </row>
    <row r="448" spans="1:13" hidden="1" x14ac:dyDescent="0.3">
      <c r="A448" t="s">
        <v>106</v>
      </c>
      <c r="B448" t="s">
        <v>316</v>
      </c>
      <c r="C448" t="s">
        <v>134</v>
      </c>
      <c r="D448" t="s">
        <v>266</v>
      </c>
      <c r="E448" t="s">
        <v>154</v>
      </c>
      <c r="F448">
        <v>21500</v>
      </c>
      <c r="G448">
        <v>22000</v>
      </c>
      <c r="H448" t="s">
        <v>215</v>
      </c>
      <c r="L448">
        <v>700000</v>
      </c>
    </row>
    <row r="449" spans="1:13" hidden="1" x14ac:dyDescent="0.3">
      <c r="A449" t="s">
        <v>106</v>
      </c>
      <c r="B449" t="s">
        <v>316</v>
      </c>
      <c r="C449" t="s">
        <v>317</v>
      </c>
      <c r="D449" t="s">
        <v>266</v>
      </c>
      <c r="E449" t="s">
        <v>154</v>
      </c>
      <c r="F449">
        <v>2500</v>
      </c>
      <c r="G449">
        <v>2500</v>
      </c>
      <c r="M449" t="s">
        <v>169</v>
      </c>
    </row>
    <row r="450" spans="1:13" hidden="1" x14ac:dyDescent="0.3">
      <c r="A450" t="s">
        <v>106</v>
      </c>
      <c r="B450" t="s">
        <v>316</v>
      </c>
      <c r="C450" t="s">
        <v>142</v>
      </c>
      <c r="D450" t="s">
        <v>266</v>
      </c>
      <c r="E450" t="s">
        <v>154</v>
      </c>
      <c r="F450">
        <v>3930</v>
      </c>
      <c r="G450">
        <v>3600</v>
      </c>
      <c r="H450" t="s">
        <v>215</v>
      </c>
      <c r="L450">
        <v>450000</v>
      </c>
    </row>
    <row r="451" spans="1:13" hidden="1" x14ac:dyDescent="0.3">
      <c r="A451" t="s">
        <v>106</v>
      </c>
      <c r="B451" t="s">
        <v>316</v>
      </c>
      <c r="C451" t="s">
        <v>156</v>
      </c>
      <c r="D451" t="s">
        <v>266</v>
      </c>
      <c r="E451" t="s">
        <v>154</v>
      </c>
      <c r="F451">
        <v>2400</v>
      </c>
      <c r="G451">
        <v>2400</v>
      </c>
      <c r="L451">
        <v>450000</v>
      </c>
    </row>
    <row r="452" spans="1:13" hidden="1" x14ac:dyDescent="0.3">
      <c r="A452" t="s">
        <v>106</v>
      </c>
      <c r="B452" t="s">
        <v>316</v>
      </c>
      <c r="C452" t="s">
        <v>143</v>
      </c>
      <c r="D452" t="s">
        <v>266</v>
      </c>
      <c r="E452" t="s">
        <v>154</v>
      </c>
      <c r="F452">
        <v>12000</v>
      </c>
      <c r="G452">
        <v>12000</v>
      </c>
      <c r="L452">
        <v>1800000</v>
      </c>
    </row>
    <row r="453" spans="1:13" hidden="1" x14ac:dyDescent="0.3">
      <c r="A453" t="s">
        <v>106</v>
      </c>
      <c r="B453" t="s">
        <v>316</v>
      </c>
      <c r="C453" t="s">
        <v>144</v>
      </c>
      <c r="D453" t="s">
        <v>266</v>
      </c>
      <c r="E453" t="s">
        <v>154</v>
      </c>
      <c r="F453">
        <v>2400</v>
      </c>
      <c r="G453">
        <v>2400</v>
      </c>
      <c r="L453">
        <v>350000</v>
      </c>
    </row>
    <row r="454" spans="1:13" hidden="1" x14ac:dyDescent="0.3">
      <c r="A454" t="s">
        <v>106</v>
      </c>
      <c r="B454" t="s">
        <v>316</v>
      </c>
      <c r="C454" t="s">
        <v>145</v>
      </c>
      <c r="D454" t="s">
        <v>266</v>
      </c>
      <c r="E454" t="s">
        <v>154</v>
      </c>
      <c r="F454">
        <v>4900</v>
      </c>
      <c r="G454">
        <v>4900</v>
      </c>
      <c r="M454" t="s">
        <v>169</v>
      </c>
    </row>
    <row r="455" spans="1:13" hidden="1" x14ac:dyDescent="0.3">
      <c r="A455" t="s">
        <v>106</v>
      </c>
      <c r="B455" t="s">
        <v>316</v>
      </c>
      <c r="C455" t="s">
        <v>146</v>
      </c>
      <c r="D455" t="s">
        <v>266</v>
      </c>
      <c r="E455" t="s">
        <v>154</v>
      </c>
      <c r="F455">
        <v>4300</v>
      </c>
      <c r="G455">
        <v>4300</v>
      </c>
      <c r="L455">
        <v>37000</v>
      </c>
    </row>
    <row r="456" spans="1:13" hidden="1" x14ac:dyDescent="0.3">
      <c r="A456" t="s">
        <v>106</v>
      </c>
      <c r="B456" t="s">
        <v>316</v>
      </c>
      <c r="C456" t="s">
        <v>170</v>
      </c>
      <c r="D456" t="s">
        <v>266</v>
      </c>
      <c r="E456" t="s">
        <v>154</v>
      </c>
      <c r="F456">
        <v>16000</v>
      </c>
      <c r="G456">
        <v>16000</v>
      </c>
      <c r="L456">
        <v>750000</v>
      </c>
    </row>
    <row r="457" spans="1:13" hidden="1" x14ac:dyDescent="0.3">
      <c r="A457" t="s">
        <v>106</v>
      </c>
      <c r="B457" t="s">
        <v>316</v>
      </c>
      <c r="C457" t="s">
        <v>147</v>
      </c>
      <c r="D457" t="s">
        <v>266</v>
      </c>
      <c r="E457" t="s">
        <v>154</v>
      </c>
      <c r="F457">
        <v>4300</v>
      </c>
      <c r="G457">
        <v>4300</v>
      </c>
      <c r="M457" t="s">
        <v>169</v>
      </c>
    </row>
    <row r="458" spans="1:13" hidden="1" x14ac:dyDescent="0.3">
      <c r="A458" t="s">
        <v>106</v>
      </c>
      <c r="B458" t="s">
        <v>316</v>
      </c>
      <c r="C458" t="s">
        <v>148</v>
      </c>
      <c r="D458" t="s">
        <v>266</v>
      </c>
      <c r="E458" t="s">
        <v>154</v>
      </c>
      <c r="F458">
        <v>5400</v>
      </c>
      <c r="G458">
        <v>5400</v>
      </c>
      <c r="M458" t="s">
        <v>169</v>
      </c>
    </row>
    <row r="459" spans="1:13" hidden="1" x14ac:dyDescent="0.3">
      <c r="A459" t="s">
        <v>106</v>
      </c>
      <c r="B459" t="s">
        <v>316</v>
      </c>
      <c r="C459" t="s">
        <v>318</v>
      </c>
      <c r="D459" t="s">
        <v>266</v>
      </c>
      <c r="E459" t="s">
        <v>154</v>
      </c>
      <c r="F459">
        <v>13900</v>
      </c>
      <c r="G459">
        <v>14000</v>
      </c>
      <c r="H459" t="s">
        <v>215</v>
      </c>
      <c r="M459" t="s">
        <v>169</v>
      </c>
    </row>
    <row r="460" spans="1:13" hidden="1" x14ac:dyDescent="0.3">
      <c r="A460" t="s">
        <v>106</v>
      </c>
      <c r="B460" t="s">
        <v>316</v>
      </c>
      <c r="C460" t="s">
        <v>174</v>
      </c>
      <c r="D460" t="s">
        <v>266</v>
      </c>
      <c r="E460" t="s">
        <v>154</v>
      </c>
      <c r="F460">
        <v>2100</v>
      </c>
      <c r="G460">
        <v>2100</v>
      </c>
      <c r="L460">
        <v>760000</v>
      </c>
    </row>
    <row r="461" spans="1:13" hidden="1" x14ac:dyDescent="0.3">
      <c r="A461" t="s">
        <v>106</v>
      </c>
      <c r="B461" t="s">
        <v>316</v>
      </c>
      <c r="C461" t="s">
        <v>160</v>
      </c>
      <c r="D461" t="s">
        <v>266</v>
      </c>
      <c r="E461" t="s">
        <v>154</v>
      </c>
      <c r="F461">
        <v>4100</v>
      </c>
      <c r="G461">
        <v>4100</v>
      </c>
      <c r="M461" t="s">
        <v>169</v>
      </c>
    </row>
    <row r="462" spans="1:13" hidden="1" x14ac:dyDescent="0.3">
      <c r="A462" t="s">
        <v>106</v>
      </c>
      <c r="B462" t="s">
        <v>316</v>
      </c>
      <c r="C462" t="s">
        <v>201</v>
      </c>
      <c r="D462" t="s">
        <v>266</v>
      </c>
      <c r="E462" t="s">
        <v>154</v>
      </c>
      <c r="F462">
        <v>3800</v>
      </c>
      <c r="G462">
        <v>3800</v>
      </c>
      <c r="M462" t="s">
        <v>169</v>
      </c>
    </row>
    <row r="463" spans="1:13" hidden="1" x14ac:dyDescent="0.3">
      <c r="A463" t="s">
        <v>106</v>
      </c>
      <c r="B463" t="s">
        <v>316</v>
      </c>
      <c r="C463" t="s">
        <v>202</v>
      </c>
      <c r="D463" t="s">
        <v>266</v>
      </c>
      <c r="E463" t="s">
        <v>154</v>
      </c>
      <c r="F463">
        <v>11000</v>
      </c>
      <c r="G463">
        <v>11000</v>
      </c>
      <c r="M463" t="s">
        <v>169</v>
      </c>
    </row>
    <row r="464" spans="1:13" hidden="1" x14ac:dyDescent="0.3">
      <c r="A464" t="s">
        <v>106</v>
      </c>
      <c r="B464" t="s">
        <v>316</v>
      </c>
      <c r="C464" t="s">
        <v>287</v>
      </c>
      <c r="D464" t="s">
        <v>266</v>
      </c>
      <c r="E464" t="s">
        <v>154</v>
      </c>
      <c r="F464">
        <v>9800</v>
      </c>
      <c r="G464">
        <v>9800</v>
      </c>
      <c r="L464">
        <v>910000</v>
      </c>
    </row>
    <row r="465" spans="1:13" hidden="1" x14ac:dyDescent="0.3">
      <c r="A465" t="s">
        <v>106</v>
      </c>
      <c r="B465" t="s">
        <v>316</v>
      </c>
      <c r="C465" t="s">
        <v>176</v>
      </c>
      <c r="D465" t="s">
        <v>266</v>
      </c>
      <c r="E465" t="s">
        <v>154</v>
      </c>
      <c r="F465">
        <v>10300</v>
      </c>
      <c r="G465">
        <v>10000</v>
      </c>
      <c r="H465" t="s">
        <v>215</v>
      </c>
      <c r="L465">
        <v>200000</v>
      </c>
    </row>
    <row r="466" spans="1:13" hidden="1" x14ac:dyDescent="0.3">
      <c r="A466" t="s">
        <v>106</v>
      </c>
      <c r="B466" t="s">
        <v>316</v>
      </c>
      <c r="C466" t="s">
        <v>242</v>
      </c>
      <c r="D466" t="s">
        <v>266</v>
      </c>
      <c r="E466" t="s">
        <v>154</v>
      </c>
      <c r="F466">
        <v>2000</v>
      </c>
      <c r="G466">
        <v>2000</v>
      </c>
      <c r="M466" t="s">
        <v>169</v>
      </c>
    </row>
    <row r="467" spans="1:13" hidden="1" x14ac:dyDescent="0.3">
      <c r="A467" t="s">
        <v>106</v>
      </c>
      <c r="B467" t="s">
        <v>316</v>
      </c>
      <c r="C467" t="s">
        <v>151</v>
      </c>
      <c r="D467" t="s">
        <v>266</v>
      </c>
      <c r="E467" t="s">
        <v>154</v>
      </c>
      <c r="F467">
        <v>20000</v>
      </c>
      <c r="G467">
        <v>23000</v>
      </c>
      <c r="M467" t="s">
        <v>169</v>
      </c>
    </row>
    <row r="468" spans="1:13" x14ac:dyDescent="0.3">
      <c r="A468" t="s">
        <v>106</v>
      </c>
      <c r="B468" t="s">
        <v>316</v>
      </c>
      <c r="C468" t="s">
        <v>152</v>
      </c>
      <c r="D468" t="s">
        <v>266</v>
      </c>
      <c r="E468" t="s">
        <v>154</v>
      </c>
      <c r="F468" s="3">
        <v>157000</v>
      </c>
      <c r="G468" s="3">
        <v>160000</v>
      </c>
      <c r="M468" t="s">
        <v>187</v>
      </c>
    </row>
    <row r="469" spans="1:13" hidden="1" x14ac:dyDescent="0.3">
      <c r="A469" t="s">
        <v>106</v>
      </c>
      <c r="B469" t="s">
        <v>319</v>
      </c>
      <c r="C469" t="s">
        <v>320</v>
      </c>
      <c r="D469" t="s">
        <v>321</v>
      </c>
      <c r="E469" t="s">
        <v>322</v>
      </c>
      <c r="F469">
        <v>64</v>
      </c>
      <c r="G469">
        <v>68</v>
      </c>
      <c r="L469">
        <v>8500</v>
      </c>
    </row>
    <row r="470" spans="1:13" hidden="1" x14ac:dyDescent="0.3">
      <c r="A470" t="s">
        <v>106</v>
      </c>
      <c r="B470" t="s">
        <v>319</v>
      </c>
      <c r="C470" t="s">
        <v>323</v>
      </c>
      <c r="D470" t="s">
        <v>321</v>
      </c>
      <c r="E470" t="s">
        <v>322</v>
      </c>
      <c r="F470">
        <v>18</v>
      </c>
      <c r="G470">
        <v>13</v>
      </c>
      <c r="L470">
        <v>50</v>
      </c>
    </row>
    <row r="471" spans="1:13" hidden="1" x14ac:dyDescent="0.3">
      <c r="A471" t="s">
        <v>106</v>
      </c>
      <c r="B471" t="s">
        <v>319</v>
      </c>
      <c r="C471" t="s">
        <v>317</v>
      </c>
      <c r="D471" t="s">
        <v>321</v>
      </c>
      <c r="E471" t="s">
        <v>322</v>
      </c>
      <c r="F471">
        <v>9</v>
      </c>
      <c r="G471">
        <v>11</v>
      </c>
      <c r="L471">
        <v>1800</v>
      </c>
    </row>
    <row r="472" spans="1:13" hidden="1" x14ac:dyDescent="0.3">
      <c r="A472" t="s">
        <v>106</v>
      </c>
      <c r="B472" t="s">
        <v>319</v>
      </c>
      <c r="C472" t="s">
        <v>140</v>
      </c>
      <c r="D472" t="s">
        <v>321</v>
      </c>
      <c r="E472" t="s">
        <v>322</v>
      </c>
      <c r="F472">
        <v>1</v>
      </c>
      <c r="H472" t="s">
        <v>157</v>
      </c>
      <c r="M472" t="s">
        <v>169</v>
      </c>
    </row>
    <row r="473" spans="1:13" hidden="1" x14ac:dyDescent="0.3">
      <c r="A473" t="s">
        <v>106</v>
      </c>
      <c r="B473" t="s">
        <v>319</v>
      </c>
      <c r="C473" t="s">
        <v>156</v>
      </c>
      <c r="D473" t="s">
        <v>321</v>
      </c>
      <c r="E473" t="s">
        <v>322</v>
      </c>
      <c r="F473">
        <v>5</v>
      </c>
      <c r="G473">
        <v>6</v>
      </c>
      <c r="M473" t="s">
        <v>169</v>
      </c>
    </row>
    <row r="474" spans="1:13" hidden="1" x14ac:dyDescent="0.3">
      <c r="A474" t="s">
        <v>106</v>
      </c>
      <c r="B474" t="s">
        <v>319</v>
      </c>
      <c r="C474" t="s">
        <v>143</v>
      </c>
      <c r="D474" t="s">
        <v>321</v>
      </c>
      <c r="E474" t="s">
        <v>322</v>
      </c>
      <c r="F474">
        <v>2</v>
      </c>
      <c r="G474">
        <v>3</v>
      </c>
      <c r="M474" t="s">
        <v>169</v>
      </c>
    </row>
    <row r="475" spans="1:13" hidden="1" x14ac:dyDescent="0.3">
      <c r="A475" t="s">
        <v>106</v>
      </c>
      <c r="B475" t="s">
        <v>319</v>
      </c>
      <c r="C475" t="s">
        <v>241</v>
      </c>
      <c r="D475" t="s">
        <v>321</v>
      </c>
      <c r="E475" t="s">
        <v>322</v>
      </c>
      <c r="F475">
        <v>3</v>
      </c>
      <c r="G475">
        <v>3</v>
      </c>
      <c r="H475" t="s">
        <v>139</v>
      </c>
      <c r="L475">
        <v>24</v>
      </c>
    </row>
    <row r="476" spans="1:13" hidden="1" x14ac:dyDescent="0.3">
      <c r="A476" t="s">
        <v>106</v>
      </c>
      <c r="B476" t="s">
        <v>319</v>
      </c>
      <c r="C476" t="s">
        <v>324</v>
      </c>
      <c r="D476" t="s">
        <v>321</v>
      </c>
      <c r="E476" t="s">
        <v>322</v>
      </c>
      <c r="F476">
        <v>66</v>
      </c>
      <c r="G476">
        <v>64</v>
      </c>
      <c r="H476" t="s">
        <v>157</v>
      </c>
      <c r="M476" t="s">
        <v>187</v>
      </c>
    </row>
    <row r="477" spans="1:13" hidden="1" x14ac:dyDescent="0.3">
      <c r="A477" t="s">
        <v>106</v>
      </c>
      <c r="B477" t="s">
        <v>319</v>
      </c>
      <c r="C477" t="s">
        <v>160</v>
      </c>
      <c r="D477" t="s">
        <v>321</v>
      </c>
      <c r="E477" t="s">
        <v>322</v>
      </c>
      <c r="F477">
        <v>8</v>
      </c>
      <c r="G477">
        <v>17</v>
      </c>
      <c r="H477" t="s">
        <v>157</v>
      </c>
      <c r="L477">
        <v>1700</v>
      </c>
    </row>
    <row r="478" spans="1:13" hidden="1" x14ac:dyDescent="0.3">
      <c r="A478" t="s">
        <v>106</v>
      </c>
      <c r="B478" t="s">
        <v>319</v>
      </c>
      <c r="C478" t="s">
        <v>252</v>
      </c>
      <c r="D478" t="s">
        <v>321</v>
      </c>
      <c r="E478" t="s">
        <v>322</v>
      </c>
      <c r="H478" t="s">
        <v>325</v>
      </c>
      <c r="M478" t="s">
        <v>169</v>
      </c>
    </row>
    <row r="479" spans="1:13" x14ac:dyDescent="0.3">
      <c r="A479" t="s">
        <v>106</v>
      </c>
      <c r="B479" t="s">
        <v>319</v>
      </c>
      <c r="C479" t="s">
        <v>152</v>
      </c>
      <c r="D479" t="s">
        <v>321</v>
      </c>
      <c r="E479" t="s">
        <v>322</v>
      </c>
      <c r="F479" s="3">
        <v>176</v>
      </c>
      <c r="G479" s="3">
        <v>180</v>
      </c>
      <c r="M479" t="s">
        <v>169</v>
      </c>
    </row>
    <row r="480" spans="1:13" hidden="1" x14ac:dyDescent="0.3">
      <c r="A480" t="s">
        <v>106</v>
      </c>
      <c r="B480" t="s">
        <v>13</v>
      </c>
      <c r="C480" t="s">
        <v>134</v>
      </c>
      <c r="D480" t="s">
        <v>37</v>
      </c>
      <c r="E480" t="s">
        <v>136</v>
      </c>
    </row>
    <row r="481" spans="1:13" hidden="1" x14ac:dyDescent="0.3">
      <c r="A481" t="s">
        <v>106</v>
      </c>
      <c r="B481" t="s">
        <v>13</v>
      </c>
      <c r="C481" t="s">
        <v>180</v>
      </c>
      <c r="D481" t="s">
        <v>37</v>
      </c>
      <c r="E481" t="s">
        <v>136</v>
      </c>
      <c r="F481">
        <v>19</v>
      </c>
      <c r="G481">
        <v>10</v>
      </c>
      <c r="L481">
        <v>50</v>
      </c>
    </row>
    <row r="482" spans="1:13" hidden="1" x14ac:dyDescent="0.3">
      <c r="A482" t="s">
        <v>106</v>
      </c>
      <c r="B482" t="s">
        <v>13</v>
      </c>
      <c r="C482" t="s">
        <v>156</v>
      </c>
      <c r="D482" t="s">
        <v>37</v>
      </c>
      <c r="E482" t="s">
        <v>136</v>
      </c>
      <c r="F482">
        <v>40</v>
      </c>
      <c r="G482">
        <v>35</v>
      </c>
      <c r="L482">
        <v>70</v>
      </c>
    </row>
    <row r="483" spans="1:13" hidden="1" x14ac:dyDescent="0.3">
      <c r="A483" t="s">
        <v>106</v>
      </c>
      <c r="B483" t="s">
        <v>13</v>
      </c>
      <c r="C483" t="s">
        <v>143</v>
      </c>
      <c r="D483" t="s">
        <v>37</v>
      </c>
      <c r="E483" t="s">
        <v>136</v>
      </c>
      <c r="F483">
        <v>690</v>
      </c>
      <c r="G483">
        <v>760</v>
      </c>
      <c r="L483">
        <v>1100</v>
      </c>
    </row>
    <row r="484" spans="1:13" hidden="1" x14ac:dyDescent="0.3">
      <c r="A484" t="s">
        <v>106</v>
      </c>
      <c r="B484" t="s">
        <v>13</v>
      </c>
      <c r="C484" t="s">
        <v>144</v>
      </c>
      <c r="D484" t="s">
        <v>37</v>
      </c>
      <c r="E484" t="s">
        <v>136</v>
      </c>
      <c r="F484">
        <v>21</v>
      </c>
      <c r="G484">
        <v>21</v>
      </c>
      <c r="L484">
        <v>70</v>
      </c>
    </row>
    <row r="485" spans="1:13" hidden="1" x14ac:dyDescent="0.3">
      <c r="A485" t="s">
        <v>106</v>
      </c>
      <c r="B485" t="s">
        <v>13</v>
      </c>
      <c r="C485" t="s">
        <v>147</v>
      </c>
      <c r="D485" t="s">
        <v>37</v>
      </c>
      <c r="E485" t="s">
        <v>136</v>
      </c>
      <c r="F485">
        <v>65</v>
      </c>
      <c r="G485">
        <v>60</v>
      </c>
      <c r="L485">
        <v>70</v>
      </c>
    </row>
    <row r="486" spans="1:13" hidden="1" x14ac:dyDescent="0.3">
      <c r="A486" t="s">
        <v>106</v>
      </c>
      <c r="B486" t="s">
        <v>13</v>
      </c>
      <c r="C486" t="s">
        <v>214</v>
      </c>
      <c r="D486" t="s">
        <v>37</v>
      </c>
      <c r="E486" t="s">
        <v>136</v>
      </c>
      <c r="F486">
        <v>180</v>
      </c>
      <c r="G486">
        <v>180</v>
      </c>
      <c r="L486">
        <v>310</v>
      </c>
    </row>
    <row r="487" spans="1:13" hidden="1" x14ac:dyDescent="0.3">
      <c r="A487" t="s">
        <v>106</v>
      </c>
      <c r="B487" t="s">
        <v>13</v>
      </c>
      <c r="C487" t="s">
        <v>182</v>
      </c>
      <c r="D487" t="s">
        <v>37</v>
      </c>
      <c r="E487" t="s">
        <v>136</v>
      </c>
      <c r="L487">
        <v>50</v>
      </c>
    </row>
    <row r="488" spans="1:13" hidden="1" x14ac:dyDescent="0.3">
      <c r="A488" t="s">
        <v>106</v>
      </c>
      <c r="B488" t="s">
        <v>13</v>
      </c>
      <c r="C488" t="s">
        <v>160</v>
      </c>
      <c r="D488" t="s">
        <v>37</v>
      </c>
      <c r="E488" t="s">
        <v>136</v>
      </c>
      <c r="F488">
        <v>5</v>
      </c>
      <c r="G488">
        <v>10</v>
      </c>
      <c r="L488">
        <v>15</v>
      </c>
    </row>
    <row r="489" spans="1:13" hidden="1" x14ac:dyDescent="0.3">
      <c r="A489" t="s">
        <v>106</v>
      </c>
      <c r="B489" t="s">
        <v>13</v>
      </c>
      <c r="C489" t="s">
        <v>242</v>
      </c>
      <c r="D489" t="s">
        <v>37</v>
      </c>
      <c r="E489" t="s">
        <v>136</v>
      </c>
      <c r="F489">
        <v>1</v>
      </c>
      <c r="G489">
        <v>1</v>
      </c>
      <c r="L489">
        <v>1</v>
      </c>
    </row>
    <row r="490" spans="1:13" x14ac:dyDescent="0.3">
      <c r="A490" t="s">
        <v>106</v>
      </c>
      <c r="B490" t="s">
        <v>13</v>
      </c>
      <c r="C490" t="s">
        <v>152</v>
      </c>
      <c r="D490" t="s">
        <v>37</v>
      </c>
      <c r="E490" t="s">
        <v>136</v>
      </c>
      <c r="F490" s="3">
        <v>1020</v>
      </c>
      <c r="G490" s="3">
        <v>1080</v>
      </c>
      <c r="L490">
        <v>1800</v>
      </c>
    </row>
    <row r="491" spans="1:13" hidden="1" x14ac:dyDescent="0.3">
      <c r="A491" t="s">
        <v>106</v>
      </c>
      <c r="B491" t="s">
        <v>326</v>
      </c>
      <c r="C491" t="s">
        <v>134</v>
      </c>
      <c r="D491" t="s">
        <v>327</v>
      </c>
      <c r="E491" t="s">
        <v>136</v>
      </c>
      <c r="H491" t="s">
        <v>190</v>
      </c>
      <c r="L491">
        <v>250000</v>
      </c>
    </row>
    <row r="492" spans="1:13" hidden="1" x14ac:dyDescent="0.3">
      <c r="A492" t="s">
        <v>106</v>
      </c>
      <c r="B492" t="s">
        <v>326</v>
      </c>
      <c r="C492" t="s">
        <v>328</v>
      </c>
      <c r="D492" t="s">
        <v>327</v>
      </c>
      <c r="E492" t="s">
        <v>136</v>
      </c>
      <c r="F492">
        <v>200</v>
      </c>
      <c r="G492">
        <v>210</v>
      </c>
      <c r="L492">
        <v>170000</v>
      </c>
    </row>
    <row r="493" spans="1:13" hidden="1" x14ac:dyDescent="0.3">
      <c r="A493" t="s">
        <v>106</v>
      </c>
      <c r="B493" t="s">
        <v>326</v>
      </c>
      <c r="C493" t="s">
        <v>221</v>
      </c>
      <c r="D493" t="s">
        <v>327</v>
      </c>
      <c r="E493" t="s">
        <v>136</v>
      </c>
      <c r="F493">
        <v>21000</v>
      </c>
      <c r="G493">
        <v>22000</v>
      </c>
      <c r="L493">
        <v>610000</v>
      </c>
    </row>
    <row r="494" spans="1:13" hidden="1" x14ac:dyDescent="0.3">
      <c r="A494" t="s">
        <v>106</v>
      </c>
      <c r="B494" t="s">
        <v>326</v>
      </c>
      <c r="C494" t="s">
        <v>198</v>
      </c>
      <c r="D494" t="s">
        <v>327</v>
      </c>
      <c r="E494" t="s">
        <v>136</v>
      </c>
      <c r="F494">
        <v>30</v>
      </c>
      <c r="G494">
        <v>30</v>
      </c>
      <c r="M494" t="s">
        <v>169</v>
      </c>
    </row>
    <row r="495" spans="1:13" hidden="1" x14ac:dyDescent="0.3">
      <c r="A495" t="s">
        <v>106</v>
      </c>
      <c r="B495" t="s">
        <v>326</v>
      </c>
      <c r="C495" t="s">
        <v>170</v>
      </c>
      <c r="D495" t="s">
        <v>327</v>
      </c>
      <c r="E495" t="s">
        <v>136</v>
      </c>
      <c r="F495">
        <v>700</v>
      </c>
      <c r="G495">
        <v>700</v>
      </c>
      <c r="L495">
        <v>40000</v>
      </c>
    </row>
    <row r="496" spans="1:13" hidden="1" x14ac:dyDescent="0.3">
      <c r="A496" t="s">
        <v>106</v>
      </c>
      <c r="B496" t="s">
        <v>326</v>
      </c>
      <c r="C496" t="s">
        <v>147</v>
      </c>
      <c r="D496" t="s">
        <v>327</v>
      </c>
      <c r="E496" t="s">
        <v>136</v>
      </c>
      <c r="F496">
        <v>9900</v>
      </c>
      <c r="G496">
        <v>9300</v>
      </c>
      <c r="L496">
        <v>4900000</v>
      </c>
    </row>
    <row r="497" spans="1:12" hidden="1" x14ac:dyDescent="0.3">
      <c r="A497" t="s">
        <v>106</v>
      </c>
      <c r="B497" t="s">
        <v>326</v>
      </c>
      <c r="C497" t="s">
        <v>160</v>
      </c>
      <c r="D497" t="s">
        <v>327</v>
      </c>
      <c r="E497" t="s">
        <v>136</v>
      </c>
      <c r="F497">
        <v>3</v>
      </c>
      <c r="G497">
        <v>3</v>
      </c>
      <c r="L497">
        <v>120000</v>
      </c>
    </row>
    <row r="498" spans="1:12" hidden="1" x14ac:dyDescent="0.3">
      <c r="A498" t="s">
        <v>106</v>
      </c>
      <c r="B498" t="s">
        <v>326</v>
      </c>
      <c r="C498" t="s">
        <v>329</v>
      </c>
      <c r="D498" t="s">
        <v>327</v>
      </c>
      <c r="E498" t="s">
        <v>136</v>
      </c>
      <c r="F498">
        <v>770</v>
      </c>
      <c r="G498">
        <v>770</v>
      </c>
      <c r="L498">
        <v>70000</v>
      </c>
    </row>
    <row r="499" spans="1:12" x14ac:dyDescent="0.3">
      <c r="A499" t="s">
        <v>106</v>
      </c>
      <c r="B499" t="s">
        <v>326</v>
      </c>
      <c r="C499" t="s">
        <v>152</v>
      </c>
      <c r="D499" t="s">
        <v>327</v>
      </c>
      <c r="E499" t="s">
        <v>136</v>
      </c>
      <c r="F499" s="3">
        <v>32600</v>
      </c>
      <c r="G499" s="3">
        <v>33000</v>
      </c>
      <c r="H499" t="s">
        <v>330</v>
      </c>
      <c r="L499">
        <v>6200000</v>
      </c>
    </row>
    <row r="500" spans="1:12" hidden="1" x14ac:dyDescent="0.3">
      <c r="A500" t="s">
        <v>106</v>
      </c>
      <c r="B500" t="s">
        <v>331</v>
      </c>
      <c r="C500" t="s">
        <v>134</v>
      </c>
      <c r="D500" t="s">
        <v>332</v>
      </c>
      <c r="E500" t="s">
        <v>333</v>
      </c>
      <c r="F500">
        <v>23</v>
      </c>
      <c r="G500">
        <v>22</v>
      </c>
    </row>
    <row r="501" spans="1:12" hidden="1" x14ac:dyDescent="0.3">
      <c r="A501" t="s">
        <v>106</v>
      </c>
      <c r="B501" t="s">
        <v>331</v>
      </c>
      <c r="C501" t="s">
        <v>142</v>
      </c>
      <c r="D501" t="s">
        <v>332</v>
      </c>
      <c r="E501" t="s">
        <v>333</v>
      </c>
      <c r="F501">
        <v>26</v>
      </c>
      <c r="G501">
        <v>27</v>
      </c>
    </row>
    <row r="502" spans="1:12" hidden="1" x14ac:dyDescent="0.3">
      <c r="A502" t="s">
        <v>106</v>
      </c>
      <c r="B502" t="s">
        <v>331</v>
      </c>
      <c r="C502" t="s">
        <v>156</v>
      </c>
      <c r="D502" t="s">
        <v>332</v>
      </c>
      <c r="E502" t="s">
        <v>333</v>
      </c>
      <c r="F502">
        <v>6</v>
      </c>
      <c r="G502">
        <v>6</v>
      </c>
    </row>
    <row r="503" spans="1:12" hidden="1" x14ac:dyDescent="0.3">
      <c r="A503" t="s">
        <v>106</v>
      </c>
      <c r="B503" t="s">
        <v>331</v>
      </c>
      <c r="C503" t="s">
        <v>143</v>
      </c>
      <c r="D503" t="s">
        <v>332</v>
      </c>
      <c r="E503" t="s">
        <v>333</v>
      </c>
      <c r="F503">
        <v>871</v>
      </c>
      <c r="G503">
        <v>840</v>
      </c>
    </row>
    <row r="504" spans="1:12" hidden="1" x14ac:dyDescent="0.3">
      <c r="A504" t="s">
        <v>106</v>
      </c>
      <c r="B504" t="s">
        <v>331</v>
      </c>
      <c r="C504" t="s">
        <v>145</v>
      </c>
      <c r="D504" t="s">
        <v>332</v>
      </c>
      <c r="E504" t="s">
        <v>333</v>
      </c>
      <c r="F504">
        <v>24</v>
      </c>
      <c r="G504">
        <v>23</v>
      </c>
    </row>
    <row r="505" spans="1:12" hidden="1" x14ac:dyDescent="0.3">
      <c r="A505" t="s">
        <v>106</v>
      </c>
      <c r="B505" t="s">
        <v>331</v>
      </c>
      <c r="C505" t="s">
        <v>146</v>
      </c>
      <c r="D505" t="s">
        <v>332</v>
      </c>
      <c r="E505" t="s">
        <v>333</v>
      </c>
      <c r="F505">
        <v>86</v>
      </c>
      <c r="G505">
        <v>93</v>
      </c>
    </row>
    <row r="506" spans="1:12" hidden="1" x14ac:dyDescent="0.3">
      <c r="A506" t="s">
        <v>106</v>
      </c>
      <c r="B506" t="s">
        <v>331</v>
      </c>
      <c r="C506" t="s">
        <v>170</v>
      </c>
      <c r="D506" t="s">
        <v>332</v>
      </c>
      <c r="E506" t="s">
        <v>333</v>
      </c>
      <c r="F506">
        <v>4</v>
      </c>
      <c r="G506">
        <v>4</v>
      </c>
    </row>
    <row r="507" spans="1:12" hidden="1" x14ac:dyDescent="0.3">
      <c r="A507" t="s">
        <v>106</v>
      </c>
      <c r="B507" t="s">
        <v>331</v>
      </c>
      <c r="C507" t="s">
        <v>285</v>
      </c>
      <c r="D507" t="s">
        <v>332</v>
      </c>
      <c r="E507" t="s">
        <v>333</v>
      </c>
      <c r="F507">
        <v>3</v>
      </c>
      <c r="G507">
        <v>3</v>
      </c>
    </row>
    <row r="508" spans="1:12" hidden="1" x14ac:dyDescent="0.3">
      <c r="A508" t="s">
        <v>106</v>
      </c>
      <c r="B508" t="s">
        <v>331</v>
      </c>
      <c r="C508" t="s">
        <v>147</v>
      </c>
      <c r="D508" t="s">
        <v>332</v>
      </c>
      <c r="E508" t="s">
        <v>333</v>
      </c>
      <c r="F508">
        <v>63</v>
      </c>
      <c r="G508">
        <v>62</v>
      </c>
    </row>
    <row r="509" spans="1:12" hidden="1" x14ac:dyDescent="0.3">
      <c r="A509" t="s">
        <v>106</v>
      </c>
      <c r="B509" t="s">
        <v>331</v>
      </c>
      <c r="C509" t="s">
        <v>214</v>
      </c>
      <c r="D509" t="s">
        <v>332</v>
      </c>
      <c r="E509" t="s">
        <v>333</v>
      </c>
      <c r="F509">
        <v>45</v>
      </c>
      <c r="G509">
        <v>44</v>
      </c>
    </row>
    <row r="510" spans="1:12" hidden="1" x14ac:dyDescent="0.3">
      <c r="A510" t="s">
        <v>106</v>
      </c>
      <c r="B510" t="s">
        <v>331</v>
      </c>
      <c r="C510" t="s">
        <v>148</v>
      </c>
      <c r="D510" t="s">
        <v>332</v>
      </c>
      <c r="E510" t="s">
        <v>333</v>
      </c>
      <c r="F510">
        <v>1</v>
      </c>
      <c r="G510">
        <v>1</v>
      </c>
    </row>
    <row r="511" spans="1:12" hidden="1" x14ac:dyDescent="0.3">
      <c r="A511" t="s">
        <v>106</v>
      </c>
      <c r="B511" t="s">
        <v>331</v>
      </c>
      <c r="C511" t="s">
        <v>160</v>
      </c>
      <c r="D511" t="s">
        <v>332</v>
      </c>
      <c r="E511" t="s">
        <v>333</v>
      </c>
      <c r="F511">
        <v>55</v>
      </c>
      <c r="G511">
        <v>54</v>
      </c>
    </row>
    <row r="512" spans="1:12" hidden="1" x14ac:dyDescent="0.3">
      <c r="A512" t="s">
        <v>106</v>
      </c>
      <c r="B512" t="s">
        <v>331</v>
      </c>
      <c r="C512" t="s">
        <v>334</v>
      </c>
      <c r="D512" t="s">
        <v>332</v>
      </c>
      <c r="E512" t="s">
        <v>333</v>
      </c>
      <c r="F512">
        <v>12</v>
      </c>
      <c r="G512">
        <v>12</v>
      </c>
    </row>
    <row r="513" spans="1:7" hidden="1" x14ac:dyDescent="0.3">
      <c r="A513" t="s">
        <v>106</v>
      </c>
      <c r="B513" t="s">
        <v>331</v>
      </c>
      <c r="C513" t="s">
        <v>176</v>
      </c>
      <c r="D513" t="s">
        <v>332</v>
      </c>
      <c r="E513" t="s">
        <v>333</v>
      </c>
      <c r="F513">
        <v>9</v>
      </c>
      <c r="G513">
        <v>8</v>
      </c>
    </row>
    <row r="514" spans="1:7" hidden="1" x14ac:dyDescent="0.3">
      <c r="A514" t="s">
        <v>106</v>
      </c>
      <c r="B514" t="s">
        <v>331</v>
      </c>
      <c r="C514" t="s">
        <v>235</v>
      </c>
      <c r="D514" t="s">
        <v>332</v>
      </c>
      <c r="E514" t="s">
        <v>333</v>
      </c>
      <c r="F514">
        <v>6</v>
      </c>
      <c r="G514">
        <v>6</v>
      </c>
    </row>
    <row r="515" spans="1:7" hidden="1" x14ac:dyDescent="0.3">
      <c r="A515" t="s">
        <v>106</v>
      </c>
      <c r="B515" t="s">
        <v>331</v>
      </c>
      <c r="C515" t="s">
        <v>177</v>
      </c>
      <c r="D515" t="s">
        <v>332</v>
      </c>
      <c r="E515" t="s">
        <v>333</v>
      </c>
      <c r="F515">
        <v>13</v>
      </c>
      <c r="G515">
        <v>13</v>
      </c>
    </row>
    <row r="516" spans="1:7" hidden="1" x14ac:dyDescent="0.3">
      <c r="A516" t="s">
        <v>106</v>
      </c>
      <c r="B516" t="s">
        <v>331</v>
      </c>
      <c r="C516" t="s">
        <v>151</v>
      </c>
      <c r="D516" t="s">
        <v>332</v>
      </c>
      <c r="E516" t="s">
        <v>333</v>
      </c>
      <c r="F516">
        <v>61</v>
      </c>
      <c r="G516">
        <v>67</v>
      </c>
    </row>
    <row r="517" spans="1:7" x14ac:dyDescent="0.3">
      <c r="A517" t="s">
        <v>106</v>
      </c>
      <c r="B517" t="s">
        <v>331</v>
      </c>
      <c r="C517" t="s">
        <v>152</v>
      </c>
      <c r="D517" t="s">
        <v>332</v>
      </c>
      <c r="E517" t="s">
        <v>333</v>
      </c>
      <c r="F517" s="3">
        <v>1310</v>
      </c>
      <c r="G517" s="3">
        <v>1300</v>
      </c>
    </row>
    <row r="518" spans="1:7" hidden="1" x14ac:dyDescent="0.3">
      <c r="A518" t="s">
        <v>106</v>
      </c>
      <c r="B518" t="s">
        <v>331</v>
      </c>
      <c r="C518" t="s">
        <v>134</v>
      </c>
      <c r="D518" t="s">
        <v>335</v>
      </c>
      <c r="E518" t="s">
        <v>333</v>
      </c>
      <c r="F518">
        <v>81</v>
      </c>
      <c r="G518">
        <v>81</v>
      </c>
    </row>
    <row r="519" spans="1:7" hidden="1" x14ac:dyDescent="0.3">
      <c r="A519" t="s">
        <v>106</v>
      </c>
      <c r="B519" t="s">
        <v>331</v>
      </c>
      <c r="C519" t="s">
        <v>142</v>
      </c>
      <c r="D519" t="s">
        <v>335</v>
      </c>
      <c r="E519" t="s">
        <v>333</v>
      </c>
      <c r="F519">
        <v>32</v>
      </c>
      <c r="G519">
        <v>34</v>
      </c>
    </row>
    <row r="520" spans="1:7" hidden="1" x14ac:dyDescent="0.3">
      <c r="A520" t="s">
        <v>106</v>
      </c>
      <c r="B520" t="s">
        <v>331</v>
      </c>
      <c r="C520" t="s">
        <v>156</v>
      </c>
      <c r="D520" t="s">
        <v>335</v>
      </c>
      <c r="E520" t="s">
        <v>333</v>
      </c>
      <c r="F520">
        <v>12</v>
      </c>
      <c r="G520">
        <v>12</v>
      </c>
    </row>
    <row r="521" spans="1:7" hidden="1" x14ac:dyDescent="0.3">
      <c r="A521" t="s">
        <v>106</v>
      </c>
      <c r="B521" t="s">
        <v>331</v>
      </c>
      <c r="C521" t="s">
        <v>143</v>
      </c>
      <c r="D521" t="s">
        <v>335</v>
      </c>
      <c r="E521" t="s">
        <v>333</v>
      </c>
      <c r="F521">
        <v>1020</v>
      </c>
      <c r="G521">
        <v>990</v>
      </c>
    </row>
    <row r="522" spans="1:7" hidden="1" x14ac:dyDescent="0.3">
      <c r="A522" t="s">
        <v>106</v>
      </c>
      <c r="B522" t="s">
        <v>331</v>
      </c>
      <c r="C522" t="s">
        <v>145</v>
      </c>
      <c r="D522" t="s">
        <v>335</v>
      </c>
      <c r="E522" t="s">
        <v>333</v>
      </c>
      <c r="F522">
        <v>35</v>
      </c>
      <c r="G522">
        <v>35</v>
      </c>
    </row>
    <row r="523" spans="1:7" hidden="1" x14ac:dyDescent="0.3">
      <c r="A523" t="s">
        <v>106</v>
      </c>
      <c r="B523" t="s">
        <v>331</v>
      </c>
      <c r="C523" t="s">
        <v>146</v>
      </c>
      <c r="D523" t="s">
        <v>335</v>
      </c>
      <c r="E523" t="s">
        <v>333</v>
      </c>
      <c r="F523">
        <v>141</v>
      </c>
      <c r="G523">
        <v>150</v>
      </c>
    </row>
    <row r="524" spans="1:7" hidden="1" x14ac:dyDescent="0.3">
      <c r="A524" t="s">
        <v>106</v>
      </c>
      <c r="B524" t="s">
        <v>331</v>
      </c>
      <c r="C524" t="s">
        <v>170</v>
      </c>
      <c r="D524" t="s">
        <v>335</v>
      </c>
      <c r="E524" t="s">
        <v>333</v>
      </c>
      <c r="F524">
        <v>31</v>
      </c>
      <c r="G524">
        <v>33</v>
      </c>
    </row>
    <row r="525" spans="1:7" hidden="1" x14ac:dyDescent="0.3">
      <c r="A525" t="s">
        <v>106</v>
      </c>
      <c r="B525" t="s">
        <v>331</v>
      </c>
      <c r="C525" t="s">
        <v>285</v>
      </c>
      <c r="D525" t="s">
        <v>335</v>
      </c>
      <c r="E525" t="s">
        <v>333</v>
      </c>
      <c r="F525">
        <v>21</v>
      </c>
      <c r="G525">
        <v>21</v>
      </c>
    </row>
    <row r="526" spans="1:7" hidden="1" x14ac:dyDescent="0.3">
      <c r="A526" t="s">
        <v>106</v>
      </c>
      <c r="B526" t="s">
        <v>331</v>
      </c>
      <c r="C526" t="s">
        <v>147</v>
      </c>
      <c r="D526" t="s">
        <v>335</v>
      </c>
      <c r="E526" t="s">
        <v>333</v>
      </c>
      <c r="F526">
        <v>87</v>
      </c>
      <c r="G526">
        <v>85</v>
      </c>
    </row>
    <row r="527" spans="1:7" hidden="1" x14ac:dyDescent="0.3">
      <c r="A527" t="s">
        <v>106</v>
      </c>
      <c r="B527" t="s">
        <v>331</v>
      </c>
      <c r="C527" t="s">
        <v>214</v>
      </c>
      <c r="D527" t="s">
        <v>335</v>
      </c>
      <c r="E527" t="s">
        <v>333</v>
      </c>
      <c r="F527">
        <v>67</v>
      </c>
      <c r="G527">
        <v>64</v>
      </c>
    </row>
    <row r="528" spans="1:7" hidden="1" x14ac:dyDescent="0.3">
      <c r="A528" t="s">
        <v>106</v>
      </c>
      <c r="B528" t="s">
        <v>331</v>
      </c>
      <c r="C528" t="s">
        <v>148</v>
      </c>
      <c r="D528" t="s">
        <v>335</v>
      </c>
      <c r="E528" t="s">
        <v>333</v>
      </c>
      <c r="F528">
        <v>16</v>
      </c>
      <c r="G528">
        <v>16</v>
      </c>
    </row>
    <row r="529" spans="1:13" hidden="1" x14ac:dyDescent="0.3">
      <c r="A529" t="s">
        <v>106</v>
      </c>
      <c r="B529" t="s">
        <v>331</v>
      </c>
      <c r="C529" t="s">
        <v>160</v>
      </c>
      <c r="D529" t="s">
        <v>335</v>
      </c>
      <c r="E529" t="s">
        <v>333</v>
      </c>
      <c r="F529">
        <v>76</v>
      </c>
      <c r="G529">
        <v>75</v>
      </c>
    </row>
    <row r="530" spans="1:13" hidden="1" x14ac:dyDescent="0.3">
      <c r="A530" t="s">
        <v>106</v>
      </c>
      <c r="B530" t="s">
        <v>331</v>
      </c>
      <c r="C530" t="s">
        <v>334</v>
      </c>
      <c r="D530" t="s">
        <v>335</v>
      </c>
      <c r="E530" t="s">
        <v>333</v>
      </c>
      <c r="F530">
        <v>19</v>
      </c>
      <c r="G530">
        <v>19</v>
      </c>
    </row>
    <row r="531" spans="1:13" hidden="1" x14ac:dyDescent="0.3">
      <c r="A531" t="s">
        <v>106</v>
      </c>
      <c r="B531" t="s">
        <v>331</v>
      </c>
      <c r="C531" t="s">
        <v>176</v>
      </c>
      <c r="D531" t="s">
        <v>335</v>
      </c>
      <c r="E531" t="s">
        <v>333</v>
      </c>
      <c r="F531">
        <v>34</v>
      </c>
      <c r="G531">
        <v>32</v>
      </c>
    </row>
    <row r="532" spans="1:13" hidden="1" x14ac:dyDescent="0.3">
      <c r="A532" t="s">
        <v>106</v>
      </c>
      <c r="B532" t="s">
        <v>331</v>
      </c>
      <c r="C532" t="s">
        <v>235</v>
      </c>
      <c r="D532" t="s">
        <v>335</v>
      </c>
      <c r="E532" t="s">
        <v>333</v>
      </c>
      <c r="F532">
        <v>6</v>
      </c>
      <c r="G532">
        <v>6</v>
      </c>
    </row>
    <row r="533" spans="1:13" hidden="1" x14ac:dyDescent="0.3">
      <c r="A533" t="s">
        <v>106</v>
      </c>
      <c r="B533" t="s">
        <v>331</v>
      </c>
      <c r="C533" t="s">
        <v>177</v>
      </c>
      <c r="D533" t="s">
        <v>335</v>
      </c>
      <c r="E533" t="s">
        <v>333</v>
      </c>
      <c r="F533">
        <v>19</v>
      </c>
      <c r="G533">
        <v>19</v>
      </c>
    </row>
    <row r="534" spans="1:13" hidden="1" x14ac:dyDescent="0.3">
      <c r="A534" t="s">
        <v>106</v>
      </c>
      <c r="B534" t="s">
        <v>331</v>
      </c>
      <c r="C534" t="s">
        <v>151</v>
      </c>
      <c r="D534" t="s">
        <v>335</v>
      </c>
      <c r="E534" t="s">
        <v>333</v>
      </c>
      <c r="F534">
        <v>188</v>
      </c>
      <c r="G534">
        <v>200</v>
      </c>
    </row>
    <row r="535" spans="1:13" x14ac:dyDescent="0.3">
      <c r="A535" t="s">
        <v>106</v>
      </c>
      <c r="B535" t="s">
        <v>331</v>
      </c>
      <c r="C535" t="s">
        <v>152</v>
      </c>
      <c r="D535" t="s">
        <v>335</v>
      </c>
      <c r="E535" t="s">
        <v>333</v>
      </c>
      <c r="F535" s="3">
        <v>1890</v>
      </c>
      <c r="G535" s="3">
        <v>1900</v>
      </c>
      <c r="H535" t="s">
        <v>139</v>
      </c>
    </row>
    <row r="536" spans="1:13" hidden="1" x14ac:dyDescent="0.3">
      <c r="A536" t="s">
        <v>106</v>
      </c>
      <c r="B536" t="s">
        <v>336</v>
      </c>
      <c r="C536" t="s">
        <v>134</v>
      </c>
      <c r="D536" t="s">
        <v>337</v>
      </c>
      <c r="E536" t="s">
        <v>154</v>
      </c>
      <c r="F536">
        <v>44700</v>
      </c>
      <c r="G536">
        <v>48000</v>
      </c>
      <c r="L536">
        <v>3600</v>
      </c>
      <c r="M536" t="s">
        <v>338</v>
      </c>
    </row>
    <row r="537" spans="1:13" hidden="1" x14ac:dyDescent="0.3">
      <c r="A537" t="s">
        <v>106</v>
      </c>
      <c r="B537" t="s">
        <v>336</v>
      </c>
      <c r="C537" t="s">
        <v>140</v>
      </c>
      <c r="D537" t="s">
        <v>337</v>
      </c>
      <c r="E537" t="s">
        <v>154</v>
      </c>
      <c r="F537">
        <v>953000</v>
      </c>
      <c r="G537">
        <v>930000</v>
      </c>
      <c r="L537">
        <v>58000</v>
      </c>
      <c r="M537" t="s">
        <v>338</v>
      </c>
    </row>
    <row r="538" spans="1:13" hidden="1" x14ac:dyDescent="0.3">
      <c r="A538" t="s">
        <v>106</v>
      </c>
      <c r="B538" t="s">
        <v>336</v>
      </c>
      <c r="C538" t="s">
        <v>142</v>
      </c>
      <c r="D538" t="s">
        <v>337</v>
      </c>
      <c r="E538" t="s">
        <v>154</v>
      </c>
      <c r="F538">
        <v>445000</v>
      </c>
      <c r="G538">
        <v>440000</v>
      </c>
      <c r="L538">
        <v>34000</v>
      </c>
      <c r="M538" t="s">
        <v>338</v>
      </c>
    </row>
    <row r="539" spans="1:13" hidden="1" x14ac:dyDescent="0.3">
      <c r="A539" t="s">
        <v>106</v>
      </c>
      <c r="B539" t="s">
        <v>336</v>
      </c>
      <c r="C539" t="s">
        <v>156</v>
      </c>
      <c r="D539" t="s">
        <v>337</v>
      </c>
      <c r="E539" t="s">
        <v>154</v>
      </c>
      <c r="F539">
        <v>59400</v>
      </c>
      <c r="G539">
        <v>54000</v>
      </c>
      <c r="L539">
        <v>6000</v>
      </c>
      <c r="M539" t="s">
        <v>338</v>
      </c>
    </row>
    <row r="540" spans="1:13" hidden="1" x14ac:dyDescent="0.3">
      <c r="A540" t="s">
        <v>106</v>
      </c>
      <c r="B540" t="s">
        <v>336</v>
      </c>
      <c r="C540" t="s">
        <v>221</v>
      </c>
      <c r="D540" t="s">
        <v>337</v>
      </c>
      <c r="E540" t="s">
        <v>154</v>
      </c>
      <c r="F540">
        <v>18100</v>
      </c>
      <c r="G540">
        <v>18000</v>
      </c>
      <c r="M540" t="s">
        <v>339</v>
      </c>
    </row>
    <row r="541" spans="1:13" hidden="1" x14ac:dyDescent="0.3">
      <c r="A541" t="s">
        <v>106</v>
      </c>
      <c r="B541" t="s">
        <v>336</v>
      </c>
      <c r="C541" t="s">
        <v>143</v>
      </c>
      <c r="D541" t="s">
        <v>337</v>
      </c>
      <c r="E541" t="s">
        <v>154</v>
      </c>
      <c r="F541">
        <v>278000</v>
      </c>
      <c r="G541">
        <v>270000</v>
      </c>
      <c r="L541">
        <v>20000</v>
      </c>
      <c r="M541" t="s">
        <v>338</v>
      </c>
    </row>
    <row r="542" spans="1:13" hidden="1" x14ac:dyDescent="0.3">
      <c r="A542" t="s">
        <v>106</v>
      </c>
      <c r="B542" t="s">
        <v>336</v>
      </c>
      <c r="C542" t="s">
        <v>146</v>
      </c>
      <c r="D542" t="s">
        <v>337</v>
      </c>
      <c r="E542" t="s">
        <v>154</v>
      </c>
      <c r="F542">
        <v>278000</v>
      </c>
      <c r="G542">
        <v>270000</v>
      </c>
      <c r="L542">
        <v>5500</v>
      </c>
      <c r="M542" t="s">
        <v>338</v>
      </c>
    </row>
    <row r="543" spans="1:13" hidden="1" x14ac:dyDescent="0.3">
      <c r="A543" t="s">
        <v>106</v>
      </c>
      <c r="B543" t="s">
        <v>336</v>
      </c>
      <c r="C543" t="s">
        <v>170</v>
      </c>
      <c r="D543" t="s">
        <v>337</v>
      </c>
      <c r="E543" t="s">
        <v>154</v>
      </c>
      <c r="F543">
        <v>85400</v>
      </c>
      <c r="G543">
        <v>90000</v>
      </c>
      <c r="H543" t="s">
        <v>157</v>
      </c>
      <c r="L543">
        <v>3800</v>
      </c>
      <c r="M543" t="s">
        <v>338</v>
      </c>
    </row>
    <row r="544" spans="1:13" hidden="1" x14ac:dyDescent="0.3">
      <c r="A544" t="s">
        <v>106</v>
      </c>
      <c r="B544" t="s">
        <v>336</v>
      </c>
      <c r="C544" t="s">
        <v>171</v>
      </c>
      <c r="D544" t="s">
        <v>337</v>
      </c>
      <c r="E544" t="s">
        <v>154</v>
      </c>
      <c r="F544">
        <v>28900</v>
      </c>
      <c r="G544">
        <v>30000</v>
      </c>
      <c r="L544">
        <v>2500</v>
      </c>
      <c r="M544" t="s">
        <v>338</v>
      </c>
    </row>
    <row r="545" spans="1:13" hidden="1" x14ac:dyDescent="0.3">
      <c r="A545" t="s">
        <v>106</v>
      </c>
      <c r="B545" t="s">
        <v>336</v>
      </c>
      <c r="C545" t="s">
        <v>340</v>
      </c>
      <c r="D545" t="s">
        <v>337</v>
      </c>
      <c r="E545" t="s">
        <v>154</v>
      </c>
      <c r="F545">
        <v>14100</v>
      </c>
      <c r="G545">
        <v>15000</v>
      </c>
      <c r="M545" t="s">
        <v>339</v>
      </c>
    </row>
    <row r="546" spans="1:13" hidden="1" x14ac:dyDescent="0.3">
      <c r="A546" t="s">
        <v>106</v>
      </c>
      <c r="B546" t="s">
        <v>336</v>
      </c>
      <c r="C546" t="s">
        <v>148</v>
      </c>
      <c r="D546" t="s">
        <v>337</v>
      </c>
      <c r="E546" t="s">
        <v>154</v>
      </c>
      <c r="F546">
        <v>8500</v>
      </c>
      <c r="G546">
        <v>8000</v>
      </c>
      <c r="M546" t="s">
        <v>339</v>
      </c>
    </row>
    <row r="547" spans="1:13" hidden="1" x14ac:dyDescent="0.3">
      <c r="A547" t="s">
        <v>106</v>
      </c>
      <c r="B547" t="s">
        <v>336</v>
      </c>
      <c r="C547" t="s">
        <v>182</v>
      </c>
      <c r="D547" t="s">
        <v>337</v>
      </c>
      <c r="E547" t="s">
        <v>154</v>
      </c>
      <c r="F547">
        <v>20900</v>
      </c>
      <c r="G547">
        <v>21000</v>
      </c>
      <c r="L547">
        <v>2600</v>
      </c>
      <c r="M547" t="s">
        <v>338</v>
      </c>
    </row>
    <row r="548" spans="1:13" hidden="1" x14ac:dyDescent="0.3">
      <c r="A548" t="s">
        <v>106</v>
      </c>
      <c r="B548" t="s">
        <v>336</v>
      </c>
      <c r="C548" t="s">
        <v>160</v>
      </c>
      <c r="D548" t="s">
        <v>337</v>
      </c>
      <c r="E548" t="s">
        <v>154</v>
      </c>
      <c r="F548">
        <v>90900</v>
      </c>
      <c r="G548">
        <v>91000</v>
      </c>
      <c r="L548">
        <v>35000</v>
      </c>
      <c r="M548" t="s">
        <v>338</v>
      </c>
    </row>
    <row r="549" spans="1:13" hidden="1" x14ac:dyDescent="0.3">
      <c r="A549" t="s">
        <v>106</v>
      </c>
      <c r="B549" t="s">
        <v>336</v>
      </c>
      <c r="C549" t="s">
        <v>252</v>
      </c>
      <c r="D549" t="s">
        <v>337</v>
      </c>
      <c r="E549" t="s">
        <v>154</v>
      </c>
      <c r="F549">
        <v>63200</v>
      </c>
      <c r="G549">
        <v>66000</v>
      </c>
      <c r="L549">
        <v>930</v>
      </c>
      <c r="M549" t="s">
        <v>338</v>
      </c>
    </row>
    <row r="550" spans="1:13" hidden="1" x14ac:dyDescent="0.3">
      <c r="A550" t="s">
        <v>106</v>
      </c>
      <c r="B550" t="s">
        <v>336</v>
      </c>
      <c r="C550" t="s">
        <v>341</v>
      </c>
      <c r="D550" t="s">
        <v>337</v>
      </c>
      <c r="E550" t="s">
        <v>154</v>
      </c>
      <c r="F550">
        <v>28900</v>
      </c>
      <c r="G550">
        <v>28000</v>
      </c>
      <c r="L550">
        <v>1300</v>
      </c>
      <c r="M550" t="s">
        <v>338</v>
      </c>
    </row>
    <row r="551" spans="1:13" hidden="1" x14ac:dyDescent="0.3">
      <c r="A551" t="s">
        <v>106</v>
      </c>
      <c r="B551" t="s">
        <v>336</v>
      </c>
      <c r="C551" t="s">
        <v>176</v>
      </c>
      <c r="D551" t="s">
        <v>337</v>
      </c>
      <c r="E551" t="s">
        <v>154</v>
      </c>
      <c r="F551">
        <v>16800</v>
      </c>
      <c r="G551">
        <v>18000</v>
      </c>
      <c r="L551">
        <v>150</v>
      </c>
      <c r="M551" t="s">
        <v>338</v>
      </c>
    </row>
    <row r="552" spans="1:13" hidden="1" x14ac:dyDescent="0.3">
      <c r="A552" t="s">
        <v>106</v>
      </c>
      <c r="B552" t="s">
        <v>336</v>
      </c>
      <c r="C552" t="s">
        <v>235</v>
      </c>
      <c r="D552" t="s">
        <v>337</v>
      </c>
      <c r="E552" t="s">
        <v>154</v>
      </c>
      <c r="F552">
        <v>41700</v>
      </c>
      <c r="G552">
        <v>42000</v>
      </c>
      <c r="H552" t="s">
        <v>157</v>
      </c>
      <c r="L552">
        <v>6500</v>
      </c>
      <c r="M552" t="s">
        <v>338</v>
      </c>
    </row>
    <row r="553" spans="1:13" hidden="1" x14ac:dyDescent="0.3">
      <c r="A553" t="s">
        <v>106</v>
      </c>
      <c r="B553" t="s">
        <v>336</v>
      </c>
      <c r="C553" t="s">
        <v>151</v>
      </c>
      <c r="D553" t="s">
        <v>337</v>
      </c>
      <c r="E553" t="s">
        <v>154</v>
      </c>
      <c r="F553">
        <v>52300</v>
      </c>
      <c r="G553">
        <v>64000</v>
      </c>
      <c r="L553">
        <v>17000</v>
      </c>
      <c r="M553" t="s">
        <v>338</v>
      </c>
    </row>
    <row r="554" spans="1:13" x14ac:dyDescent="0.3">
      <c r="A554" t="s">
        <v>106</v>
      </c>
      <c r="B554" t="s">
        <v>336</v>
      </c>
      <c r="C554" t="s">
        <v>152</v>
      </c>
      <c r="D554" t="s">
        <v>337</v>
      </c>
      <c r="E554" t="s">
        <v>154</v>
      </c>
      <c r="F554" s="3">
        <v>2530000</v>
      </c>
      <c r="G554" s="3">
        <v>2500000</v>
      </c>
      <c r="L554">
        <v>200000</v>
      </c>
      <c r="M554" t="s">
        <v>338</v>
      </c>
    </row>
    <row r="555" spans="1:13" hidden="1" x14ac:dyDescent="0.3">
      <c r="A555" t="s">
        <v>106</v>
      </c>
      <c r="B555" t="s">
        <v>336</v>
      </c>
      <c r="C555" t="s">
        <v>134</v>
      </c>
      <c r="D555" t="s">
        <v>342</v>
      </c>
      <c r="E555" t="s">
        <v>154</v>
      </c>
      <c r="F555">
        <v>28200</v>
      </c>
      <c r="G555">
        <v>30000</v>
      </c>
      <c r="L555">
        <v>2300</v>
      </c>
      <c r="M555" t="s">
        <v>343</v>
      </c>
    </row>
    <row r="556" spans="1:13" hidden="1" x14ac:dyDescent="0.3">
      <c r="A556" t="s">
        <v>106</v>
      </c>
      <c r="B556" t="s">
        <v>336</v>
      </c>
      <c r="C556" t="s">
        <v>140</v>
      </c>
      <c r="D556" t="s">
        <v>342</v>
      </c>
      <c r="E556" t="s">
        <v>154</v>
      </c>
      <c r="F556">
        <v>589000</v>
      </c>
      <c r="G556">
        <v>580000</v>
      </c>
      <c r="L556">
        <v>27000</v>
      </c>
      <c r="M556" t="s">
        <v>343</v>
      </c>
    </row>
    <row r="557" spans="1:13" hidden="1" x14ac:dyDescent="0.3">
      <c r="A557" t="s">
        <v>106</v>
      </c>
      <c r="B557" t="s">
        <v>336</v>
      </c>
      <c r="C557" t="s">
        <v>142</v>
      </c>
      <c r="D557" t="s">
        <v>342</v>
      </c>
      <c r="E557" t="s">
        <v>154</v>
      </c>
      <c r="F557">
        <v>280000</v>
      </c>
      <c r="G557">
        <v>280000</v>
      </c>
      <c r="L557">
        <v>15000</v>
      </c>
      <c r="M557" t="s">
        <v>343</v>
      </c>
    </row>
    <row r="558" spans="1:13" hidden="1" x14ac:dyDescent="0.3">
      <c r="A558" t="s">
        <v>106</v>
      </c>
      <c r="B558" t="s">
        <v>336</v>
      </c>
      <c r="C558" t="s">
        <v>156</v>
      </c>
      <c r="D558" t="s">
        <v>342</v>
      </c>
      <c r="E558" t="s">
        <v>154</v>
      </c>
      <c r="F558">
        <v>35700</v>
      </c>
      <c r="G558">
        <v>32000</v>
      </c>
      <c r="L558">
        <v>2300</v>
      </c>
      <c r="M558" t="s">
        <v>343</v>
      </c>
    </row>
    <row r="559" spans="1:13" hidden="1" x14ac:dyDescent="0.3">
      <c r="A559" t="s">
        <v>106</v>
      </c>
      <c r="B559" t="s">
        <v>336</v>
      </c>
      <c r="C559" t="s">
        <v>221</v>
      </c>
      <c r="D559" t="s">
        <v>342</v>
      </c>
      <c r="E559" t="s">
        <v>154</v>
      </c>
      <c r="F559">
        <v>11400</v>
      </c>
      <c r="G559">
        <v>11000</v>
      </c>
      <c r="M559" t="s">
        <v>339</v>
      </c>
    </row>
    <row r="560" spans="1:13" hidden="1" x14ac:dyDescent="0.3">
      <c r="A560" t="s">
        <v>106</v>
      </c>
      <c r="B560" t="s">
        <v>336</v>
      </c>
      <c r="C560" t="s">
        <v>143</v>
      </c>
      <c r="D560" t="s">
        <v>342</v>
      </c>
      <c r="E560" t="s">
        <v>154</v>
      </c>
      <c r="F560">
        <v>174000</v>
      </c>
      <c r="G560">
        <v>170000</v>
      </c>
      <c r="L560">
        <v>6900</v>
      </c>
      <c r="M560" t="s">
        <v>343</v>
      </c>
    </row>
    <row r="561" spans="1:13" hidden="1" x14ac:dyDescent="0.3">
      <c r="A561" t="s">
        <v>106</v>
      </c>
      <c r="B561" t="s">
        <v>336</v>
      </c>
      <c r="C561" t="s">
        <v>146</v>
      </c>
      <c r="D561" t="s">
        <v>342</v>
      </c>
      <c r="E561" t="s">
        <v>154</v>
      </c>
      <c r="F561">
        <v>172000</v>
      </c>
      <c r="G561">
        <v>170000</v>
      </c>
      <c r="L561">
        <v>3400</v>
      </c>
      <c r="M561" t="s">
        <v>343</v>
      </c>
    </row>
    <row r="562" spans="1:13" hidden="1" x14ac:dyDescent="0.3">
      <c r="A562" t="s">
        <v>106</v>
      </c>
      <c r="B562" t="s">
        <v>336</v>
      </c>
      <c r="C562" t="s">
        <v>170</v>
      </c>
      <c r="D562" t="s">
        <v>342</v>
      </c>
      <c r="E562" t="s">
        <v>154</v>
      </c>
      <c r="F562">
        <v>55900</v>
      </c>
      <c r="G562">
        <v>59000</v>
      </c>
      <c r="H562" t="s">
        <v>157</v>
      </c>
      <c r="L562">
        <v>1500</v>
      </c>
      <c r="M562" t="s">
        <v>343</v>
      </c>
    </row>
    <row r="563" spans="1:13" hidden="1" x14ac:dyDescent="0.3">
      <c r="A563" t="s">
        <v>106</v>
      </c>
      <c r="B563" t="s">
        <v>336</v>
      </c>
      <c r="C563" t="s">
        <v>171</v>
      </c>
      <c r="D563" t="s">
        <v>342</v>
      </c>
      <c r="E563" t="s">
        <v>154</v>
      </c>
      <c r="F563">
        <v>8890</v>
      </c>
      <c r="G563">
        <v>9200</v>
      </c>
      <c r="L563">
        <v>900</v>
      </c>
      <c r="M563" t="s">
        <v>343</v>
      </c>
    </row>
    <row r="564" spans="1:13" hidden="1" x14ac:dyDescent="0.3">
      <c r="A564" t="s">
        <v>106</v>
      </c>
      <c r="B564" t="s">
        <v>336</v>
      </c>
      <c r="C564" t="s">
        <v>340</v>
      </c>
      <c r="D564" t="s">
        <v>342</v>
      </c>
      <c r="E564" t="s">
        <v>154</v>
      </c>
      <c r="F564">
        <v>8790</v>
      </c>
      <c r="G564">
        <v>9400</v>
      </c>
      <c r="M564" t="s">
        <v>339</v>
      </c>
    </row>
    <row r="565" spans="1:13" hidden="1" x14ac:dyDescent="0.3">
      <c r="A565" t="s">
        <v>106</v>
      </c>
      <c r="B565" t="s">
        <v>336</v>
      </c>
      <c r="C565" t="s">
        <v>148</v>
      </c>
      <c r="D565" t="s">
        <v>342</v>
      </c>
      <c r="E565" t="s">
        <v>154</v>
      </c>
      <c r="F565">
        <v>5350</v>
      </c>
      <c r="G565">
        <v>5000</v>
      </c>
      <c r="M565" t="s">
        <v>339</v>
      </c>
    </row>
    <row r="566" spans="1:13" hidden="1" x14ac:dyDescent="0.3">
      <c r="A566" t="s">
        <v>106</v>
      </c>
      <c r="B566" t="s">
        <v>336</v>
      </c>
      <c r="C566" t="s">
        <v>182</v>
      </c>
      <c r="D566" t="s">
        <v>342</v>
      </c>
      <c r="E566" t="s">
        <v>154</v>
      </c>
      <c r="F566">
        <v>14100</v>
      </c>
      <c r="G566">
        <v>14000</v>
      </c>
      <c r="L566">
        <v>1500</v>
      </c>
      <c r="M566" t="s">
        <v>343</v>
      </c>
    </row>
    <row r="567" spans="1:13" hidden="1" x14ac:dyDescent="0.3">
      <c r="A567" t="s">
        <v>106</v>
      </c>
      <c r="B567" t="s">
        <v>336</v>
      </c>
      <c r="C567" t="s">
        <v>160</v>
      </c>
      <c r="D567" t="s">
        <v>342</v>
      </c>
      <c r="E567" t="s">
        <v>154</v>
      </c>
      <c r="F567">
        <v>53300</v>
      </c>
      <c r="G567">
        <v>53000</v>
      </c>
      <c r="L567">
        <v>14000</v>
      </c>
      <c r="M567" t="s">
        <v>343</v>
      </c>
    </row>
    <row r="568" spans="1:13" hidden="1" x14ac:dyDescent="0.3">
      <c r="A568" t="s">
        <v>106</v>
      </c>
      <c r="B568" t="s">
        <v>336</v>
      </c>
      <c r="C568" t="s">
        <v>252</v>
      </c>
      <c r="D568" t="s">
        <v>342</v>
      </c>
      <c r="E568" t="s">
        <v>154</v>
      </c>
      <c r="F568">
        <v>40200</v>
      </c>
      <c r="G568">
        <v>42000</v>
      </c>
      <c r="L568">
        <v>590</v>
      </c>
      <c r="M568" t="s">
        <v>343</v>
      </c>
    </row>
    <row r="569" spans="1:13" hidden="1" x14ac:dyDescent="0.3">
      <c r="A569" t="s">
        <v>106</v>
      </c>
      <c r="B569" t="s">
        <v>336</v>
      </c>
      <c r="C569" t="s">
        <v>341</v>
      </c>
      <c r="D569" t="s">
        <v>342</v>
      </c>
      <c r="E569" t="s">
        <v>154</v>
      </c>
      <c r="F569">
        <v>20400</v>
      </c>
      <c r="G569">
        <v>20000</v>
      </c>
      <c r="L569">
        <v>600</v>
      </c>
      <c r="M569" t="s">
        <v>343</v>
      </c>
    </row>
    <row r="570" spans="1:13" hidden="1" x14ac:dyDescent="0.3">
      <c r="A570" t="s">
        <v>106</v>
      </c>
      <c r="B570" t="s">
        <v>336</v>
      </c>
      <c r="C570" t="s">
        <v>176</v>
      </c>
      <c r="D570" t="s">
        <v>342</v>
      </c>
      <c r="E570" t="s">
        <v>154</v>
      </c>
      <c r="F570">
        <v>10100</v>
      </c>
      <c r="G570">
        <v>11000</v>
      </c>
      <c r="L570">
        <v>99</v>
      </c>
      <c r="M570" t="s">
        <v>343</v>
      </c>
    </row>
    <row r="571" spans="1:13" hidden="1" x14ac:dyDescent="0.3">
      <c r="A571" t="s">
        <v>106</v>
      </c>
      <c r="B571" t="s">
        <v>336</v>
      </c>
      <c r="C571" t="s">
        <v>235</v>
      </c>
      <c r="D571" t="s">
        <v>342</v>
      </c>
      <c r="E571" t="s">
        <v>154</v>
      </c>
      <c r="F571">
        <v>26100</v>
      </c>
      <c r="G571">
        <v>26000</v>
      </c>
      <c r="H571" t="s">
        <v>157</v>
      </c>
      <c r="L571">
        <v>2300</v>
      </c>
      <c r="M571" t="s">
        <v>343</v>
      </c>
    </row>
    <row r="572" spans="1:13" hidden="1" x14ac:dyDescent="0.3">
      <c r="A572" t="s">
        <v>106</v>
      </c>
      <c r="B572" t="s">
        <v>336</v>
      </c>
      <c r="C572" t="s">
        <v>151</v>
      </c>
      <c r="D572" t="s">
        <v>342</v>
      </c>
      <c r="E572" t="s">
        <v>154</v>
      </c>
      <c r="F572">
        <v>29900</v>
      </c>
      <c r="G572">
        <v>37000</v>
      </c>
      <c r="L572">
        <v>8500</v>
      </c>
      <c r="M572" t="s">
        <v>343</v>
      </c>
    </row>
    <row r="573" spans="1:13" x14ac:dyDescent="0.3">
      <c r="A573" t="s">
        <v>106</v>
      </c>
      <c r="B573" t="s">
        <v>336</v>
      </c>
      <c r="C573" t="s">
        <v>152</v>
      </c>
      <c r="D573" t="s">
        <v>342</v>
      </c>
      <c r="E573" t="s">
        <v>154</v>
      </c>
      <c r="F573" s="3">
        <v>1560000</v>
      </c>
      <c r="G573" s="3">
        <v>1600000</v>
      </c>
      <c r="L573">
        <v>88000</v>
      </c>
      <c r="M573" t="s">
        <v>343</v>
      </c>
    </row>
    <row r="574" spans="1:13" hidden="1" x14ac:dyDescent="0.3">
      <c r="A574" t="s">
        <v>106</v>
      </c>
      <c r="B574" t="s">
        <v>344</v>
      </c>
      <c r="C574" t="s">
        <v>134</v>
      </c>
      <c r="D574" t="s">
        <v>43</v>
      </c>
      <c r="E574" t="s">
        <v>136</v>
      </c>
      <c r="H574" t="s">
        <v>190</v>
      </c>
      <c r="M574" t="s">
        <v>345</v>
      </c>
    </row>
    <row r="575" spans="1:13" hidden="1" x14ac:dyDescent="0.3">
      <c r="A575" t="s">
        <v>106</v>
      </c>
      <c r="B575" t="s">
        <v>344</v>
      </c>
      <c r="C575" t="s">
        <v>346</v>
      </c>
      <c r="D575" t="s">
        <v>43</v>
      </c>
      <c r="E575" t="s">
        <v>136</v>
      </c>
      <c r="F575">
        <v>5000</v>
      </c>
      <c r="G575">
        <v>20000</v>
      </c>
      <c r="M575" t="s">
        <v>345</v>
      </c>
    </row>
    <row r="576" spans="1:13" hidden="1" x14ac:dyDescent="0.3">
      <c r="A576" t="s">
        <v>106</v>
      </c>
      <c r="B576" t="s">
        <v>344</v>
      </c>
      <c r="C576" t="s">
        <v>144</v>
      </c>
      <c r="D576" t="s">
        <v>43</v>
      </c>
      <c r="E576" t="s">
        <v>136</v>
      </c>
      <c r="F576">
        <v>16000</v>
      </c>
      <c r="G576">
        <v>17000</v>
      </c>
      <c r="M576" t="s">
        <v>339</v>
      </c>
    </row>
    <row r="577" spans="1:13" hidden="1" x14ac:dyDescent="0.3">
      <c r="A577" t="s">
        <v>106</v>
      </c>
      <c r="B577" t="s">
        <v>344</v>
      </c>
      <c r="C577" t="s">
        <v>145</v>
      </c>
      <c r="D577" t="s">
        <v>43</v>
      </c>
      <c r="E577" t="s">
        <v>136</v>
      </c>
      <c r="F577">
        <v>240000</v>
      </c>
      <c r="G577">
        <v>250000</v>
      </c>
      <c r="M577" t="s">
        <v>345</v>
      </c>
    </row>
    <row r="578" spans="1:13" hidden="1" x14ac:dyDescent="0.3">
      <c r="A578" t="s">
        <v>106</v>
      </c>
      <c r="B578" t="s">
        <v>344</v>
      </c>
      <c r="C578" t="s">
        <v>146</v>
      </c>
      <c r="D578" t="s">
        <v>43</v>
      </c>
      <c r="E578" t="s">
        <v>136</v>
      </c>
      <c r="F578">
        <v>3200000</v>
      </c>
      <c r="G578">
        <v>3300000</v>
      </c>
      <c r="L578">
        <v>37000000</v>
      </c>
    </row>
    <row r="579" spans="1:13" hidden="1" x14ac:dyDescent="0.3">
      <c r="A579" t="s">
        <v>106</v>
      </c>
      <c r="B579" t="s">
        <v>344</v>
      </c>
      <c r="C579" t="s">
        <v>285</v>
      </c>
      <c r="D579" t="s">
        <v>43</v>
      </c>
      <c r="E579" t="s">
        <v>136</v>
      </c>
      <c r="F579">
        <v>30000</v>
      </c>
      <c r="G579">
        <v>31000</v>
      </c>
      <c r="M579" t="s">
        <v>339</v>
      </c>
    </row>
    <row r="580" spans="1:13" hidden="1" x14ac:dyDescent="0.3">
      <c r="A580" t="s">
        <v>106</v>
      </c>
      <c r="B580" t="s">
        <v>344</v>
      </c>
      <c r="C580" t="s">
        <v>174</v>
      </c>
      <c r="D580" t="s">
        <v>43</v>
      </c>
      <c r="E580" t="s">
        <v>136</v>
      </c>
      <c r="F580">
        <v>95000</v>
      </c>
      <c r="G580">
        <v>100000</v>
      </c>
      <c r="M580" t="s">
        <v>187</v>
      </c>
    </row>
    <row r="581" spans="1:13" hidden="1" x14ac:dyDescent="0.3">
      <c r="A581" t="s">
        <v>106</v>
      </c>
      <c r="B581" t="s">
        <v>344</v>
      </c>
      <c r="C581" t="s">
        <v>202</v>
      </c>
      <c r="D581" t="s">
        <v>43</v>
      </c>
      <c r="E581" t="s">
        <v>136</v>
      </c>
      <c r="F581">
        <v>16000</v>
      </c>
      <c r="G581">
        <v>17000</v>
      </c>
      <c r="M581" t="s">
        <v>187</v>
      </c>
    </row>
    <row r="582" spans="1:13" x14ac:dyDescent="0.3">
      <c r="A582" t="s">
        <v>106</v>
      </c>
      <c r="B582" t="s">
        <v>344</v>
      </c>
      <c r="C582" t="s">
        <v>228</v>
      </c>
      <c r="D582" t="s">
        <v>43</v>
      </c>
      <c r="E582" t="s">
        <v>136</v>
      </c>
      <c r="F582" s="3"/>
      <c r="G582" s="3"/>
      <c r="H582" t="s">
        <v>169</v>
      </c>
      <c r="M582" t="s">
        <v>187</v>
      </c>
    </row>
    <row r="583" spans="1:13" hidden="1" x14ac:dyDescent="0.3">
      <c r="A583" t="s">
        <v>106</v>
      </c>
      <c r="B583" t="s">
        <v>347</v>
      </c>
      <c r="C583" t="s">
        <v>348</v>
      </c>
      <c r="D583" t="s">
        <v>43</v>
      </c>
      <c r="E583" t="s">
        <v>136</v>
      </c>
      <c r="F583">
        <v>82400</v>
      </c>
      <c r="G583">
        <v>80000</v>
      </c>
      <c r="M583" t="s">
        <v>187</v>
      </c>
    </row>
    <row r="584" spans="1:13" hidden="1" x14ac:dyDescent="0.3">
      <c r="A584" t="s">
        <v>106</v>
      </c>
      <c r="B584" t="s">
        <v>347</v>
      </c>
      <c r="C584" t="s">
        <v>349</v>
      </c>
      <c r="D584" t="s">
        <v>43</v>
      </c>
      <c r="E584" t="s">
        <v>136</v>
      </c>
      <c r="F584">
        <v>100000</v>
      </c>
      <c r="G584">
        <v>100000</v>
      </c>
      <c r="L584">
        <v>5000000</v>
      </c>
    </row>
    <row r="585" spans="1:13" hidden="1" x14ac:dyDescent="0.3">
      <c r="A585" t="s">
        <v>106</v>
      </c>
      <c r="B585" t="s">
        <v>347</v>
      </c>
      <c r="C585" t="s">
        <v>350</v>
      </c>
      <c r="D585" t="s">
        <v>43</v>
      </c>
      <c r="E585" t="s">
        <v>136</v>
      </c>
      <c r="F585">
        <v>65000</v>
      </c>
      <c r="G585">
        <v>60000</v>
      </c>
      <c r="M585" t="s">
        <v>169</v>
      </c>
    </row>
    <row r="586" spans="1:13" hidden="1" x14ac:dyDescent="0.3">
      <c r="A586" t="s">
        <v>106</v>
      </c>
      <c r="B586" t="s">
        <v>347</v>
      </c>
      <c r="C586" t="s">
        <v>351</v>
      </c>
      <c r="D586" t="s">
        <v>43</v>
      </c>
      <c r="E586" t="s">
        <v>136</v>
      </c>
      <c r="F586">
        <v>3560</v>
      </c>
      <c r="G586">
        <v>3600</v>
      </c>
      <c r="L586">
        <v>7200000</v>
      </c>
    </row>
    <row r="587" spans="1:13" hidden="1" x14ac:dyDescent="0.3">
      <c r="A587" t="s">
        <v>106</v>
      </c>
      <c r="B587" t="s">
        <v>347</v>
      </c>
      <c r="C587" t="s">
        <v>352</v>
      </c>
      <c r="D587" t="s">
        <v>43</v>
      </c>
      <c r="E587" t="s">
        <v>136</v>
      </c>
      <c r="F587">
        <v>40000</v>
      </c>
      <c r="G587">
        <v>40000</v>
      </c>
      <c r="M587" t="s">
        <v>169</v>
      </c>
    </row>
    <row r="588" spans="1:13" hidden="1" x14ac:dyDescent="0.3">
      <c r="A588" t="s">
        <v>106</v>
      </c>
      <c r="B588" t="s">
        <v>347</v>
      </c>
      <c r="C588" t="s">
        <v>353</v>
      </c>
      <c r="D588" t="s">
        <v>43</v>
      </c>
      <c r="E588" t="s">
        <v>136</v>
      </c>
      <c r="F588">
        <v>148000</v>
      </c>
      <c r="G588">
        <v>150000</v>
      </c>
      <c r="M588" t="s">
        <v>169</v>
      </c>
    </row>
    <row r="589" spans="1:13" x14ac:dyDescent="0.3">
      <c r="A589" t="s">
        <v>106</v>
      </c>
      <c r="B589" t="s">
        <v>347</v>
      </c>
      <c r="C589" t="s">
        <v>152</v>
      </c>
      <c r="D589" t="s">
        <v>43</v>
      </c>
      <c r="E589" t="s">
        <v>136</v>
      </c>
      <c r="F589" s="3"/>
      <c r="G589" s="3"/>
      <c r="H589" t="s">
        <v>354</v>
      </c>
      <c r="M589" t="s">
        <v>354</v>
      </c>
    </row>
    <row r="590" spans="1:13" hidden="1" x14ac:dyDescent="0.3">
      <c r="A590" t="s">
        <v>106</v>
      </c>
      <c r="B590" t="s">
        <v>15</v>
      </c>
      <c r="C590" t="s">
        <v>134</v>
      </c>
      <c r="D590" t="s">
        <v>355</v>
      </c>
      <c r="E590" t="s">
        <v>154</v>
      </c>
      <c r="F590">
        <v>270</v>
      </c>
      <c r="G590">
        <v>300</v>
      </c>
      <c r="L590">
        <v>4600</v>
      </c>
    </row>
    <row r="591" spans="1:13" hidden="1" x14ac:dyDescent="0.3">
      <c r="A591" t="s">
        <v>106</v>
      </c>
      <c r="B591" t="s">
        <v>15</v>
      </c>
      <c r="C591" t="s">
        <v>140</v>
      </c>
      <c r="D591" t="s">
        <v>355</v>
      </c>
      <c r="E591" t="s">
        <v>154</v>
      </c>
      <c r="F591">
        <v>430</v>
      </c>
      <c r="G591">
        <v>430</v>
      </c>
      <c r="L591">
        <v>35000</v>
      </c>
      <c r="M591" t="s">
        <v>356</v>
      </c>
    </row>
    <row r="592" spans="1:13" hidden="1" x14ac:dyDescent="0.3">
      <c r="A592" t="s">
        <v>106</v>
      </c>
      <c r="B592" t="s">
        <v>15</v>
      </c>
      <c r="C592" t="s">
        <v>166</v>
      </c>
      <c r="D592" t="s">
        <v>355</v>
      </c>
      <c r="E592" t="s">
        <v>154</v>
      </c>
      <c r="F592">
        <v>60</v>
      </c>
      <c r="G592">
        <v>60</v>
      </c>
      <c r="L592">
        <v>1600</v>
      </c>
    </row>
    <row r="593" spans="1:13" hidden="1" x14ac:dyDescent="0.3">
      <c r="A593" t="s">
        <v>106</v>
      </c>
      <c r="B593" t="s">
        <v>15</v>
      </c>
      <c r="C593" t="s">
        <v>143</v>
      </c>
      <c r="D593" t="s">
        <v>355</v>
      </c>
      <c r="E593" t="s">
        <v>154</v>
      </c>
      <c r="F593">
        <v>1960</v>
      </c>
      <c r="G593">
        <v>1900</v>
      </c>
      <c r="L593">
        <v>22000</v>
      </c>
    </row>
    <row r="594" spans="1:13" hidden="1" x14ac:dyDescent="0.3">
      <c r="A594" t="s">
        <v>106</v>
      </c>
      <c r="B594" t="s">
        <v>15</v>
      </c>
      <c r="C594" t="s">
        <v>146</v>
      </c>
      <c r="D594" t="s">
        <v>355</v>
      </c>
      <c r="E594" t="s">
        <v>154</v>
      </c>
      <c r="F594">
        <v>226</v>
      </c>
      <c r="G594">
        <v>220</v>
      </c>
      <c r="L594">
        <v>1900</v>
      </c>
    </row>
    <row r="595" spans="1:13" hidden="1" x14ac:dyDescent="0.3">
      <c r="A595" t="s">
        <v>106</v>
      </c>
      <c r="B595" t="s">
        <v>15</v>
      </c>
      <c r="C595" t="s">
        <v>170</v>
      </c>
      <c r="D595" t="s">
        <v>355</v>
      </c>
      <c r="E595" t="s">
        <v>154</v>
      </c>
      <c r="F595">
        <v>60</v>
      </c>
      <c r="G595">
        <v>60</v>
      </c>
      <c r="H595" t="s">
        <v>157</v>
      </c>
      <c r="L595">
        <v>2000</v>
      </c>
    </row>
    <row r="596" spans="1:13" hidden="1" x14ac:dyDescent="0.3">
      <c r="A596" t="s">
        <v>106</v>
      </c>
      <c r="B596" t="s">
        <v>15</v>
      </c>
      <c r="C596" t="s">
        <v>148</v>
      </c>
      <c r="D596" t="s">
        <v>355</v>
      </c>
      <c r="E596" t="s">
        <v>154</v>
      </c>
      <c r="F596">
        <v>183</v>
      </c>
      <c r="G596">
        <v>180</v>
      </c>
      <c r="L596">
        <v>5600</v>
      </c>
    </row>
    <row r="597" spans="1:13" hidden="1" x14ac:dyDescent="0.3">
      <c r="A597" t="s">
        <v>106</v>
      </c>
      <c r="B597" t="s">
        <v>15</v>
      </c>
      <c r="C597" t="s">
        <v>182</v>
      </c>
      <c r="D597" t="s">
        <v>355</v>
      </c>
      <c r="E597" t="s">
        <v>154</v>
      </c>
      <c r="F597">
        <v>273</v>
      </c>
      <c r="G597">
        <v>270</v>
      </c>
      <c r="L597">
        <v>5000</v>
      </c>
    </row>
    <row r="598" spans="1:13" hidden="1" x14ac:dyDescent="0.3">
      <c r="A598" t="s">
        <v>106</v>
      </c>
      <c r="B598" t="s">
        <v>15</v>
      </c>
      <c r="C598" t="s">
        <v>160</v>
      </c>
      <c r="D598" t="s">
        <v>355</v>
      </c>
      <c r="E598" t="s">
        <v>154</v>
      </c>
      <c r="F598">
        <v>218</v>
      </c>
      <c r="G598">
        <v>220</v>
      </c>
      <c r="H598" t="s">
        <v>157</v>
      </c>
      <c r="L598">
        <v>8900</v>
      </c>
    </row>
    <row r="599" spans="1:13" hidden="1" x14ac:dyDescent="0.3">
      <c r="A599" t="s">
        <v>106</v>
      </c>
      <c r="B599" t="s">
        <v>15</v>
      </c>
      <c r="C599" t="s">
        <v>341</v>
      </c>
      <c r="D599" t="s">
        <v>355</v>
      </c>
      <c r="E599" t="s">
        <v>154</v>
      </c>
      <c r="F599">
        <v>72</v>
      </c>
      <c r="G599">
        <v>70</v>
      </c>
      <c r="L599">
        <v>1700</v>
      </c>
    </row>
    <row r="600" spans="1:13" hidden="1" x14ac:dyDescent="0.3">
      <c r="A600" t="s">
        <v>106</v>
      </c>
      <c r="B600" t="s">
        <v>15</v>
      </c>
      <c r="C600" t="s">
        <v>175</v>
      </c>
      <c r="D600" t="s">
        <v>355</v>
      </c>
      <c r="E600" t="s">
        <v>154</v>
      </c>
      <c r="F600">
        <v>39</v>
      </c>
      <c r="G600">
        <v>40</v>
      </c>
      <c r="H600" t="s">
        <v>157</v>
      </c>
      <c r="M600" t="s">
        <v>169</v>
      </c>
    </row>
    <row r="601" spans="1:13" hidden="1" x14ac:dyDescent="0.3">
      <c r="A601" t="s">
        <v>106</v>
      </c>
      <c r="B601" t="s">
        <v>15</v>
      </c>
      <c r="C601" t="s">
        <v>176</v>
      </c>
      <c r="D601" t="s">
        <v>355</v>
      </c>
      <c r="E601" t="s">
        <v>154</v>
      </c>
      <c r="F601">
        <v>68</v>
      </c>
      <c r="G601">
        <v>70</v>
      </c>
      <c r="H601" t="s">
        <v>157</v>
      </c>
      <c r="L601">
        <v>1600</v>
      </c>
    </row>
    <row r="602" spans="1:13" hidden="1" x14ac:dyDescent="0.3">
      <c r="A602" t="s">
        <v>106</v>
      </c>
      <c r="B602" t="s">
        <v>15</v>
      </c>
      <c r="C602" t="s">
        <v>151</v>
      </c>
      <c r="D602" t="s">
        <v>355</v>
      </c>
      <c r="E602" t="s">
        <v>154</v>
      </c>
      <c r="F602">
        <v>511</v>
      </c>
      <c r="G602">
        <v>520</v>
      </c>
      <c r="L602">
        <v>5900</v>
      </c>
    </row>
    <row r="603" spans="1:13" x14ac:dyDescent="0.3">
      <c r="A603" t="s">
        <v>106</v>
      </c>
      <c r="B603" t="s">
        <v>15</v>
      </c>
      <c r="C603" t="s">
        <v>152</v>
      </c>
      <c r="D603" t="s">
        <v>355</v>
      </c>
      <c r="E603" t="s">
        <v>154</v>
      </c>
      <c r="F603" s="3">
        <v>4370</v>
      </c>
      <c r="G603" s="3">
        <v>4300</v>
      </c>
      <c r="L603">
        <v>96000</v>
      </c>
    </row>
    <row r="604" spans="1:13" hidden="1" x14ac:dyDescent="0.3">
      <c r="A604" t="s">
        <v>106</v>
      </c>
      <c r="B604" t="s">
        <v>357</v>
      </c>
      <c r="C604" t="s">
        <v>134</v>
      </c>
      <c r="D604" t="s">
        <v>358</v>
      </c>
      <c r="E604" t="s">
        <v>154</v>
      </c>
      <c r="F604">
        <v>16000</v>
      </c>
      <c r="G604">
        <v>16000</v>
      </c>
    </row>
    <row r="605" spans="1:13" hidden="1" x14ac:dyDescent="0.3">
      <c r="A605" t="s">
        <v>106</v>
      </c>
      <c r="B605" t="s">
        <v>357</v>
      </c>
      <c r="C605" t="s">
        <v>140</v>
      </c>
      <c r="D605" t="s">
        <v>358</v>
      </c>
      <c r="E605" t="s">
        <v>154</v>
      </c>
      <c r="F605">
        <v>1970</v>
      </c>
      <c r="G605">
        <v>2000</v>
      </c>
    </row>
    <row r="606" spans="1:13" hidden="1" x14ac:dyDescent="0.3">
      <c r="A606" t="s">
        <v>106</v>
      </c>
      <c r="B606" t="s">
        <v>357</v>
      </c>
      <c r="C606" t="s">
        <v>180</v>
      </c>
      <c r="D606" t="s">
        <v>358</v>
      </c>
      <c r="E606" t="s">
        <v>154</v>
      </c>
      <c r="F606">
        <v>1040</v>
      </c>
      <c r="G606">
        <v>1000</v>
      </c>
    </row>
    <row r="607" spans="1:13" hidden="1" x14ac:dyDescent="0.3">
      <c r="A607" t="s">
        <v>106</v>
      </c>
      <c r="B607" t="s">
        <v>357</v>
      </c>
      <c r="C607" t="s">
        <v>142</v>
      </c>
      <c r="D607" t="s">
        <v>358</v>
      </c>
      <c r="E607" t="s">
        <v>154</v>
      </c>
      <c r="F607">
        <v>8100</v>
      </c>
      <c r="G607">
        <v>8100</v>
      </c>
    </row>
    <row r="608" spans="1:13" hidden="1" x14ac:dyDescent="0.3">
      <c r="A608" t="s">
        <v>106</v>
      </c>
      <c r="B608" t="s">
        <v>357</v>
      </c>
      <c r="C608" t="s">
        <v>213</v>
      </c>
      <c r="D608" t="s">
        <v>358</v>
      </c>
      <c r="E608" t="s">
        <v>154</v>
      </c>
      <c r="F608">
        <v>1310</v>
      </c>
      <c r="G608">
        <v>1300</v>
      </c>
    </row>
    <row r="609" spans="1:7" hidden="1" x14ac:dyDescent="0.3">
      <c r="A609" t="s">
        <v>106</v>
      </c>
      <c r="B609" t="s">
        <v>357</v>
      </c>
      <c r="C609" t="s">
        <v>359</v>
      </c>
      <c r="D609" t="s">
        <v>358</v>
      </c>
      <c r="E609" t="s">
        <v>154</v>
      </c>
      <c r="F609">
        <v>1920</v>
      </c>
      <c r="G609">
        <v>1900</v>
      </c>
    </row>
    <row r="610" spans="1:7" hidden="1" x14ac:dyDescent="0.3">
      <c r="A610" t="s">
        <v>106</v>
      </c>
      <c r="B610" t="s">
        <v>357</v>
      </c>
      <c r="C610" t="s">
        <v>143</v>
      </c>
      <c r="D610" t="s">
        <v>358</v>
      </c>
      <c r="E610" t="s">
        <v>154</v>
      </c>
      <c r="F610">
        <v>310000</v>
      </c>
      <c r="G610">
        <v>310000</v>
      </c>
    </row>
    <row r="611" spans="1:7" hidden="1" x14ac:dyDescent="0.3">
      <c r="A611" t="s">
        <v>106</v>
      </c>
      <c r="B611" t="s">
        <v>357</v>
      </c>
      <c r="C611" t="s">
        <v>144</v>
      </c>
      <c r="D611" t="s">
        <v>358</v>
      </c>
      <c r="E611" t="s">
        <v>154</v>
      </c>
      <c r="F611">
        <v>3500</v>
      </c>
      <c r="G611">
        <v>3500</v>
      </c>
    </row>
    <row r="612" spans="1:7" hidden="1" x14ac:dyDescent="0.3">
      <c r="A612" t="s">
        <v>106</v>
      </c>
      <c r="B612" t="s">
        <v>357</v>
      </c>
      <c r="C612" t="s">
        <v>145</v>
      </c>
      <c r="D612" t="s">
        <v>358</v>
      </c>
      <c r="E612" t="s">
        <v>154</v>
      </c>
      <c r="F612">
        <v>5700</v>
      </c>
      <c r="G612">
        <v>5700</v>
      </c>
    </row>
    <row r="613" spans="1:7" hidden="1" x14ac:dyDescent="0.3">
      <c r="A613" t="s">
        <v>106</v>
      </c>
      <c r="B613" t="s">
        <v>357</v>
      </c>
      <c r="C613" t="s">
        <v>146</v>
      </c>
      <c r="D613" t="s">
        <v>358</v>
      </c>
      <c r="E613" t="s">
        <v>154</v>
      </c>
      <c r="F613">
        <v>17000</v>
      </c>
      <c r="G613">
        <v>17000</v>
      </c>
    </row>
    <row r="614" spans="1:7" hidden="1" x14ac:dyDescent="0.3">
      <c r="A614" t="s">
        <v>106</v>
      </c>
      <c r="B614" t="s">
        <v>357</v>
      </c>
      <c r="C614" t="s">
        <v>170</v>
      </c>
      <c r="D614" t="s">
        <v>358</v>
      </c>
      <c r="E614" t="s">
        <v>154</v>
      </c>
      <c r="F614">
        <v>4000</v>
      </c>
      <c r="G614">
        <v>4000</v>
      </c>
    </row>
    <row r="615" spans="1:7" hidden="1" x14ac:dyDescent="0.3">
      <c r="A615" t="s">
        <v>106</v>
      </c>
      <c r="B615" t="s">
        <v>357</v>
      </c>
      <c r="C615" t="s">
        <v>285</v>
      </c>
      <c r="D615" t="s">
        <v>358</v>
      </c>
      <c r="E615" t="s">
        <v>154</v>
      </c>
      <c r="F615">
        <v>2400</v>
      </c>
      <c r="G615">
        <v>2400</v>
      </c>
    </row>
    <row r="616" spans="1:7" hidden="1" x14ac:dyDescent="0.3">
      <c r="A616" t="s">
        <v>106</v>
      </c>
      <c r="B616" t="s">
        <v>357</v>
      </c>
      <c r="C616" t="s">
        <v>360</v>
      </c>
      <c r="D616" t="s">
        <v>358</v>
      </c>
      <c r="E616" t="s">
        <v>154</v>
      </c>
      <c r="F616">
        <v>6010</v>
      </c>
      <c r="G616">
        <v>6000</v>
      </c>
    </row>
    <row r="617" spans="1:7" hidden="1" x14ac:dyDescent="0.3">
      <c r="A617" t="s">
        <v>106</v>
      </c>
      <c r="B617" t="s">
        <v>357</v>
      </c>
      <c r="C617" t="s">
        <v>214</v>
      </c>
      <c r="D617" t="s">
        <v>358</v>
      </c>
      <c r="E617" t="s">
        <v>154</v>
      </c>
      <c r="F617">
        <v>5100</v>
      </c>
      <c r="G617">
        <v>5100</v>
      </c>
    </row>
    <row r="618" spans="1:7" hidden="1" x14ac:dyDescent="0.3">
      <c r="A618" t="s">
        <v>106</v>
      </c>
      <c r="B618" t="s">
        <v>357</v>
      </c>
      <c r="C618" t="s">
        <v>159</v>
      </c>
      <c r="D618" t="s">
        <v>358</v>
      </c>
      <c r="E618" t="s">
        <v>154</v>
      </c>
      <c r="F618">
        <v>1500</v>
      </c>
      <c r="G618">
        <v>1500</v>
      </c>
    </row>
    <row r="619" spans="1:7" hidden="1" x14ac:dyDescent="0.3">
      <c r="A619" t="s">
        <v>106</v>
      </c>
      <c r="B619" t="s">
        <v>357</v>
      </c>
      <c r="C619" t="s">
        <v>361</v>
      </c>
      <c r="D619" t="s">
        <v>358</v>
      </c>
      <c r="E619" t="s">
        <v>154</v>
      </c>
      <c r="F619">
        <v>1280</v>
      </c>
      <c r="G619">
        <v>1300</v>
      </c>
    </row>
    <row r="620" spans="1:7" hidden="1" x14ac:dyDescent="0.3">
      <c r="A620" t="s">
        <v>106</v>
      </c>
      <c r="B620" t="s">
        <v>357</v>
      </c>
      <c r="C620" t="s">
        <v>362</v>
      </c>
      <c r="D620" t="s">
        <v>358</v>
      </c>
      <c r="E620" t="s">
        <v>154</v>
      </c>
      <c r="F620">
        <v>11400</v>
      </c>
      <c r="G620">
        <v>11000</v>
      </c>
    </row>
    <row r="621" spans="1:7" hidden="1" x14ac:dyDescent="0.3">
      <c r="A621" t="s">
        <v>106</v>
      </c>
      <c r="B621" t="s">
        <v>357</v>
      </c>
      <c r="C621" t="s">
        <v>252</v>
      </c>
      <c r="D621" t="s">
        <v>358</v>
      </c>
      <c r="E621" t="s">
        <v>154</v>
      </c>
      <c r="F621">
        <v>1100</v>
      </c>
      <c r="G621">
        <v>1100</v>
      </c>
    </row>
    <row r="622" spans="1:7" hidden="1" x14ac:dyDescent="0.3">
      <c r="A622" t="s">
        <v>106</v>
      </c>
      <c r="B622" t="s">
        <v>357</v>
      </c>
      <c r="C622" t="s">
        <v>202</v>
      </c>
      <c r="D622" t="s">
        <v>358</v>
      </c>
      <c r="E622" t="s">
        <v>154</v>
      </c>
      <c r="F622">
        <v>1700</v>
      </c>
      <c r="G622">
        <v>1700</v>
      </c>
    </row>
    <row r="623" spans="1:7" hidden="1" x14ac:dyDescent="0.3">
      <c r="A623" t="s">
        <v>106</v>
      </c>
      <c r="B623" t="s">
        <v>357</v>
      </c>
      <c r="C623" t="s">
        <v>176</v>
      </c>
      <c r="D623" t="s">
        <v>358</v>
      </c>
      <c r="E623" t="s">
        <v>154</v>
      </c>
      <c r="F623">
        <v>4060</v>
      </c>
      <c r="G623">
        <v>4100</v>
      </c>
    </row>
    <row r="624" spans="1:7" hidden="1" x14ac:dyDescent="0.3">
      <c r="A624" t="s">
        <v>106</v>
      </c>
      <c r="B624" t="s">
        <v>357</v>
      </c>
      <c r="C624" t="s">
        <v>235</v>
      </c>
      <c r="D624" t="s">
        <v>358</v>
      </c>
      <c r="E624" t="s">
        <v>154</v>
      </c>
      <c r="F624">
        <v>1000</v>
      </c>
      <c r="G624">
        <v>1000</v>
      </c>
    </row>
    <row r="625" spans="1:13" hidden="1" x14ac:dyDescent="0.3">
      <c r="A625" t="s">
        <v>106</v>
      </c>
      <c r="B625" t="s">
        <v>357</v>
      </c>
      <c r="C625" t="s">
        <v>363</v>
      </c>
      <c r="D625" t="s">
        <v>358</v>
      </c>
      <c r="E625" t="s">
        <v>154</v>
      </c>
      <c r="F625">
        <v>1400</v>
      </c>
      <c r="G625">
        <v>1400</v>
      </c>
    </row>
    <row r="626" spans="1:13" hidden="1" x14ac:dyDescent="0.3">
      <c r="A626" t="s">
        <v>106</v>
      </c>
      <c r="B626" t="s">
        <v>357</v>
      </c>
      <c r="C626" t="s">
        <v>151</v>
      </c>
      <c r="D626" t="s">
        <v>358</v>
      </c>
      <c r="E626" t="s">
        <v>154</v>
      </c>
      <c r="F626">
        <v>17000</v>
      </c>
      <c r="G626">
        <v>17000</v>
      </c>
    </row>
    <row r="627" spans="1:13" x14ac:dyDescent="0.3">
      <c r="A627" t="s">
        <v>106</v>
      </c>
      <c r="B627" t="s">
        <v>357</v>
      </c>
      <c r="C627" t="s">
        <v>152</v>
      </c>
      <c r="D627" t="s">
        <v>358</v>
      </c>
      <c r="E627" t="s">
        <v>154</v>
      </c>
      <c r="F627" s="3">
        <v>424000</v>
      </c>
      <c r="G627" s="3">
        <v>420000</v>
      </c>
    </row>
    <row r="628" spans="1:13" hidden="1" x14ac:dyDescent="0.3">
      <c r="A628" t="s">
        <v>106</v>
      </c>
      <c r="B628" t="s">
        <v>364</v>
      </c>
      <c r="C628" t="s">
        <v>134</v>
      </c>
      <c r="D628" t="s">
        <v>365</v>
      </c>
      <c r="E628" t="s">
        <v>136</v>
      </c>
      <c r="H628" t="s">
        <v>190</v>
      </c>
      <c r="L628">
        <v>1800000</v>
      </c>
    </row>
    <row r="629" spans="1:13" hidden="1" x14ac:dyDescent="0.3">
      <c r="A629" t="s">
        <v>106</v>
      </c>
      <c r="B629" t="s">
        <v>364</v>
      </c>
      <c r="C629" t="s">
        <v>218</v>
      </c>
      <c r="D629" t="s">
        <v>365</v>
      </c>
      <c r="E629" t="s">
        <v>136</v>
      </c>
      <c r="F629">
        <v>8630</v>
      </c>
      <c r="G629">
        <v>18000</v>
      </c>
      <c r="L629">
        <v>4000000</v>
      </c>
    </row>
    <row r="630" spans="1:13" hidden="1" x14ac:dyDescent="0.3">
      <c r="A630" t="s">
        <v>106</v>
      </c>
      <c r="B630" t="s">
        <v>364</v>
      </c>
      <c r="C630" t="s">
        <v>140</v>
      </c>
      <c r="D630" t="s">
        <v>365</v>
      </c>
      <c r="E630" t="s">
        <v>136</v>
      </c>
      <c r="F630">
        <v>91700</v>
      </c>
      <c r="G630">
        <v>88000</v>
      </c>
      <c r="L630">
        <v>7000000</v>
      </c>
      <c r="M630" t="s">
        <v>366</v>
      </c>
    </row>
    <row r="631" spans="1:13" hidden="1" x14ac:dyDescent="0.3">
      <c r="A631" t="s">
        <v>106</v>
      </c>
      <c r="B631" t="s">
        <v>364</v>
      </c>
      <c r="C631" t="s">
        <v>142</v>
      </c>
      <c r="D631" t="s">
        <v>365</v>
      </c>
      <c r="E631" t="s">
        <v>136</v>
      </c>
      <c r="F631">
        <v>5260</v>
      </c>
      <c r="G631">
        <v>10000</v>
      </c>
      <c r="H631" t="s">
        <v>157</v>
      </c>
      <c r="L631">
        <v>390000</v>
      </c>
    </row>
    <row r="632" spans="1:13" hidden="1" x14ac:dyDescent="0.3">
      <c r="A632" t="s">
        <v>106</v>
      </c>
      <c r="B632" t="s">
        <v>364</v>
      </c>
      <c r="C632" t="s">
        <v>156</v>
      </c>
      <c r="D632" t="s">
        <v>365</v>
      </c>
      <c r="E632" t="s">
        <v>136</v>
      </c>
      <c r="F632">
        <v>3240</v>
      </c>
      <c r="G632">
        <v>4300</v>
      </c>
      <c r="H632" t="s">
        <v>157</v>
      </c>
      <c r="L632">
        <v>1200000</v>
      </c>
    </row>
    <row r="633" spans="1:13" hidden="1" x14ac:dyDescent="0.3">
      <c r="A633" t="s">
        <v>106</v>
      </c>
      <c r="B633" t="s">
        <v>364</v>
      </c>
      <c r="C633" t="s">
        <v>221</v>
      </c>
      <c r="D633" t="s">
        <v>365</v>
      </c>
      <c r="E633" t="s">
        <v>136</v>
      </c>
      <c r="F633">
        <v>41400</v>
      </c>
      <c r="G633">
        <v>49000</v>
      </c>
      <c r="L633">
        <v>9300000</v>
      </c>
    </row>
    <row r="634" spans="1:13" hidden="1" x14ac:dyDescent="0.3">
      <c r="A634" t="s">
        <v>106</v>
      </c>
      <c r="B634" t="s">
        <v>364</v>
      </c>
      <c r="C634" t="s">
        <v>143</v>
      </c>
      <c r="D634" t="s">
        <v>365</v>
      </c>
      <c r="E634" t="s">
        <v>136</v>
      </c>
      <c r="F634">
        <v>35700</v>
      </c>
      <c r="G634">
        <v>41000</v>
      </c>
      <c r="H634" t="s">
        <v>157</v>
      </c>
      <c r="L634">
        <v>3000000</v>
      </c>
    </row>
    <row r="635" spans="1:13" hidden="1" x14ac:dyDescent="0.3">
      <c r="A635" t="s">
        <v>106</v>
      </c>
      <c r="B635" t="s">
        <v>364</v>
      </c>
      <c r="C635" t="s">
        <v>302</v>
      </c>
      <c r="D635" t="s">
        <v>365</v>
      </c>
      <c r="E635" t="s">
        <v>136</v>
      </c>
      <c r="F635">
        <v>2700</v>
      </c>
      <c r="G635">
        <v>2700</v>
      </c>
      <c r="H635" t="s">
        <v>157</v>
      </c>
      <c r="L635">
        <v>14000</v>
      </c>
    </row>
    <row r="636" spans="1:13" hidden="1" x14ac:dyDescent="0.3">
      <c r="A636" t="s">
        <v>106</v>
      </c>
      <c r="B636" t="s">
        <v>364</v>
      </c>
      <c r="C636" t="s">
        <v>367</v>
      </c>
      <c r="D636" t="s">
        <v>365</v>
      </c>
      <c r="E636" t="s">
        <v>136</v>
      </c>
      <c r="F636">
        <v>380</v>
      </c>
      <c r="G636">
        <v>380</v>
      </c>
      <c r="H636" t="s">
        <v>157</v>
      </c>
      <c r="L636">
        <v>60000</v>
      </c>
    </row>
    <row r="637" spans="1:13" hidden="1" x14ac:dyDescent="0.3">
      <c r="A637" t="s">
        <v>106</v>
      </c>
      <c r="B637" t="s">
        <v>364</v>
      </c>
      <c r="C637" t="s">
        <v>253</v>
      </c>
      <c r="D637" t="s">
        <v>365</v>
      </c>
      <c r="E637" t="s">
        <v>136</v>
      </c>
      <c r="F637">
        <v>14900</v>
      </c>
      <c r="G637">
        <v>22000</v>
      </c>
      <c r="H637" t="s">
        <v>157</v>
      </c>
      <c r="L637">
        <v>480000</v>
      </c>
    </row>
    <row r="638" spans="1:13" hidden="1" x14ac:dyDescent="0.3">
      <c r="A638" t="s">
        <v>106</v>
      </c>
      <c r="B638" t="s">
        <v>364</v>
      </c>
      <c r="C638" t="s">
        <v>151</v>
      </c>
      <c r="D638" t="s">
        <v>365</v>
      </c>
      <c r="E638" t="s">
        <v>136</v>
      </c>
      <c r="L638">
        <v>2800000</v>
      </c>
      <c r="M638" t="s">
        <v>368</v>
      </c>
    </row>
    <row r="639" spans="1:13" x14ac:dyDescent="0.3">
      <c r="A639" t="s">
        <v>106</v>
      </c>
      <c r="B639" t="s">
        <v>364</v>
      </c>
      <c r="C639" t="s">
        <v>152</v>
      </c>
      <c r="D639" t="s">
        <v>365</v>
      </c>
      <c r="E639" t="s">
        <v>136</v>
      </c>
      <c r="F639" s="3">
        <v>204000</v>
      </c>
      <c r="G639" s="3">
        <v>240000</v>
      </c>
      <c r="H639" t="s">
        <v>205</v>
      </c>
      <c r="L639">
        <v>30000000</v>
      </c>
    </row>
    <row r="640" spans="1:13" hidden="1" x14ac:dyDescent="0.3">
      <c r="A640" t="s">
        <v>106</v>
      </c>
      <c r="B640" t="s">
        <v>369</v>
      </c>
      <c r="C640" t="s">
        <v>134</v>
      </c>
      <c r="D640" t="s">
        <v>370</v>
      </c>
      <c r="E640" t="s">
        <v>154</v>
      </c>
      <c r="H640" t="s">
        <v>190</v>
      </c>
      <c r="L640">
        <v>35000</v>
      </c>
    </row>
    <row r="641" spans="1:13" hidden="1" x14ac:dyDescent="0.3">
      <c r="A641" t="s">
        <v>106</v>
      </c>
      <c r="B641" t="s">
        <v>369</v>
      </c>
      <c r="C641" t="s">
        <v>140</v>
      </c>
      <c r="D641" t="s">
        <v>370</v>
      </c>
      <c r="E641" t="s">
        <v>154</v>
      </c>
      <c r="F641">
        <v>500</v>
      </c>
      <c r="G641">
        <v>490</v>
      </c>
      <c r="L641">
        <v>280000</v>
      </c>
    </row>
    <row r="642" spans="1:13" hidden="1" x14ac:dyDescent="0.3">
      <c r="A642" t="s">
        <v>106</v>
      </c>
      <c r="B642" t="s">
        <v>369</v>
      </c>
      <c r="C642" t="s">
        <v>141</v>
      </c>
      <c r="D642" t="s">
        <v>370</v>
      </c>
      <c r="E642" t="s">
        <v>154</v>
      </c>
      <c r="F642">
        <v>771</v>
      </c>
      <c r="G642">
        <v>760</v>
      </c>
      <c r="L642">
        <v>49000</v>
      </c>
    </row>
    <row r="643" spans="1:13" hidden="1" x14ac:dyDescent="0.3">
      <c r="A643" t="s">
        <v>106</v>
      </c>
      <c r="B643" t="s">
        <v>369</v>
      </c>
      <c r="C643" t="s">
        <v>142</v>
      </c>
      <c r="D643" t="s">
        <v>370</v>
      </c>
      <c r="E643" t="s">
        <v>154</v>
      </c>
      <c r="F643">
        <v>1800</v>
      </c>
      <c r="G643">
        <v>1800</v>
      </c>
      <c r="L643">
        <v>200000</v>
      </c>
    </row>
    <row r="644" spans="1:13" hidden="1" x14ac:dyDescent="0.3">
      <c r="A644" t="s">
        <v>106</v>
      </c>
      <c r="B644" t="s">
        <v>369</v>
      </c>
      <c r="C644" t="s">
        <v>156</v>
      </c>
      <c r="D644" t="s">
        <v>370</v>
      </c>
      <c r="E644" t="s">
        <v>154</v>
      </c>
      <c r="F644">
        <v>150</v>
      </c>
      <c r="G644">
        <v>150</v>
      </c>
      <c r="M644" t="s">
        <v>169</v>
      </c>
    </row>
    <row r="645" spans="1:13" hidden="1" x14ac:dyDescent="0.3">
      <c r="A645" t="s">
        <v>106</v>
      </c>
      <c r="B645" t="s">
        <v>369</v>
      </c>
      <c r="C645" t="s">
        <v>143</v>
      </c>
      <c r="D645" t="s">
        <v>370</v>
      </c>
      <c r="E645" t="s">
        <v>154</v>
      </c>
      <c r="F645">
        <v>13000</v>
      </c>
      <c r="G645">
        <v>13000</v>
      </c>
      <c r="L645">
        <v>680000</v>
      </c>
    </row>
    <row r="646" spans="1:13" hidden="1" x14ac:dyDescent="0.3">
      <c r="A646" t="s">
        <v>106</v>
      </c>
      <c r="B646" t="s">
        <v>369</v>
      </c>
      <c r="C646" t="s">
        <v>196</v>
      </c>
      <c r="D646" t="s">
        <v>370</v>
      </c>
      <c r="E646" t="s">
        <v>154</v>
      </c>
      <c r="F646">
        <v>393</v>
      </c>
      <c r="G646">
        <v>390</v>
      </c>
      <c r="L646">
        <v>280000</v>
      </c>
    </row>
    <row r="647" spans="1:13" hidden="1" x14ac:dyDescent="0.3">
      <c r="A647" t="s">
        <v>106</v>
      </c>
      <c r="B647" t="s">
        <v>369</v>
      </c>
      <c r="C647" t="s">
        <v>146</v>
      </c>
      <c r="D647" t="s">
        <v>370</v>
      </c>
      <c r="E647" t="s">
        <v>154</v>
      </c>
      <c r="F647">
        <v>123</v>
      </c>
      <c r="G647">
        <v>160</v>
      </c>
      <c r="H647" t="s">
        <v>215</v>
      </c>
      <c r="L647">
        <v>66000</v>
      </c>
    </row>
    <row r="648" spans="1:13" hidden="1" x14ac:dyDescent="0.3">
      <c r="A648" t="s">
        <v>106</v>
      </c>
      <c r="B648" t="s">
        <v>369</v>
      </c>
      <c r="C648" t="s">
        <v>170</v>
      </c>
      <c r="D648" t="s">
        <v>370</v>
      </c>
      <c r="E648" t="s">
        <v>154</v>
      </c>
      <c r="F648">
        <v>216</v>
      </c>
      <c r="G648">
        <v>210</v>
      </c>
      <c r="L648">
        <v>10000</v>
      </c>
    </row>
    <row r="649" spans="1:13" hidden="1" x14ac:dyDescent="0.3">
      <c r="A649" t="s">
        <v>106</v>
      </c>
      <c r="B649" t="s">
        <v>369</v>
      </c>
      <c r="C649" t="s">
        <v>160</v>
      </c>
      <c r="D649" t="s">
        <v>370</v>
      </c>
      <c r="E649" t="s">
        <v>154</v>
      </c>
      <c r="F649">
        <v>2500</v>
      </c>
      <c r="G649">
        <v>2500</v>
      </c>
      <c r="L649">
        <v>2300000</v>
      </c>
    </row>
    <row r="650" spans="1:13" hidden="1" x14ac:dyDescent="0.3">
      <c r="A650" t="s">
        <v>106</v>
      </c>
      <c r="B650" t="s">
        <v>369</v>
      </c>
      <c r="C650" t="s">
        <v>371</v>
      </c>
      <c r="D650" t="s">
        <v>370</v>
      </c>
      <c r="E650" t="s">
        <v>154</v>
      </c>
      <c r="F650">
        <v>391</v>
      </c>
      <c r="G650">
        <v>380</v>
      </c>
      <c r="H650" t="s">
        <v>215</v>
      </c>
      <c r="L650">
        <v>1200000</v>
      </c>
    </row>
    <row r="651" spans="1:13" hidden="1" x14ac:dyDescent="0.3">
      <c r="A651" t="s">
        <v>106</v>
      </c>
      <c r="B651" t="s">
        <v>369</v>
      </c>
      <c r="C651" t="s">
        <v>202</v>
      </c>
      <c r="D651" t="s">
        <v>370</v>
      </c>
      <c r="E651" t="s">
        <v>154</v>
      </c>
      <c r="F651">
        <v>680</v>
      </c>
      <c r="G651">
        <v>670</v>
      </c>
      <c r="L651">
        <v>35000</v>
      </c>
    </row>
    <row r="652" spans="1:13" hidden="1" x14ac:dyDescent="0.3">
      <c r="A652" t="s">
        <v>106</v>
      </c>
      <c r="B652" t="s">
        <v>369</v>
      </c>
      <c r="C652" t="s">
        <v>176</v>
      </c>
      <c r="D652" t="s">
        <v>370</v>
      </c>
      <c r="E652" t="s">
        <v>154</v>
      </c>
      <c r="F652">
        <v>1330</v>
      </c>
      <c r="G652">
        <v>1300</v>
      </c>
      <c r="H652" t="s">
        <v>215</v>
      </c>
      <c r="L652">
        <v>110000</v>
      </c>
    </row>
    <row r="653" spans="1:13" hidden="1" x14ac:dyDescent="0.3">
      <c r="A653" t="s">
        <v>106</v>
      </c>
      <c r="B653" t="s">
        <v>369</v>
      </c>
      <c r="C653" t="s">
        <v>151</v>
      </c>
      <c r="D653" t="s">
        <v>370</v>
      </c>
      <c r="E653" t="s">
        <v>154</v>
      </c>
      <c r="F653">
        <v>373</v>
      </c>
      <c r="G653">
        <v>370</v>
      </c>
      <c r="L653">
        <v>2500000</v>
      </c>
    </row>
    <row r="654" spans="1:13" x14ac:dyDescent="0.3">
      <c r="A654" t="s">
        <v>106</v>
      </c>
      <c r="B654" t="s">
        <v>369</v>
      </c>
      <c r="C654" t="s">
        <v>152</v>
      </c>
      <c r="D654" t="s">
        <v>370</v>
      </c>
      <c r="E654" t="s">
        <v>154</v>
      </c>
      <c r="F654" s="3">
        <v>22200</v>
      </c>
      <c r="G654" s="3">
        <v>22000</v>
      </c>
      <c r="H654" t="s">
        <v>205</v>
      </c>
      <c r="L654">
        <v>7700000</v>
      </c>
    </row>
    <row r="655" spans="1:13" hidden="1" x14ac:dyDescent="0.3">
      <c r="A655" t="s">
        <v>106</v>
      </c>
      <c r="B655" t="s">
        <v>372</v>
      </c>
      <c r="C655" t="s">
        <v>134</v>
      </c>
      <c r="D655" t="s">
        <v>373</v>
      </c>
      <c r="E655" t="s">
        <v>154</v>
      </c>
      <c r="J655">
        <v>64</v>
      </c>
      <c r="K655" t="s">
        <v>215</v>
      </c>
      <c r="L655">
        <v>64</v>
      </c>
      <c r="M655" t="s">
        <v>374</v>
      </c>
    </row>
    <row r="656" spans="1:13" hidden="1" x14ac:dyDescent="0.3">
      <c r="A656" t="s">
        <v>106</v>
      </c>
      <c r="B656" t="s">
        <v>372</v>
      </c>
      <c r="C656" t="s">
        <v>142</v>
      </c>
      <c r="D656" t="s">
        <v>373</v>
      </c>
      <c r="E656" t="s">
        <v>154</v>
      </c>
      <c r="F656">
        <v>20</v>
      </c>
      <c r="G656">
        <v>20</v>
      </c>
      <c r="J656">
        <v>22</v>
      </c>
      <c r="L656">
        <v>22</v>
      </c>
    </row>
    <row r="657" spans="1:13" hidden="1" x14ac:dyDescent="0.3">
      <c r="A657" t="s">
        <v>106</v>
      </c>
      <c r="B657" t="s">
        <v>372</v>
      </c>
      <c r="C657" t="s">
        <v>143</v>
      </c>
      <c r="D657" t="s">
        <v>373</v>
      </c>
      <c r="E657" t="s">
        <v>154</v>
      </c>
      <c r="F657">
        <v>805</v>
      </c>
      <c r="G657">
        <v>950</v>
      </c>
      <c r="H657" t="s">
        <v>215</v>
      </c>
      <c r="J657">
        <v>1800</v>
      </c>
      <c r="L657">
        <v>1800</v>
      </c>
    </row>
    <row r="658" spans="1:13" hidden="1" x14ac:dyDescent="0.3">
      <c r="A658" t="s">
        <v>106</v>
      </c>
      <c r="B658" t="s">
        <v>372</v>
      </c>
      <c r="C658" t="s">
        <v>170</v>
      </c>
      <c r="D658" t="s">
        <v>373</v>
      </c>
      <c r="E658" t="s">
        <v>154</v>
      </c>
      <c r="F658">
        <v>5</v>
      </c>
      <c r="G658">
        <v>5</v>
      </c>
      <c r="J658">
        <v>6</v>
      </c>
      <c r="L658">
        <v>6</v>
      </c>
    </row>
    <row r="659" spans="1:13" hidden="1" x14ac:dyDescent="0.3">
      <c r="A659" t="s">
        <v>106</v>
      </c>
      <c r="B659" t="s">
        <v>372</v>
      </c>
      <c r="C659" t="s">
        <v>233</v>
      </c>
      <c r="D659" t="s">
        <v>373</v>
      </c>
      <c r="E659" t="s">
        <v>154</v>
      </c>
      <c r="F659">
        <v>17</v>
      </c>
      <c r="G659">
        <v>20</v>
      </c>
      <c r="H659" t="s">
        <v>215</v>
      </c>
      <c r="J659">
        <v>34</v>
      </c>
      <c r="K659" t="s">
        <v>215</v>
      </c>
      <c r="L659">
        <v>34</v>
      </c>
    </row>
    <row r="660" spans="1:13" hidden="1" x14ac:dyDescent="0.3">
      <c r="A660" t="s">
        <v>106</v>
      </c>
      <c r="B660" t="s">
        <v>372</v>
      </c>
      <c r="C660" t="s">
        <v>171</v>
      </c>
      <c r="D660" t="s">
        <v>373</v>
      </c>
      <c r="E660" t="s">
        <v>154</v>
      </c>
      <c r="F660">
        <v>22</v>
      </c>
      <c r="G660">
        <v>20</v>
      </c>
      <c r="J660">
        <v>30</v>
      </c>
      <c r="L660">
        <v>30</v>
      </c>
    </row>
    <row r="661" spans="1:13" hidden="1" x14ac:dyDescent="0.3">
      <c r="A661" t="s">
        <v>106</v>
      </c>
      <c r="B661" t="s">
        <v>372</v>
      </c>
      <c r="C661" t="s">
        <v>160</v>
      </c>
      <c r="D661" t="s">
        <v>373</v>
      </c>
      <c r="E661" t="s">
        <v>154</v>
      </c>
      <c r="F661">
        <v>18</v>
      </c>
      <c r="G661">
        <v>15</v>
      </c>
      <c r="J661">
        <v>81</v>
      </c>
      <c r="L661">
        <v>81</v>
      </c>
    </row>
    <row r="662" spans="1:13" hidden="1" x14ac:dyDescent="0.3">
      <c r="A662" t="s">
        <v>106</v>
      </c>
      <c r="B662" t="s">
        <v>372</v>
      </c>
      <c r="C662" t="s">
        <v>176</v>
      </c>
      <c r="D662" t="s">
        <v>373</v>
      </c>
      <c r="E662" t="s">
        <v>154</v>
      </c>
      <c r="F662">
        <v>13</v>
      </c>
      <c r="G662">
        <v>15</v>
      </c>
      <c r="J662">
        <v>15</v>
      </c>
      <c r="K662" t="s">
        <v>215</v>
      </c>
      <c r="L662">
        <v>15</v>
      </c>
    </row>
    <row r="663" spans="1:13" hidden="1" x14ac:dyDescent="0.3">
      <c r="A663" t="s">
        <v>106</v>
      </c>
      <c r="B663" t="s">
        <v>372</v>
      </c>
      <c r="C663" t="s">
        <v>151</v>
      </c>
      <c r="D663" t="s">
        <v>373</v>
      </c>
      <c r="E663" t="s">
        <v>154</v>
      </c>
      <c r="J663">
        <v>52</v>
      </c>
      <c r="L663">
        <v>52</v>
      </c>
    </row>
    <row r="664" spans="1:13" x14ac:dyDescent="0.3">
      <c r="A664" t="s">
        <v>106</v>
      </c>
      <c r="B664" t="s">
        <v>372</v>
      </c>
      <c r="C664" t="s">
        <v>152</v>
      </c>
      <c r="D664" t="s">
        <v>373</v>
      </c>
      <c r="E664" t="s">
        <v>154</v>
      </c>
      <c r="F664" s="3">
        <v>900</v>
      </c>
      <c r="G664" s="3">
        <v>1000</v>
      </c>
      <c r="J664">
        <v>2100</v>
      </c>
      <c r="L664">
        <v>2104</v>
      </c>
    </row>
    <row r="665" spans="1:13" hidden="1" x14ac:dyDescent="0.3">
      <c r="A665" t="s">
        <v>106</v>
      </c>
      <c r="B665" t="s">
        <v>17</v>
      </c>
      <c r="C665" t="s">
        <v>134</v>
      </c>
      <c r="D665" t="s">
        <v>375</v>
      </c>
      <c r="E665" t="s">
        <v>154</v>
      </c>
      <c r="M665" t="s">
        <v>376</v>
      </c>
    </row>
    <row r="666" spans="1:13" hidden="1" x14ac:dyDescent="0.3">
      <c r="A666" t="s">
        <v>106</v>
      </c>
      <c r="B666" t="s">
        <v>17</v>
      </c>
      <c r="C666" t="s">
        <v>140</v>
      </c>
      <c r="D666" t="s">
        <v>375</v>
      </c>
      <c r="E666" t="s">
        <v>154</v>
      </c>
      <c r="F666">
        <v>2860</v>
      </c>
      <c r="G666">
        <v>2800</v>
      </c>
      <c r="L666">
        <v>500000</v>
      </c>
      <c r="M666" t="s">
        <v>377</v>
      </c>
    </row>
    <row r="667" spans="1:13" hidden="1" x14ac:dyDescent="0.3">
      <c r="A667" t="s">
        <v>106</v>
      </c>
      <c r="B667" t="s">
        <v>17</v>
      </c>
      <c r="C667" t="s">
        <v>142</v>
      </c>
      <c r="D667" t="s">
        <v>375</v>
      </c>
      <c r="E667" t="s">
        <v>154</v>
      </c>
      <c r="F667">
        <v>580</v>
      </c>
      <c r="G667">
        <v>590</v>
      </c>
      <c r="H667" t="s">
        <v>157</v>
      </c>
      <c r="L667">
        <v>270000</v>
      </c>
      <c r="M667" t="s">
        <v>139</v>
      </c>
    </row>
    <row r="668" spans="1:13" hidden="1" x14ac:dyDescent="0.3">
      <c r="A668" t="s">
        <v>106</v>
      </c>
      <c r="B668" t="s">
        <v>17</v>
      </c>
      <c r="C668" t="s">
        <v>143</v>
      </c>
      <c r="D668" t="s">
        <v>375</v>
      </c>
      <c r="E668" t="s">
        <v>154</v>
      </c>
      <c r="F668">
        <v>767</v>
      </c>
      <c r="G668">
        <v>770</v>
      </c>
      <c r="L668">
        <v>280000</v>
      </c>
    </row>
    <row r="669" spans="1:13" hidden="1" x14ac:dyDescent="0.3">
      <c r="A669" t="s">
        <v>106</v>
      </c>
      <c r="B669" t="s">
        <v>17</v>
      </c>
      <c r="C669" t="s">
        <v>378</v>
      </c>
      <c r="D669" t="s">
        <v>375</v>
      </c>
      <c r="E669" t="s">
        <v>154</v>
      </c>
      <c r="F669">
        <v>357</v>
      </c>
      <c r="G669">
        <v>360</v>
      </c>
      <c r="M669" t="s">
        <v>169</v>
      </c>
    </row>
    <row r="670" spans="1:13" hidden="1" x14ac:dyDescent="0.3">
      <c r="A670" t="s">
        <v>106</v>
      </c>
      <c r="B670" t="s">
        <v>17</v>
      </c>
      <c r="C670" t="s">
        <v>379</v>
      </c>
      <c r="D670" t="s">
        <v>375</v>
      </c>
      <c r="E670" t="s">
        <v>154</v>
      </c>
      <c r="F670">
        <v>4490</v>
      </c>
      <c r="G670">
        <v>4600</v>
      </c>
      <c r="H670" t="s">
        <v>157</v>
      </c>
      <c r="L670">
        <v>61000</v>
      </c>
    </row>
    <row r="671" spans="1:13" hidden="1" x14ac:dyDescent="0.3">
      <c r="A671" t="s">
        <v>106</v>
      </c>
      <c r="B671" t="s">
        <v>17</v>
      </c>
      <c r="C671" t="s">
        <v>300</v>
      </c>
      <c r="D671" t="s">
        <v>375</v>
      </c>
      <c r="E671" t="s">
        <v>154</v>
      </c>
      <c r="F671">
        <v>818</v>
      </c>
      <c r="G671">
        <v>820</v>
      </c>
      <c r="L671">
        <v>13000</v>
      </c>
    </row>
    <row r="672" spans="1:13" hidden="1" x14ac:dyDescent="0.3">
      <c r="A672" t="s">
        <v>106</v>
      </c>
      <c r="B672" t="s">
        <v>17</v>
      </c>
      <c r="C672" t="s">
        <v>146</v>
      </c>
      <c r="D672" t="s">
        <v>375</v>
      </c>
      <c r="E672" t="s">
        <v>154</v>
      </c>
      <c r="F672">
        <v>744</v>
      </c>
      <c r="G672">
        <v>800</v>
      </c>
      <c r="L672">
        <v>34000</v>
      </c>
    </row>
    <row r="673" spans="1:13" hidden="1" x14ac:dyDescent="0.3">
      <c r="A673" t="s">
        <v>106</v>
      </c>
      <c r="B673" t="s">
        <v>17</v>
      </c>
      <c r="C673" t="s">
        <v>159</v>
      </c>
      <c r="D673" t="s">
        <v>375</v>
      </c>
      <c r="E673" t="s">
        <v>154</v>
      </c>
      <c r="F673">
        <v>410</v>
      </c>
      <c r="G673">
        <v>410</v>
      </c>
      <c r="M673" t="s">
        <v>169</v>
      </c>
    </row>
    <row r="674" spans="1:13" hidden="1" x14ac:dyDescent="0.3">
      <c r="A674" t="s">
        <v>106</v>
      </c>
      <c r="B674" t="s">
        <v>17</v>
      </c>
      <c r="C674" t="s">
        <v>252</v>
      </c>
      <c r="D674" t="s">
        <v>375</v>
      </c>
      <c r="E674" t="s">
        <v>154</v>
      </c>
      <c r="F674">
        <v>7300</v>
      </c>
      <c r="G674">
        <v>7400</v>
      </c>
      <c r="L674">
        <v>560000</v>
      </c>
    </row>
    <row r="675" spans="1:13" hidden="1" x14ac:dyDescent="0.3">
      <c r="A675" t="s">
        <v>106</v>
      </c>
      <c r="B675" t="s">
        <v>17</v>
      </c>
      <c r="C675" t="s">
        <v>151</v>
      </c>
      <c r="D675" t="s">
        <v>375</v>
      </c>
      <c r="E675" t="s">
        <v>154</v>
      </c>
      <c r="F675">
        <v>1230</v>
      </c>
      <c r="G675">
        <v>1300</v>
      </c>
      <c r="M675" t="s">
        <v>185</v>
      </c>
    </row>
    <row r="676" spans="1:13" x14ac:dyDescent="0.3">
      <c r="A676" t="s">
        <v>106</v>
      </c>
      <c r="B676" t="s">
        <v>17</v>
      </c>
      <c r="C676" t="s">
        <v>152</v>
      </c>
      <c r="D676" t="s">
        <v>375</v>
      </c>
      <c r="E676" t="s">
        <v>154</v>
      </c>
      <c r="F676" s="3">
        <v>19600</v>
      </c>
      <c r="G676" s="3">
        <v>20000</v>
      </c>
      <c r="L676">
        <v>1700000</v>
      </c>
      <c r="M676" t="s">
        <v>139</v>
      </c>
    </row>
    <row r="677" spans="1:13" hidden="1" x14ac:dyDescent="0.3">
      <c r="A677" t="s">
        <v>106</v>
      </c>
      <c r="B677" t="s">
        <v>380</v>
      </c>
      <c r="C677" t="s">
        <v>134</v>
      </c>
      <c r="D677" t="s">
        <v>381</v>
      </c>
      <c r="E677" t="s">
        <v>136</v>
      </c>
      <c r="H677" t="s">
        <v>382</v>
      </c>
    </row>
    <row r="678" spans="1:13" hidden="1" x14ac:dyDescent="0.3">
      <c r="A678" t="s">
        <v>106</v>
      </c>
      <c r="B678" t="s">
        <v>380</v>
      </c>
      <c r="C678" t="s">
        <v>143</v>
      </c>
      <c r="D678" t="s">
        <v>381</v>
      </c>
      <c r="E678" t="s">
        <v>136</v>
      </c>
      <c r="F678">
        <v>1000</v>
      </c>
      <c r="G678">
        <v>1000</v>
      </c>
    </row>
    <row r="679" spans="1:13" hidden="1" x14ac:dyDescent="0.3">
      <c r="A679" t="s">
        <v>106</v>
      </c>
      <c r="B679" t="s">
        <v>380</v>
      </c>
      <c r="C679" t="s">
        <v>172</v>
      </c>
      <c r="D679" t="s">
        <v>381</v>
      </c>
      <c r="E679" t="s">
        <v>136</v>
      </c>
      <c r="F679">
        <v>6</v>
      </c>
      <c r="G679">
        <v>6</v>
      </c>
    </row>
    <row r="680" spans="1:13" hidden="1" x14ac:dyDescent="0.3">
      <c r="A680" t="s">
        <v>106</v>
      </c>
      <c r="B680" t="s">
        <v>380</v>
      </c>
      <c r="C680" t="s">
        <v>181</v>
      </c>
      <c r="D680" t="s">
        <v>381</v>
      </c>
      <c r="E680" t="s">
        <v>136</v>
      </c>
      <c r="F680">
        <v>2</v>
      </c>
      <c r="G680">
        <v>2</v>
      </c>
    </row>
    <row r="681" spans="1:13" hidden="1" x14ac:dyDescent="0.3">
      <c r="A681" t="s">
        <v>106</v>
      </c>
      <c r="B681" t="s">
        <v>380</v>
      </c>
      <c r="C681" t="s">
        <v>149</v>
      </c>
      <c r="D681" t="s">
        <v>381</v>
      </c>
      <c r="E681" t="s">
        <v>136</v>
      </c>
      <c r="F681">
        <v>20</v>
      </c>
      <c r="G681">
        <v>20</v>
      </c>
    </row>
    <row r="682" spans="1:13" hidden="1" x14ac:dyDescent="0.3">
      <c r="A682" t="s">
        <v>106</v>
      </c>
      <c r="B682" t="s">
        <v>380</v>
      </c>
      <c r="C682" t="s">
        <v>383</v>
      </c>
      <c r="D682" t="s">
        <v>381</v>
      </c>
      <c r="E682" t="s">
        <v>136</v>
      </c>
      <c r="G682">
        <v>30</v>
      </c>
      <c r="H682" t="s">
        <v>384</v>
      </c>
    </row>
    <row r="683" spans="1:13" hidden="1" x14ac:dyDescent="0.3">
      <c r="A683" t="s">
        <v>106</v>
      </c>
      <c r="B683" t="s">
        <v>380</v>
      </c>
      <c r="C683" t="s">
        <v>175</v>
      </c>
      <c r="D683" t="s">
        <v>381</v>
      </c>
      <c r="E683" t="s">
        <v>136</v>
      </c>
      <c r="F683">
        <v>100</v>
      </c>
      <c r="G683">
        <v>100</v>
      </c>
    </row>
    <row r="684" spans="1:13" x14ac:dyDescent="0.3">
      <c r="A684" t="s">
        <v>106</v>
      </c>
      <c r="B684" t="s">
        <v>380</v>
      </c>
      <c r="C684" t="s">
        <v>152</v>
      </c>
      <c r="D684" t="s">
        <v>381</v>
      </c>
      <c r="E684" t="s">
        <v>136</v>
      </c>
      <c r="F684" s="3">
        <v>1130</v>
      </c>
      <c r="G684" s="3">
        <v>1200</v>
      </c>
      <c r="M684" t="s">
        <v>139</v>
      </c>
    </row>
    <row r="685" spans="1:13" hidden="1" x14ac:dyDescent="0.3">
      <c r="A685" t="s">
        <v>106</v>
      </c>
      <c r="B685" t="s">
        <v>385</v>
      </c>
      <c r="C685" t="s">
        <v>134</v>
      </c>
      <c r="D685" t="s">
        <v>386</v>
      </c>
      <c r="E685" t="s">
        <v>136</v>
      </c>
      <c r="F685">
        <v>42000</v>
      </c>
      <c r="G685">
        <v>38000</v>
      </c>
      <c r="M685" t="s">
        <v>187</v>
      </c>
    </row>
    <row r="686" spans="1:13" hidden="1" x14ac:dyDescent="0.3">
      <c r="A686" t="s">
        <v>106</v>
      </c>
      <c r="B686" t="s">
        <v>385</v>
      </c>
      <c r="C686" t="s">
        <v>156</v>
      </c>
      <c r="D686" t="s">
        <v>386</v>
      </c>
      <c r="E686" t="s">
        <v>136</v>
      </c>
      <c r="F686">
        <v>15000</v>
      </c>
      <c r="G686">
        <v>15000</v>
      </c>
      <c r="M686" t="s">
        <v>187</v>
      </c>
    </row>
    <row r="687" spans="1:13" hidden="1" x14ac:dyDescent="0.3">
      <c r="A687" t="s">
        <v>106</v>
      </c>
      <c r="B687" t="s">
        <v>385</v>
      </c>
      <c r="C687" t="s">
        <v>143</v>
      </c>
      <c r="D687" t="s">
        <v>386</v>
      </c>
      <c r="E687" t="s">
        <v>136</v>
      </c>
      <c r="F687">
        <v>80000</v>
      </c>
      <c r="G687">
        <v>85000</v>
      </c>
      <c r="L687">
        <v>1100000</v>
      </c>
    </row>
    <row r="688" spans="1:13" hidden="1" x14ac:dyDescent="0.3">
      <c r="A688" t="s">
        <v>106</v>
      </c>
      <c r="B688" t="s">
        <v>385</v>
      </c>
      <c r="C688" t="s">
        <v>251</v>
      </c>
      <c r="D688" t="s">
        <v>386</v>
      </c>
      <c r="E688" t="s">
        <v>136</v>
      </c>
      <c r="F688">
        <v>58200</v>
      </c>
      <c r="G688">
        <v>60000</v>
      </c>
      <c r="H688" t="s">
        <v>215</v>
      </c>
      <c r="M688" t="s">
        <v>187</v>
      </c>
    </row>
    <row r="689" spans="1:13" hidden="1" x14ac:dyDescent="0.3">
      <c r="A689" t="s">
        <v>106</v>
      </c>
      <c r="B689" t="s">
        <v>385</v>
      </c>
      <c r="C689" t="s">
        <v>144</v>
      </c>
      <c r="D689" t="s">
        <v>386</v>
      </c>
      <c r="E689" t="s">
        <v>136</v>
      </c>
      <c r="F689">
        <v>15000</v>
      </c>
      <c r="G689">
        <v>10000</v>
      </c>
      <c r="M689" t="s">
        <v>187</v>
      </c>
    </row>
    <row r="690" spans="1:13" hidden="1" x14ac:dyDescent="0.3">
      <c r="A690" t="s">
        <v>106</v>
      </c>
      <c r="B690" t="s">
        <v>385</v>
      </c>
      <c r="C690" t="s">
        <v>146</v>
      </c>
      <c r="D690" t="s">
        <v>386</v>
      </c>
      <c r="E690" t="s">
        <v>136</v>
      </c>
      <c r="F690">
        <v>14000</v>
      </c>
      <c r="G690">
        <v>14000</v>
      </c>
      <c r="M690" t="s">
        <v>187</v>
      </c>
    </row>
    <row r="691" spans="1:13" hidden="1" x14ac:dyDescent="0.3">
      <c r="A691" t="s">
        <v>106</v>
      </c>
      <c r="B691" t="s">
        <v>385</v>
      </c>
      <c r="C691" t="s">
        <v>214</v>
      </c>
      <c r="D691" t="s">
        <v>386</v>
      </c>
      <c r="E691" t="s">
        <v>136</v>
      </c>
      <c r="F691">
        <v>10200</v>
      </c>
      <c r="G691">
        <v>12000</v>
      </c>
      <c r="H691" t="s">
        <v>215</v>
      </c>
      <c r="L691">
        <v>11000000</v>
      </c>
    </row>
    <row r="692" spans="1:13" hidden="1" x14ac:dyDescent="0.3">
      <c r="A692" t="s">
        <v>106</v>
      </c>
      <c r="B692" t="s">
        <v>385</v>
      </c>
      <c r="C692" t="s">
        <v>208</v>
      </c>
      <c r="D692" t="s">
        <v>386</v>
      </c>
      <c r="E692" t="s">
        <v>136</v>
      </c>
      <c r="F692">
        <v>35000</v>
      </c>
      <c r="G692">
        <v>50000</v>
      </c>
      <c r="M692" t="s">
        <v>187</v>
      </c>
    </row>
    <row r="693" spans="1:13" hidden="1" x14ac:dyDescent="0.3">
      <c r="A693" t="s">
        <v>106</v>
      </c>
      <c r="B693" t="s">
        <v>385</v>
      </c>
      <c r="C693" t="s">
        <v>176</v>
      </c>
      <c r="D693" t="s">
        <v>386</v>
      </c>
      <c r="E693" t="s">
        <v>136</v>
      </c>
      <c r="F693">
        <v>6070</v>
      </c>
      <c r="G693">
        <v>4000</v>
      </c>
      <c r="H693" t="s">
        <v>215</v>
      </c>
      <c r="L693">
        <v>620000</v>
      </c>
    </row>
    <row r="694" spans="1:13" hidden="1" x14ac:dyDescent="0.3">
      <c r="A694" t="s">
        <v>106</v>
      </c>
      <c r="B694" t="s">
        <v>385</v>
      </c>
      <c r="C694" t="s">
        <v>151</v>
      </c>
      <c r="D694" t="s">
        <v>386</v>
      </c>
      <c r="E694" t="s">
        <v>136</v>
      </c>
      <c r="F694">
        <v>42500</v>
      </c>
      <c r="G694">
        <v>39000</v>
      </c>
      <c r="M694" t="s">
        <v>187</v>
      </c>
    </row>
    <row r="695" spans="1:13" x14ac:dyDescent="0.3">
      <c r="A695" t="s">
        <v>106</v>
      </c>
      <c r="B695" t="s">
        <v>385</v>
      </c>
      <c r="C695" t="s">
        <v>152</v>
      </c>
      <c r="D695" t="s">
        <v>386</v>
      </c>
      <c r="E695" t="s">
        <v>136</v>
      </c>
      <c r="F695" s="3">
        <v>318000</v>
      </c>
      <c r="G695" s="3">
        <v>330000</v>
      </c>
      <c r="M695" t="s">
        <v>187</v>
      </c>
    </row>
    <row r="696" spans="1:13" hidden="1" x14ac:dyDescent="0.3">
      <c r="A696" t="s">
        <v>106</v>
      </c>
      <c r="B696" t="s">
        <v>385</v>
      </c>
      <c r="C696" t="s">
        <v>134</v>
      </c>
      <c r="D696" t="s">
        <v>387</v>
      </c>
      <c r="E696" t="s">
        <v>136</v>
      </c>
      <c r="H696" t="s">
        <v>169</v>
      </c>
      <c r="M696" t="s">
        <v>388</v>
      </c>
    </row>
    <row r="697" spans="1:13" hidden="1" x14ac:dyDescent="0.3">
      <c r="A697" t="s">
        <v>106</v>
      </c>
      <c r="B697" t="s">
        <v>385</v>
      </c>
      <c r="C697" t="s">
        <v>156</v>
      </c>
      <c r="D697" t="s">
        <v>387</v>
      </c>
      <c r="E697" t="s">
        <v>136</v>
      </c>
      <c r="H697" t="s">
        <v>169</v>
      </c>
      <c r="M697" t="s">
        <v>169</v>
      </c>
    </row>
    <row r="698" spans="1:13" hidden="1" x14ac:dyDescent="0.3">
      <c r="A698" t="s">
        <v>106</v>
      </c>
      <c r="B698" t="s">
        <v>385</v>
      </c>
      <c r="C698" t="s">
        <v>143</v>
      </c>
      <c r="D698" t="s">
        <v>387</v>
      </c>
      <c r="E698" t="s">
        <v>136</v>
      </c>
      <c r="H698" t="s">
        <v>169</v>
      </c>
      <c r="L698">
        <v>75000</v>
      </c>
    </row>
    <row r="699" spans="1:13" hidden="1" x14ac:dyDescent="0.3">
      <c r="A699" t="s">
        <v>106</v>
      </c>
      <c r="B699" t="s">
        <v>385</v>
      </c>
      <c r="C699" t="s">
        <v>251</v>
      </c>
      <c r="D699" t="s">
        <v>387</v>
      </c>
      <c r="E699" t="s">
        <v>136</v>
      </c>
      <c r="H699" t="s">
        <v>169</v>
      </c>
      <c r="M699" t="s">
        <v>169</v>
      </c>
    </row>
    <row r="700" spans="1:13" hidden="1" x14ac:dyDescent="0.3">
      <c r="A700" t="s">
        <v>106</v>
      </c>
      <c r="B700" t="s">
        <v>385</v>
      </c>
      <c r="C700" t="s">
        <v>144</v>
      </c>
      <c r="D700" t="s">
        <v>387</v>
      </c>
      <c r="E700" t="s">
        <v>136</v>
      </c>
      <c r="H700" t="s">
        <v>169</v>
      </c>
      <c r="M700" t="s">
        <v>169</v>
      </c>
    </row>
    <row r="701" spans="1:13" hidden="1" x14ac:dyDescent="0.3">
      <c r="A701" t="s">
        <v>106</v>
      </c>
      <c r="B701" t="s">
        <v>385</v>
      </c>
      <c r="C701" t="s">
        <v>146</v>
      </c>
      <c r="D701" t="s">
        <v>387</v>
      </c>
      <c r="E701" t="s">
        <v>136</v>
      </c>
      <c r="F701">
        <v>1000</v>
      </c>
      <c r="G701">
        <v>1000</v>
      </c>
      <c r="L701">
        <v>110000</v>
      </c>
    </row>
    <row r="702" spans="1:13" hidden="1" x14ac:dyDescent="0.3">
      <c r="A702" t="s">
        <v>106</v>
      </c>
      <c r="B702" t="s">
        <v>385</v>
      </c>
      <c r="C702" t="s">
        <v>214</v>
      </c>
      <c r="D702" t="s">
        <v>387</v>
      </c>
      <c r="E702" t="s">
        <v>136</v>
      </c>
      <c r="M702" t="s">
        <v>169</v>
      </c>
    </row>
    <row r="703" spans="1:13" hidden="1" x14ac:dyDescent="0.3">
      <c r="A703" t="s">
        <v>106</v>
      </c>
      <c r="B703" t="s">
        <v>385</v>
      </c>
      <c r="C703" t="s">
        <v>208</v>
      </c>
      <c r="D703" t="s">
        <v>387</v>
      </c>
      <c r="E703" t="s">
        <v>136</v>
      </c>
      <c r="M703" t="s">
        <v>169</v>
      </c>
    </row>
    <row r="704" spans="1:13" hidden="1" x14ac:dyDescent="0.3">
      <c r="A704" t="s">
        <v>106</v>
      </c>
      <c r="B704" t="s">
        <v>385</v>
      </c>
      <c r="C704" t="s">
        <v>176</v>
      </c>
      <c r="D704" t="s">
        <v>387</v>
      </c>
      <c r="E704" t="s">
        <v>136</v>
      </c>
      <c r="M704" t="s">
        <v>169</v>
      </c>
    </row>
    <row r="705" spans="1:13" hidden="1" x14ac:dyDescent="0.3">
      <c r="A705" t="s">
        <v>106</v>
      </c>
      <c r="B705" t="s">
        <v>385</v>
      </c>
      <c r="C705" t="s">
        <v>151</v>
      </c>
      <c r="D705" t="s">
        <v>387</v>
      </c>
      <c r="E705" t="s">
        <v>136</v>
      </c>
      <c r="F705">
        <v>200</v>
      </c>
      <c r="G705">
        <v>200</v>
      </c>
      <c r="M705" t="s">
        <v>345</v>
      </c>
    </row>
    <row r="706" spans="1:13" x14ac:dyDescent="0.3">
      <c r="A706" t="s">
        <v>106</v>
      </c>
      <c r="B706" t="s">
        <v>385</v>
      </c>
      <c r="C706" t="s">
        <v>152</v>
      </c>
      <c r="D706" t="s">
        <v>387</v>
      </c>
      <c r="E706" t="s">
        <v>136</v>
      </c>
      <c r="F706" s="3"/>
      <c r="G706" s="3"/>
      <c r="H706" t="s">
        <v>169</v>
      </c>
      <c r="M706" t="s">
        <v>169</v>
      </c>
    </row>
    <row r="707" spans="1:13" hidden="1" x14ac:dyDescent="0.3">
      <c r="A707" t="s">
        <v>106</v>
      </c>
      <c r="B707" t="s">
        <v>389</v>
      </c>
      <c r="C707" t="s">
        <v>134</v>
      </c>
      <c r="D707" t="s">
        <v>390</v>
      </c>
      <c r="E707" t="s">
        <v>136</v>
      </c>
      <c r="F707">
        <v>34000</v>
      </c>
      <c r="G707">
        <v>33000</v>
      </c>
      <c r="L707">
        <v>3500</v>
      </c>
      <c r="M707" t="s">
        <v>391</v>
      </c>
    </row>
    <row r="708" spans="1:13" hidden="1" x14ac:dyDescent="0.3">
      <c r="A708" t="s">
        <v>106</v>
      </c>
      <c r="B708" t="s">
        <v>389</v>
      </c>
      <c r="C708" t="s">
        <v>218</v>
      </c>
      <c r="D708" t="s">
        <v>390</v>
      </c>
      <c r="E708" t="s">
        <v>136</v>
      </c>
      <c r="L708">
        <v>100</v>
      </c>
    </row>
    <row r="709" spans="1:13" hidden="1" x14ac:dyDescent="0.3">
      <c r="A709" t="s">
        <v>106</v>
      </c>
      <c r="B709" t="s">
        <v>389</v>
      </c>
      <c r="C709" t="s">
        <v>392</v>
      </c>
      <c r="D709" t="s">
        <v>390</v>
      </c>
      <c r="E709" t="s">
        <v>136</v>
      </c>
      <c r="F709">
        <v>7600</v>
      </c>
      <c r="G709">
        <v>8000</v>
      </c>
      <c r="H709" t="s">
        <v>157</v>
      </c>
      <c r="L709">
        <v>150</v>
      </c>
    </row>
    <row r="710" spans="1:13" hidden="1" x14ac:dyDescent="0.3">
      <c r="A710" t="s">
        <v>106</v>
      </c>
      <c r="B710" t="s">
        <v>389</v>
      </c>
      <c r="C710" t="s">
        <v>140</v>
      </c>
      <c r="D710" t="s">
        <v>390</v>
      </c>
      <c r="E710" t="s">
        <v>136</v>
      </c>
      <c r="F710">
        <v>660</v>
      </c>
      <c r="G710">
        <v>1000</v>
      </c>
      <c r="L710">
        <v>690</v>
      </c>
      <c r="M710" t="s">
        <v>393</v>
      </c>
    </row>
    <row r="711" spans="1:13" hidden="1" x14ac:dyDescent="0.3">
      <c r="A711" t="s">
        <v>106</v>
      </c>
      <c r="B711" t="s">
        <v>389</v>
      </c>
      <c r="C711" t="s">
        <v>156</v>
      </c>
      <c r="D711" t="s">
        <v>390</v>
      </c>
      <c r="E711" t="s">
        <v>136</v>
      </c>
      <c r="F711">
        <v>1150</v>
      </c>
      <c r="G711">
        <v>1200</v>
      </c>
      <c r="L711">
        <v>64</v>
      </c>
    </row>
    <row r="712" spans="1:13" hidden="1" x14ac:dyDescent="0.3">
      <c r="A712" t="s">
        <v>106</v>
      </c>
      <c r="B712" t="s">
        <v>389</v>
      </c>
      <c r="C712" t="s">
        <v>221</v>
      </c>
      <c r="D712" t="s">
        <v>390</v>
      </c>
      <c r="E712" t="s">
        <v>136</v>
      </c>
      <c r="F712">
        <v>44100</v>
      </c>
      <c r="G712">
        <v>38000</v>
      </c>
      <c r="L712">
        <v>1400</v>
      </c>
    </row>
    <row r="713" spans="1:13" hidden="1" x14ac:dyDescent="0.3">
      <c r="A713" t="s">
        <v>106</v>
      </c>
      <c r="B713" t="s">
        <v>389</v>
      </c>
      <c r="C713" t="s">
        <v>143</v>
      </c>
      <c r="D713" t="s">
        <v>390</v>
      </c>
      <c r="E713" t="s">
        <v>136</v>
      </c>
      <c r="F713">
        <v>96000</v>
      </c>
      <c r="G713">
        <v>110000</v>
      </c>
      <c r="H713" t="s">
        <v>157</v>
      </c>
      <c r="L713">
        <v>5900</v>
      </c>
    </row>
    <row r="714" spans="1:13" hidden="1" x14ac:dyDescent="0.3">
      <c r="A714" t="s">
        <v>106</v>
      </c>
      <c r="B714" t="s">
        <v>389</v>
      </c>
      <c r="C714" t="s">
        <v>170</v>
      </c>
      <c r="D714" t="s">
        <v>390</v>
      </c>
      <c r="E714" t="s">
        <v>136</v>
      </c>
      <c r="F714">
        <v>2500</v>
      </c>
      <c r="G714">
        <v>3000</v>
      </c>
      <c r="H714" t="s">
        <v>157</v>
      </c>
      <c r="L714">
        <v>43</v>
      </c>
    </row>
    <row r="715" spans="1:13" hidden="1" x14ac:dyDescent="0.3">
      <c r="A715" t="s">
        <v>106</v>
      </c>
      <c r="B715" t="s">
        <v>389</v>
      </c>
      <c r="C715" t="s">
        <v>171</v>
      </c>
      <c r="D715" t="s">
        <v>390</v>
      </c>
      <c r="E715" t="s">
        <v>136</v>
      </c>
      <c r="F715">
        <v>3730</v>
      </c>
      <c r="G715">
        <v>3900</v>
      </c>
      <c r="L715">
        <v>7</v>
      </c>
    </row>
    <row r="716" spans="1:13" hidden="1" x14ac:dyDescent="0.3">
      <c r="A716" t="s">
        <v>106</v>
      </c>
      <c r="B716" t="s">
        <v>389</v>
      </c>
      <c r="C716" t="s">
        <v>314</v>
      </c>
      <c r="D716" t="s">
        <v>390</v>
      </c>
      <c r="E716" t="s">
        <v>136</v>
      </c>
      <c r="F716">
        <v>400</v>
      </c>
      <c r="G716">
        <v>700</v>
      </c>
      <c r="H716" t="s">
        <v>157</v>
      </c>
      <c r="M716" t="s">
        <v>394</v>
      </c>
    </row>
    <row r="717" spans="1:13" hidden="1" x14ac:dyDescent="0.3">
      <c r="A717" t="s">
        <v>106</v>
      </c>
      <c r="B717" t="s">
        <v>389</v>
      </c>
      <c r="C717" t="s">
        <v>214</v>
      </c>
      <c r="D717" t="s">
        <v>390</v>
      </c>
      <c r="E717" t="s">
        <v>136</v>
      </c>
      <c r="F717">
        <v>339</v>
      </c>
      <c r="G717">
        <v>300</v>
      </c>
      <c r="L717">
        <v>8</v>
      </c>
    </row>
    <row r="718" spans="1:13" hidden="1" x14ac:dyDescent="0.3">
      <c r="A718" t="s">
        <v>106</v>
      </c>
      <c r="B718" t="s">
        <v>389</v>
      </c>
      <c r="C718" t="s">
        <v>148</v>
      </c>
      <c r="D718" t="s">
        <v>390</v>
      </c>
      <c r="E718" t="s">
        <v>136</v>
      </c>
      <c r="F718">
        <v>17500</v>
      </c>
      <c r="G718">
        <v>17000</v>
      </c>
      <c r="L718">
        <v>130</v>
      </c>
    </row>
    <row r="719" spans="1:13" hidden="1" x14ac:dyDescent="0.3">
      <c r="A719" t="s">
        <v>106</v>
      </c>
      <c r="B719" t="s">
        <v>389</v>
      </c>
      <c r="C719" t="s">
        <v>289</v>
      </c>
      <c r="D719" t="s">
        <v>390</v>
      </c>
      <c r="E719" t="s">
        <v>136</v>
      </c>
      <c r="F719">
        <v>3160</v>
      </c>
      <c r="G719">
        <v>3100</v>
      </c>
      <c r="L719">
        <v>10</v>
      </c>
      <c r="M719" t="s">
        <v>391</v>
      </c>
    </row>
    <row r="720" spans="1:13" hidden="1" x14ac:dyDescent="0.3">
      <c r="A720" t="s">
        <v>106</v>
      </c>
      <c r="B720" t="s">
        <v>389</v>
      </c>
      <c r="C720" t="s">
        <v>182</v>
      </c>
      <c r="D720" t="s">
        <v>390</v>
      </c>
      <c r="E720" t="s">
        <v>136</v>
      </c>
      <c r="F720">
        <v>33500</v>
      </c>
      <c r="G720">
        <v>41000</v>
      </c>
      <c r="L720">
        <v>1900</v>
      </c>
    </row>
    <row r="721" spans="1:13" hidden="1" x14ac:dyDescent="0.3">
      <c r="A721" t="s">
        <v>106</v>
      </c>
      <c r="B721" t="s">
        <v>389</v>
      </c>
      <c r="C721" t="s">
        <v>160</v>
      </c>
      <c r="D721" t="s">
        <v>390</v>
      </c>
      <c r="E721" t="s">
        <v>136</v>
      </c>
      <c r="F721">
        <v>1700</v>
      </c>
      <c r="G721">
        <v>1700</v>
      </c>
      <c r="H721" t="s">
        <v>157</v>
      </c>
      <c r="L721">
        <v>1100</v>
      </c>
    </row>
    <row r="722" spans="1:13" hidden="1" x14ac:dyDescent="0.3">
      <c r="A722" t="s">
        <v>106</v>
      </c>
      <c r="B722" t="s">
        <v>389</v>
      </c>
      <c r="C722" t="s">
        <v>242</v>
      </c>
      <c r="D722" t="s">
        <v>390</v>
      </c>
      <c r="E722" t="s">
        <v>136</v>
      </c>
      <c r="F722">
        <v>1700</v>
      </c>
      <c r="G722">
        <v>1700</v>
      </c>
      <c r="H722" t="s">
        <v>157</v>
      </c>
      <c r="L722">
        <v>21</v>
      </c>
    </row>
    <row r="723" spans="1:13" x14ac:dyDescent="0.3">
      <c r="A723" t="s">
        <v>106</v>
      </c>
      <c r="B723" t="s">
        <v>389</v>
      </c>
      <c r="C723" t="s">
        <v>152</v>
      </c>
      <c r="D723" t="s">
        <v>390</v>
      </c>
      <c r="E723" t="s">
        <v>136</v>
      </c>
      <c r="F723" s="3">
        <v>248000</v>
      </c>
      <c r="G723" s="3">
        <v>260000</v>
      </c>
      <c r="L723">
        <v>15000</v>
      </c>
      <c r="M723" t="s">
        <v>391</v>
      </c>
    </row>
    <row r="724" spans="1:13" hidden="1" x14ac:dyDescent="0.3">
      <c r="A724" t="s">
        <v>106</v>
      </c>
      <c r="B724" t="s">
        <v>20</v>
      </c>
      <c r="C724" t="s">
        <v>134</v>
      </c>
      <c r="D724" t="s">
        <v>111</v>
      </c>
      <c r="E724" t="s">
        <v>136</v>
      </c>
      <c r="F724">
        <v>16400</v>
      </c>
      <c r="G724">
        <v>8000</v>
      </c>
      <c r="L724">
        <v>310000</v>
      </c>
      <c r="M724" t="s">
        <v>395</v>
      </c>
    </row>
    <row r="725" spans="1:13" hidden="1" x14ac:dyDescent="0.3">
      <c r="A725" t="s">
        <v>106</v>
      </c>
      <c r="B725" t="s">
        <v>20</v>
      </c>
      <c r="C725" t="s">
        <v>140</v>
      </c>
      <c r="D725" t="s">
        <v>111</v>
      </c>
      <c r="E725" t="s">
        <v>136</v>
      </c>
      <c r="F725">
        <v>149000</v>
      </c>
      <c r="G725">
        <v>110000</v>
      </c>
      <c r="L725">
        <v>24000000</v>
      </c>
      <c r="M725" t="s">
        <v>396</v>
      </c>
    </row>
    <row r="726" spans="1:13" hidden="1" x14ac:dyDescent="0.3">
      <c r="A726" t="s">
        <v>106</v>
      </c>
      <c r="B726" t="s">
        <v>20</v>
      </c>
      <c r="C726" t="s">
        <v>142</v>
      </c>
      <c r="D726" t="s">
        <v>111</v>
      </c>
      <c r="E726" t="s">
        <v>136</v>
      </c>
      <c r="F726">
        <v>82700</v>
      </c>
      <c r="G726">
        <v>77000</v>
      </c>
      <c r="L726">
        <v>16000000</v>
      </c>
    </row>
    <row r="727" spans="1:13" hidden="1" x14ac:dyDescent="0.3">
      <c r="A727" t="s">
        <v>106</v>
      </c>
      <c r="B727" t="s">
        <v>20</v>
      </c>
      <c r="C727" t="s">
        <v>156</v>
      </c>
      <c r="D727" t="s">
        <v>111</v>
      </c>
      <c r="E727" t="s">
        <v>136</v>
      </c>
      <c r="F727">
        <v>159000</v>
      </c>
      <c r="G727">
        <v>190000</v>
      </c>
      <c r="L727">
        <v>2200000</v>
      </c>
    </row>
    <row r="728" spans="1:13" hidden="1" x14ac:dyDescent="0.3">
      <c r="A728" t="s">
        <v>106</v>
      </c>
      <c r="B728" t="s">
        <v>20</v>
      </c>
      <c r="C728" t="s">
        <v>143</v>
      </c>
      <c r="D728" t="s">
        <v>111</v>
      </c>
      <c r="E728" t="s">
        <v>136</v>
      </c>
      <c r="F728">
        <v>117000</v>
      </c>
      <c r="G728">
        <v>120000</v>
      </c>
      <c r="H728" t="s">
        <v>157</v>
      </c>
      <c r="L728">
        <v>4400000</v>
      </c>
    </row>
    <row r="729" spans="1:13" hidden="1" x14ac:dyDescent="0.3">
      <c r="A729" t="s">
        <v>106</v>
      </c>
      <c r="B729" t="s">
        <v>20</v>
      </c>
      <c r="C729" t="s">
        <v>198</v>
      </c>
      <c r="D729" t="s">
        <v>111</v>
      </c>
      <c r="E729" t="s">
        <v>136</v>
      </c>
      <c r="F729">
        <v>2030000</v>
      </c>
      <c r="G729">
        <v>2200000</v>
      </c>
      <c r="L729">
        <v>55000000</v>
      </c>
    </row>
    <row r="730" spans="1:13" hidden="1" x14ac:dyDescent="0.3">
      <c r="A730" t="s">
        <v>106</v>
      </c>
      <c r="B730" t="s">
        <v>20</v>
      </c>
      <c r="C730" t="s">
        <v>271</v>
      </c>
      <c r="D730" t="s">
        <v>111</v>
      </c>
      <c r="E730" t="s">
        <v>136</v>
      </c>
      <c r="F730">
        <v>231000</v>
      </c>
      <c r="G730">
        <v>110000</v>
      </c>
      <c r="L730">
        <v>7100000</v>
      </c>
    </row>
    <row r="731" spans="1:13" hidden="1" x14ac:dyDescent="0.3">
      <c r="A731" t="s">
        <v>106</v>
      </c>
      <c r="B731" t="s">
        <v>20</v>
      </c>
      <c r="C731" t="s">
        <v>273</v>
      </c>
      <c r="D731" t="s">
        <v>111</v>
      </c>
      <c r="E731" t="s">
        <v>136</v>
      </c>
      <c r="F731">
        <v>413000</v>
      </c>
      <c r="G731">
        <v>330000</v>
      </c>
      <c r="H731" t="s">
        <v>157</v>
      </c>
      <c r="L731">
        <v>4800000</v>
      </c>
    </row>
    <row r="732" spans="1:13" hidden="1" x14ac:dyDescent="0.3">
      <c r="A732" t="s">
        <v>106</v>
      </c>
      <c r="B732" t="s">
        <v>20</v>
      </c>
      <c r="C732" t="s">
        <v>160</v>
      </c>
      <c r="D732" t="s">
        <v>111</v>
      </c>
      <c r="E732" t="s">
        <v>136</v>
      </c>
      <c r="F732">
        <v>210000</v>
      </c>
      <c r="G732">
        <v>210000</v>
      </c>
      <c r="L732">
        <v>8300000</v>
      </c>
    </row>
    <row r="733" spans="1:13" hidden="1" x14ac:dyDescent="0.3">
      <c r="A733" t="s">
        <v>106</v>
      </c>
      <c r="B733" t="s">
        <v>20</v>
      </c>
      <c r="C733" t="s">
        <v>151</v>
      </c>
      <c r="D733" t="s">
        <v>111</v>
      </c>
      <c r="E733" t="s">
        <v>136</v>
      </c>
      <c r="F733">
        <v>340000</v>
      </c>
      <c r="G733">
        <v>300000</v>
      </c>
      <c r="L733">
        <v>9100000</v>
      </c>
    </row>
    <row r="734" spans="1:13" x14ac:dyDescent="0.3">
      <c r="A734" t="s">
        <v>106</v>
      </c>
      <c r="B734" t="s">
        <v>20</v>
      </c>
      <c r="C734" t="s">
        <v>152</v>
      </c>
      <c r="D734" t="s">
        <v>111</v>
      </c>
      <c r="E734" t="s">
        <v>136</v>
      </c>
      <c r="F734" s="3">
        <v>3750000</v>
      </c>
      <c r="G734" s="3">
        <v>3700000</v>
      </c>
      <c r="L734" t="s">
        <v>397</v>
      </c>
    </row>
    <row r="735" spans="1:13" hidden="1" x14ac:dyDescent="0.3">
      <c r="A735" t="s">
        <v>106</v>
      </c>
      <c r="B735" t="s">
        <v>398</v>
      </c>
      <c r="C735" t="s">
        <v>134</v>
      </c>
      <c r="D735" t="s">
        <v>399</v>
      </c>
      <c r="E735" t="s">
        <v>136</v>
      </c>
      <c r="L735">
        <v>210000</v>
      </c>
    </row>
    <row r="736" spans="1:13" hidden="1" x14ac:dyDescent="0.3">
      <c r="A736" t="s">
        <v>106</v>
      </c>
      <c r="B736" t="s">
        <v>398</v>
      </c>
      <c r="C736" t="s">
        <v>142</v>
      </c>
      <c r="D736" t="s">
        <v>399</v>
      </c>
      <c r="E736" t="s">
        <v>136</v>
      </c>
      <c r="F736">
        <v>102000</v>
      </c>
      <c r="G736">
        <v>100000</v>
      </c>
      <c r="L736">
        <v>16000000</v>
      </c>
    </row>
    <row r="737" spans="1:12" hidden="1" x14ac:dyDescent="0.3">
      <c r="A737" t="s">
        <v>106</v>
      </c>
      <c r="B737" t="s">
        <v>398</v>
      </c>
      <c r="C737" t="s">
        <v>156</v>
      </c>
      <c r="D737" t="s">
        <v>399</v>
      </c>
      <c r="E737" t="s">
        <v>136</v>
      </c>
      <c r="F737">
        <v>6700</v>
      </c>
      <c r="G737">
        <v>7100</v>
      </c>
      <c r="L737">
        <v>1600000</v>
      </c>
    </row>
    <row r="738" spans="1:12" hidden="1" x14ac:dyDescent="0.3">
      <c r="A738" t="s">
        <v>106</v>
      </c>
      <c r="B738" t="s">
        <v>398</v>
      </c>
      <c r="C738" t="s">
        <v>269</v>
      </c>
      <c r="D738" t="s">
        <v>399</v>
      </c>
      <c r="E738" t="s">
        <v>136</v>
      </c>
      <c r="F738">
        <v>740</v>
      </c>
      <c r="G738">
        <v>700</v>
      </c>
    </row>
    <row r="739" spans="1:12" hidden="1" x14ac:dyDescent="0.3">
      <c r="A739" t="s">
        <v>106</v>
      </c>
      <c r="B739" t="s">
        <v>398</v>
      </c>
      <c r="C739" t="s">
        <v>160</v>
      </c>
      <c r="D739" t="s">
        <v>399</v>
      </c>
      <c r="E739" t="s">
        <v>136</v>
      </c>
      <c r="F739">
        <v>353</v>
      </c>
      <c r="G739">
        <v>350</v>
      </c>
    </row>
    <row r="740" spans="1:12" hidden="1" x14ac:dyDescent="0.3">
      <c r="A740" t="s">
        <v>106</v>
      </c>
      <c r="B740" t="s">
        <v>398</v>
      </c>
      <c r="C740" t="s">
        <v>210</v>
      </c>
      <c r="D740" t="s">
        <v>399</v>
      </c>
      <c r="E740" t="s">
        <v>136</v>
      </c>
      <c r="F740">
        <v>210</v>
      </c>
      <c r="G740">
        <v>200</v>
      </c>
    </row>
    <row r="741" spans="1:12" hidden="1" x14ac:dyDescent="0.3">
      <c r="A741" t="s">
        <v>106</v>
      </c>
      <c r="B741" t="s">
        <v>398</v>
      </c>
      <c r="C741" t="s">
        <v>151</v>
      </c>
      <c r="D741" t="s">
        <v>399</v>
      </c>
      <c r="E741" t="s">
        <v>136</v>
      </c>
      <c r="F741">
        <v>121</v>
      </c>
      <c r="G741">
        <v>120</v>
      </c>
    </row>
    <row r="742" spans="1:12" x14ac:dyDescent="0.3">
      <c r="A742" t="s">
        <v>106</v>
      </c>
      <c r="B742" t="s">
        <v>398</v>
      </c>
      <c r="C742" t="s">
        <v>152</v>
      </c>
      <c r="D742" t="s">
        <v>399</v>
      </c>
      <c r="E742" t="s">
        <v>136</v>
      </c>
      <c r="F742" s="3">
        <v>110000</v>
      </c>
      <c r="G742" s="3">
        <v>110000</v>
      </c>
      <c r="L742" t="s">
        <v>400</v>
      </c>
    </row>
    <row r="743" spans="1:12" hidden="1" x14ac:dyDescent="0.3">
      <c r="A743" t="s">
        <v>106</v>
      </c>
      <c r="B743" t="s">
        <v>401</v>
      </c>
      <c r="C743" t="s">
        <v>134</v>
      </c>
      <c r="D743" t="s">
        <v>402</v>
      </c>
      <c r="E743" t="s">
        <v>154</v>
      </c>
      <c r="F743">
        <v>13800</v>
      </c>
      <c r="G743">
        <v>14000</v>
      </c>
    </row>
    <row r="744" spans="1:12" hidden="1" x14ac:dyDescent="0.3">
      <c r="A744" t="s">
        <v>106</v>
      </c>
      <c r="B744" t="s">
        <v>401</v>
      </c>
      <c r="C744" t="s">
        <v>317</v>
      </c>
      <c r="D744" t="s">
        <v>402</v>
      </c>
      <c r="E744" t="s">
        <v>154</v>
      </c>
      <c r="F744">
        <v>2000</v>
      </c>
      <c r="G744">
        <v>2000</v>
      </c>
    </row>
    <row r="745" spans="1:12" hidden="1" x14ac:dyDescent="0.3">
      <c r="A745" t="s">
        <v>106</v>
      </c>
      <c r="B745" t="s">
        <v>401</v>
      </c>
      <c r="C745" t="s">
        <v>140</v>
      </c>
      <c r="D745" t="s">
        <v>402</v>
      </c>
      <c r="E745" t="s">
        <v>154</v>
      </c>
      <c r="F745">
        <v>1300</v>
      </c>
      <c r="G745">
        <v>1300</v>
      </c>
    </row>
    <row r="746" spans="1:12" hidden="1" x14ac:dyDescent="0.3">
      <c r="A746" t="s">
        <v>106</v>
      </c>
      <c r="B746" t="s">
        <v>401</v>
      </c>
      <c r="C746" t="s">
        <v>156</v>
      </c>
      <c r="D746" t="s">
        <v>402</v>
      </c>
      <c r="E746" t="s">
        <v>154</v>
      </c>
      <c r="F746">
        <v>3600</v>
      </c>
      <c r="G746">
        <v>3600</v>
      </c>
    </row>
    <row r="747" spans="1:12" hidden="1" x14ac:dyDescent="0.3">
      <c r="A747" t="s">
        <v>106</v>
      </c>
      <c r="B747" t="s">
        <v>401</v>
      </c>
      <c r="C747" t="s">
        <v>143</v>
      </c>
      <c r="D747" t="s">
        <v>402</v>
      </c>
      <c r="E747" t="s">
        <v>154</v>
      </c>
      <c r="F747">
        <v>47000</v>
      </c>
      <c r="G747">
        <v>47000</v>
      </c>
    </row>
    <row r="748" spans="1:12" hidden="1" x14ac:dyDescent="0.3">
      <c r="A748" t="s">
        <v>106</v>
      </c>
      <c r="B748" t="s">
        <v>401</v>
      </c>
      <c r="C748" t="s">
        <v>246</v>
      </c>
      <c r="D748" t="s">
        <v>402</v>
      </c>
      <c r="E748" t="s">
        <v>154</v>
      </c>
      <c r="F748">
        <v>4500</v>
      </c>
      <c r="G748">
        <v>5000</v>
      </c>
    </row>
    <row r="749" spans="1:12" hidden="1" x14ac:dyDescent="0.3">
      <c r="A749" t="s">
        <v>106</v>
      </c>
      <c r="B749" t="s">
        <v>401</v>
      </c>
      <c r="C749" t="s">
        <v>145</v>
      </c>
      <c r="D749" t="s">
        <v>402</v>
      </c>
      <c r="E749" t="s">
        <v>154</v>
      </c>
      <c r="F749">
        <v>1720</v>
      </c>
      <c r="G749">
        <v>1700</v>
      </c>
    </row>
    <row r="750" spans="1:12" hidden="1" x14ac:dyDescent="0.3">
      <c r="A750" t="s">
        <v>106</v>
      </c>
      <c r="B750" t="s">
        <v>401</v>
      </c>
      <c r="C750" t="s">
        <v>146</v>
      </c>
      <c r="D750" t="s">
        <v>402</v>
      </c>
      <c r="E750" t="s">
        <v>154</v>
      </c>
      <c r="F750">
        <v>15300</v>
      </c>
      <c r="G750">
        <v>15000</v>
      </c>
    </row>
    <row r="751" spans="1:12" hidden="1" x14ac:dyDescent="0.3">
      <c r="A751" t="s">
        <v>106</v>
      </c>
      <c r="B751" t="s">
        <v>401</v>
      </c>
      <c r="C751" t="s">
        <v>198</v>
      </c>
      <c r="D751" t="s">
        <v>402</v>
      </c>
      <c r="E751" t="s">
        <v>154</v>
      </c>
      <c r="F751">
        <v>5800</v>
      </c>
      <c r="G751">
        <v>6000</v>
      </c>
    </row>
    <row r="752" spans="1:12" hidden="1" x14ac:dyDescent="0.3">
      <c r="A752" t="s">
        <v>106</v>
      </c>
      <c r="B752" t="s">
        <v>401</v>
      </c>
      <c r="C752" t="s">
        <v>170</v>
      </c>
      <c r="D752" t="s">
        <v>402</v>
      </c>
      <c r="E752" t="s">
        <v>154</v>
      </c>
      <c r="F752">
        <v>4200</v>
      </c>
      <c r="G752">
        <v>4200</v>
      </c>
    </row>
    <row r="753" spans="1:12" hidden="1" x14ac:dyDescent="0.3">
      <c r="A753" t="s">
        <v>106</v>
      </c>
      <c r="B753" t="s">
        <v>401</v>
      </c>
      <c r="C753" t="s">
        <v>159</v>
      </c>
      <c r="D753" t="s">
        <v>402</v>
      </c>
      <c r="E753" t="s">
        <v>154</v>
      </c>
      <c r="F753">
        <v>1400</v>
      </c>
      <c r="G753">
        <v>1400</v>
      </c>
    </row>
    <row r="754" spans="1:12" hidden="1" x14ac:dyDescent="0.3">
      <c r="A754" t="s">
        <v>106</v>
      </c>
      <c r="B754" t="s">
        <v>401</v>
      </c>
      <c r="C754" t="s">
        <v>240</v>
      </c>
      <c r="D754" t="s">
        <v>402</v>
      </c>
      <c r="E754" t="s">
        <v>154</v>
      </c>
      <c r="F754">
        <v>2000</v>
      </c>
      <c r="G754">
        <v>2000</v>
      </c>
    </row>
    <row r="755" spans="1:12" hidden="1" x14ac:dyDescent="0.3">
      <c r="A755" t="s">
        <v>106</v>
      </c>
      <c r="B755" t="s">
        <v>401</v>
      </c>
      <c r="C755" t="s">
        <v>403</v>
      </c>
      <c r="D755" t="s">
        <v>402</v>
      </c>
      <c r="E755" t="s">
        <v>154</v>
      </c>
      <c r="F755">
        <v>1700</v>
      </c>
      <c r="G755">
        <v>1700</v>
      </c>
    </row>
    <row r="756" spans="1:12" hidden="1" x14ac:dyDescent="0.3">
      <c r="A756" t="s">
        <v>106</v>
      </c>
      <c r="B756" t="s">
        <v>401</v>
      </c>
      <c r="C756" t="s">
        <v>318</v>
      </c>
      <c r="D756" t="s">
        <v>402</v>
      </c>
      <c r="E756" t="s">
        <v>154</v>
      </c>
      <c r="F756">
        <v>2000</v>
      </c>
      <c r="G756">
        <v>2000</v>
      </c>
    </row>
    <row r="757" spans="1:12" hidden="1" x14ac:dyDescent="0.3">
      <c r="A757" t="s">
        <v>106</v>
      </c>
      <c r="B757" t="s">
        <v>401</v>
      </c>
      <c r="C757" t="s">
        <v>174</v>
      </c>
      <c r="D757" t="s">
        <v>402</v>
      </c>
      <c r="E757" t="s">
        <v>154</v>
      </c>
      <c r="F757">
        <v>3500</v>
      </c>
      <c r="G757">
        <v>3500</v>
      </c>
    </row>
    <row r="758" spans="1:12" hidden="1" x14ac:dyDescent="0.3">
      <c r="A758" t="s">
        <v>106</v>
      </c>
      <c r="B758" t="s">
        <v>401</v>
      </c>
      <c r="C758" t="s">
        <v>241</v>
      </c>
      <c r="D758" t="s">
        <v>402</v>
      </c>
      <c r="E758" t="s">
        <v>154</v>
      </c>
      <c r="F758">
        <v>1560</v>
      </c>
      <c r="G758">
        <v>1600</v>
      </c>
    </row>
    <row r="759" spans="1:12" hidden="1" x14ac:dyDescent="0.3">
      <c r="A759" t="s">
        <v>106</v>
      </c>
      <c r="B759" t="s">
        <v>401</v>
      </c>
      <c r="C759" t="s">
        <v>324</v>
      </c>
      <c r="D759" t="s">
        <v>402</v>
      </c>
      <c r="E759" t="s">
        <v>154</v>
      </c>
      <c r="F759">
        <v>3050</v>
      </c>
      <c r="G759">
        <v>3100</v>
      </c>
    </row>
    <row r="760" spans="1:12" hidden="1" x14ac:dyDescent="0.3">
      <c r="A760" t="s">
        <v>106</v>
      </c>
      <c r="B760" t="s">
        <v>401</v>
      </c>
      <c r="C760" t="s">
        <v>160</v>
      </c>
      <c r="D760" t="s">
        <v>402</v>
      </c>
      <c r="E760" t="s">
        <v>154</v>
      </c>
      <c r="F760">
        <v>14000</v>
      </c>
      <c r="G760">
        <v>14000</v>
      </c>
    </row>
    <row r="761" spans="1:12" hidden="1" x14ac:dyDescent="0.3">
      <c r="A761" t="s">
        <v>106</v>
      </c>
      <c r="B761" t="s">
        <v>401</v>
      </c>
      <c r="C761" t="s">
        <v>201</v>
      </c>
      <c r="D761" t="s">
        <v>402</v>
      </c>
      <c r="E761" t="s">
        <v>154</v>
      </c>
      <c r="F761">
        <v>5400</v>
      </c>
      <c r="G761">
        <v>5400</v>
      </c>
    </row>
    <row r="762" spans="1:12" hidden="1" x14ac:dyDescent="0.3">
      <c r="A762" t="s">
        <v>106</v>
      </c>
      <c r="B762" t="s">
        <v>401</v>
      </c>
      <c r="C762" t="s">
        <v>404</v>
      </c>
      <c r="D762" t="s">
        <v>402</v>
      </c>
      <c r="E762" t="s">
        <v>154</v>
      </c>
      <c r="F762">
        <v>3220</v>
      </c>
      <c r="G762">
        <v>3200</v>
      </c>
    </row>
    <row r="763" spans="1:12" hidden="1" x14ac:dyDescent="0.3">
      <c r="A763" t="s">
        <v>106</v>
      </c>
      <c r="B763" t="s">
        <v>401</v>
      </c>
      <c r="C763" t="s">
        <v>242</v>
      </c>
      <c r="D763" t="s">
        <v>402</v>
      </c>
      <c r="E763" t="s">
        <v>154</v>
      </c>
      <c r="F763">
        <v>1300</v>
      </c>
      <c r="G763">
        <v>1300</v>
      </c>
    </row>
    <row r="764" spans="1:12" hidden="1" x14ac:dyDescent="0.3">
      <c r="A764" t="s">
        <v>106</v>
      </c>
      <c r="B764" t="s">
        <v>401</v>
      </c>
      <c r="C764" t="s">
        <v>177</v>
      </c>
      <c r="D764" t="s">
        <v>402</v>
      </c>
      <c r="E764" t="s">
        <v>154</v>
      </c>
      <c r="F764">
        <v>1440</v>
      </c>
      <c r="G764">
        <v>1400</v>
      </c>
    </row>
    <row r="765" spans="1:12" hidden="1" x14ac:dyDescent="0.3">
      <c r="A765" t="s">
        <v>106</v>
      </c>
      <c r="B765" t="s">
        <v>401</v>
      </c>
      <c r="C765" t="s">
        <v>151</v>
      </c>
      <c r="D765" t="s">
        <v>402</v>
      </c>
      <c r="E765" t="s">
        <v>154</v>
      </c>
      <c r="F765">
        <v>12300</v>
      </c>
      <c r="G765">
        <v>13000</v>
      </c>
    </row>
    <row r="766" spans="1:12" x14ac:dyDescent="0.3">
      <c r="A766" t="s">
        <v>106</v>
      </c>
      <c r="B766" t="s">
        <v>401</v>
      </c>
      <c r="C766" t="s">
        <v>152</v>
      </c>
      <c r="D766" t="s">
        <v>402</v>
      </c>
      <c r="E766" t="s">
        <v>154</v>
      </c>
      <c r="F766" s="3">
        <v>152000</v>
      </c>
      <c r="G766" s="3">
        <v>150000</v>
      </c>
    </row>
    <row r="767" spans="1:12" hidden="1" x14ac:dyDescent="0.3">
      <c r="A767" t="s">
        <v>106</v>
      </c>
      <c r="B767" t="s">
        <v>405</v>
      </c>
      <c r="C767" t="s">
        <v>134</v>
      </c>
      <c r="D767" t="s">
        <v>43</v>
      </c>
      <c r="E767" t="s">
        <v>154</v>
      </c>
      <c r="F767">
        <v>310</v>
      </c>
      <c r="G767">
        <v>330</v>
      </c>
      <c r="H767" t="s">
        <v>157</v>
      </c>
      <c r="L767">
        <v>150000</v>
      </c>
    </row>
    <row r="768" spans="1:12" hidden="1" x14ac:dyDescent="0.3">
      <c r="A768" t="s">
        <v>106</v>
      </c>
      <c r="B768" t="s">
        <v>405</v>
      </c>
      <c r="C768" t="s">
        <v>406</v>
      </c>
      <c r="D768" t="s">
        <v>43</v>
      </c>
      <c r="E768" t="s">
        <v>154</v>
      </c>
      <c r="F768">
        <v>2200</v>
      </c>
      <c r="G768">
        <v>2200</v>
      </c>
      <c r="H768" t="s">
        <v>157</v>
      </c>
      <c r="L768">
        <v>2600000</v>
      </c>
    </row>
    <row r="769" spans="1:13" hidden="1" x14ac:dyDescent="0.3">
      <c r="A769" t="s">
        <v>106</v>
      </c>
      <c r="B769" t="s">
        <v>405</v>
      </c>
      <c r="C769" t="s">
        <v>156</v>
      </c>
      <c r="D769" t="s">
        <v>43</v>
      </c>
      <c r="E769" t="s">
        <v>154</v>
      </c>
      <c r="F769">
        <v>3030</v>
      </c>
      <c r="G769">
        <v>3000</v>
      </c>
      <c r="L769">
        <v>720000</v>
      </c>
    </row>
    <row r="770" spans="1:13" hidden="1" x14ac:dyDescent="0.3">
      <c r="A770" t="s">
        <v>106</v>
      </c>
      <c r="B770" t="s">
        <v>405</v>
      </c>
      <c r="C770" t="s">
        <v>407</v>
      </c>
      <c r="D770" t="s">
        <v>43</v>
      </c>
      <c r="E770" t="s">
        <v>154</v>
      </c>
      <c r="F770">
        <v>1200</v>
      </c>
      <c r="G770">
        <v>1200</v>
      </c>
      <c r="H770" t="s">
        <v>157</v>
      </c>
      <c r="L770">
        <v>570000</v>
      </c>
    </row>
    <row r="771" spans="1:13" hidden="1" x14ac:dyDescent="0.3">
      <c r="A771" t="s">
        <v>106</v>
      </c>
      <c r="B771" t="s">
        <v>405</v>
      </c>
      <c r="C771" t="s">
        <v>251</v>
      </c>
      <c r="D771" t="s">
        <v>43</v>
      </c>
      <c r="E771" t="s">
        <v>154</v>
      </c>
      <c r="F771">
        <v>3300</v>
      </c>
      <c r="G771">
        <v>3300</v>
      </c>
      <c r="H771" t="s">
        <v>157</v>
      </c>
      <c r="L771">
        <v>6000000</v>
      </c>
    </row>
    <row r="772" spans="1:13" hidden="1" x14ac:dyDescent="0.3">
      <c r="A772" t="s">
        <v>106</v>
      </c>
      <c r="B772" t="s">
        <v>405</v>
      </c>
      <c r="C772" t="s">
        <v>145</v>
      </c>
      <c r="D772" t="s">
        <v>43</v>
      </c>
      <c r="E772" t="s">
        <v>154</v>
      </c>
      <c r="F772">
        <v>1720</v>
      </c>
      <c r="G772">
        <v>1700</v>
      </c>
      <c r="M772" t="s">
        <v>408</v>
      </c>
    </row>
    <row r="773" spans="1:13" hidden="1" x14ac:dyDescent="0.3">
      <c r="A773" t="s">
        <v>106</v>
      </c>
      <c r="B773" t="s">
        <v>405</v>
      </c>
      <c r="C773" t="s">
        <v>409</v>
      </c>
      <c r="D773" t="s">
        <v>43</v>
      </c>
      <c r="E773" t="s">
        <v>154</v>
      </c>
      <c r="F773">
        <v>2430</v>
      </c>
      <c r="G773">
        <v>2400</v>
      </c>
      <c r="L773">
        <v>150000</v>
      </c>
    </row>
    <row r="774" spans="1:13" hidden="1" x14ac:dyDescent="0.3">
      <c r="A774" t="s">
        <v>106</v>
      </c>
      <c r="B774" t="s">
        <v>405</v>
      </c>
      <c r="C774" t="s">
        <v>410</v>
      </c>
      <c r="D774" t="s">
        <v>43</v>
      </c>
      <c r="E774" t="s">
        <v>154</v>
      </c>
      <c r="F774">
        <v>394</v>
      </c>
      <c r="G774">
        <v>400</v>
      </c>
      <c r="L774">
        <v>210000</v>
      </c>
    </row>
    <row r="775" spans="1:13" hidden="1" x14ac:dyDescent="0.3">
      <c r="A775" t="s">
        <v>106</v>
      </c>
      <c r="B775" t="s">
        <v>405</v>
      </c>
      <c r="C775" t="s">
        <v>241</v>
      </c>
      <c r="D775" t="s">
        <v>43</v>
      </c>
      <c r="E775" t="s">
        <v>154</v>
      </c>
      <c r="F775">
        <v>846</v>
      </c>
      <c r="G775">
        <v>850</v>
      </c>
      <c r="M775" t="s">
        <v>408</v>
      </c>
    </row>
    <row r="776" spans="1:13" hidden="1" x14ac:dyDescent="0.3">
      <c r="A776" t="s">
        <v>106</v>
      </c>
      <c r="B776" t="s">
        <v>405</v>
      </c>
      <c r="C776" t="s">
        <v>160</v>
      </c>
      <c r="D776" t="s">
        <v>43</v>
      </c>
      <c r="E776" t="s">
        <v>154</v>
      </c>
      <c r="F776">
        <v>1600</v>
      </c>
      <c r="G776">
        <v>1600</v>
      </c>
      <c r="H776" t="s">
        <v>157</v>
      </c>
      <c r="L776">
        <v>1000000</v>
      </c>
    </row>
    <row r="777" spans="1:13" hidden="1" x14ac:dyDescent="0.3">
      <c r="A777" t="s">
        <v>106</v>
      </c>
      <c r="B777" t="s">
        <v>405</v>
      </c>
      <c r="C777" t="s">
        <v>341</v>
      </c>
      <c r="D777" t="s">
        <v>43</v>
      </c>
      <c r="E777" t="s">
        <v>154</v>
      </c>
      <c r="F777">
        <v>1820</v>
      </c>
      <c r="G777">
        <v>2000</v>
      </c>
      <c r="M777" t="s">
        <v>408</v>
      </c>
    </row>
    <row r="778" spans="1:13" hidden="1" x14ac:dyDescent="0.3">
      <c r="A778" t="s">
        <v>106</v>
      </c>
      <c r="B778" t="s">
        <v>405</v>
      </c>
      <c r="C778" t="s">
        <v>235</v>
      </c>
      <c r="D778" t="s">
        <v>43</v>
      </c>
      <c r="E778" t="s">
        <v>154</v>
      </c>
      <c r="F778">
        <v>440</v>
      </c>
      <c r="G778">
        <v>440</v>
      </c>
      <c r="M778" t="s">
        <v>408</v>
      </c>
    </row>
    <row r="779" spans="1:13" hidden="1" x14ac:dyDescent="0.3">
      <c r="A779" t="s">
        <v>106</v>
      </c>
      <c r="B779" t="s">
        <v>405</v>
      </c>
      <c r="C779" t="s">
        <v>151</v>
      </c>
      <c r="D779" t="s">
        <v>43</v>
      </c>
      <c r="E779" t="s">
        <v>154</v>
      </c>
      <c r="F779">
        <v>650</v>
      </c>
      <c r="G779">
        <v>600</v>
      </c>
      <c r="L779">
        <v>1400000</v>
      </c>
    </row>
    <row r="780" spans="1:13" x14ac:dyDescent="0.3">
      <c r="A780" t="s">
        <v>106</v>
      </c>
      <c r="B780" t="s">
        <v>405</v>
      </c>
      <c r="C780" t="s">
        <v>152</v>
      </c>
      <c r="D780" t="s">
        <v>43</v>
      </c>
      <c r="E780" t="s">
        <v>154</v>
      </c>
      <c r="F780" s="3">
        <v>19900</v>
      </c>
      <c r="G780" s="3">
        <v>20000</v>
      </c>
      <c r="L780">
        <v>13000000</v>
      </c>
    </row>
    <row r="781" spans="1:13" hidden="1" x14ac:dyDescent="0.3">
      <c r="A781" t="s">
        <v>106</v>
      </c>
      <c r="B781" t="s">
        <v>411</v>
      </c>
      <c r="C781" t="s">
        <v>134</v>
      </c>
      <c r="D781" t="s">
        <v>266</v>
      </c>
      <c r="E781" t="s">
        <v>154</v>
      </c>
      <c r="F781">
        <v>410</v>
      </c>
      <c r="G781">
        <v>440</v>
      </c>
      <c r="H781" t="s">
        <v>412</v>
      </c>
      <c r="L781">
        <v>50000</v>
      </c>
    </row>
    <row r="782" spans="1:13" hidden="1" x14ac:dyDescent="0.3">
      <c r="A782" t="s">
        <v>106</v>
      </c>
      <c r="B782" t="s">
        <v>411</v>
      </c>
      <c r="C782" t="s">
        <v>218</v>
      </c>
      <c r="D782" t="s">
        <v>266</v>
      </c>
      <c r="E782" t="s">
        <v>154</v>
      </c>
      <c r="F782">
        <v>32</v>
      </c>
      <c r="G782">
        <v>30</v>
      </c>
      <c r="M782" t="s">
        <v>169</v>
      </c>
    </row>
    <row r="783" spans="1:13" hidden="1" x14ac:dyDescent="0.3">
      <c r="A783" t="s">
        <v>106</v>
      </c>
      <c r="B783" t="s">
        <v>411</v>
      </c>
      <c r="C783" t="s">
        <v>392</v>
      </c>
      <c r="D783" t="s">
        <v>266</v>
      </c>
      <c r="E783" t="s">
        <v>154</v>
      </c>
      <c r="F783">
        <v>29</v>
      </c>
      <c r="G783">
        <v>30</v>
      </c>
      <c r="M783" t="s">
        <v>169</v>
      </c>
    </row>
    <row r="784" spans="1:13" hidden="1" x14ac:dyDescent="0.3">
      <c r="A784" t="s">
        <v>106</v>
      </c>
      <c r="B784" t="s">
        <v>411</v>
      </c>
      <c r="C784" t="s">
        <v>143</v>
      </c>
      <c r="D784" t="s">
        <v>266</v>
      </c>
      <c r="E784" t="s">
        <v>154</v>
      </c>
      <c r="F784">
        <v>1500</v>
      </c>
      <c r="G784">
        <v>1500</v>
      </c>
      <c r="L784">
        <v>32000</v>
      </c>
    </row>
    <row r="785" spans="1:13" hidden="1" x14ac:dyDescent="0.3">
      <c r="A785" t="s">
        <v>106</v>
      </c>
      <c r="B785" t="s">
        <v>411</v>
      </c>
      <c r="C785" t="s">
        <v>413</v>
      </c>
      <c r="D785" t="s">
        <v>266</v>
      </c>
      <c r="E785" t="s">
        <v>154</v>
      </c>
      <c r="F785">
        <v>38</v>
      </c>
      <c r="G785">
        <v>40</v>
      </c>
      <c r="M785" t="s">
        <v>169</v>
      </c>
    </row>
    <row r="786" spans="1:13" hidden="1" x14ac:dyDescent="0.3">
      <c r="A786" t="s">
        <v>106</v>
      </c>
      <c r="B786" t="s">
        <v>411</v>
      </c>
      <c r="C786" t="s">
        <v>196</v>
      </c>
      <c r="D786" t="s">
        <v>266</v>
      </c>
      <c r="E786" t="s">
        <v>154</v>
      </c>
      <c r="F786">
        <v>840</v>
      </c>
      <c r="G786">
        <v>850</v>
      </c>
      <c r="L786">
        <v>180000</v>
      </c>
    </row>
    <row r="787" spans="1:13" hidden="1" x14ac:dyDescent="0.3">
      <c r="A787" t="s">
        <v>106</v>
      </c>
      <c r="B787" t="s">
        <v>411</v>
      </c>
      <c r="C787" t="s">
        <v>414</v>
      </c>
      <c r="D787" t="s">
        <v>266</v>
      </c>
      <c r="E787" t="s">
        <v>154</v>
      </c>
      <c r="F787">
        <v>77</v>
      </c>
      <c r="G787">
        <v>80</v>
      </c>
      <c r="H787" t="s">
        <v>415</v>
      </c>
      <c r="M787" t="s">
        <v>169</v>
      </c>
    </row>
    <row r="788" spans="1:13" hidden="1" x14ac:dyDescent="0.3">
      <c r="A788" t="s">
        <v>106</v>
      </c>
      <c r="B788" t="s">
        <v>411</v>
      </c>
      <c r="C788" t="s">
        <v>148</v>
      </c>
      <c r="D788" t="s">
        <v>266</v>
      </c>
      <c r="E788" t="s">
        <v>154</v>
      </c>
      <c r="F788">
        <v>29</v>
      </c>
      <c r="G788">
        <v>30</v>
      </c>
      <c r="H788" t="s">
        <v>415</v>
      </c>
      <c r="M788" t="s">
        <v>169</v>
      </c>
    </row>
    <row r="789" spans="1:13" hidden="1" x14ac:dyDescent="0.3">
      <c r="A789" t="s">
        <v>106</v>
      </c>
      <c r="B789" t="s">
        <v>411</v>
      </c>
      <c r="C789" t="s">
        <v>416</v>
      </c>
      <c r="D789" t="s">
        <v>266</v>
      </c>
      <c r="E789" t="s">
        <v>154</v>
      </c>
      <c r="F789">
        <v>18</v>
      </c>
      <c r="G789">
        <v>20</v>
      </c>
      <c r="M789" t="s">
        <v>169</v>
      </c>
    </row>
    <row r="790" spans="1:13" hidden="1" x14ac:dyDescent="0.3">
      <c r="A790" t="s">
        <v>106</v>
      </c>
      <c r="B790" t="s">
        <v>411</v>
      </c>
      <c r="C790" t="s">
        <v>273</v>
      </c>
      <c r="D790" t="s">
        <v>266</v>
      </c>
      <c r="E790" t="s">
        <v>154</v>
      </c>
      <c r="F790">
        <v>18</v>
      </c>
      <c r="G790">
        <v>20</v>
      </c>
      <c r="M790" t="s">
        <v>169</v>
      </c>
    </row>
    <row r="791" spans="1:13" hidden="1" x14ac:dyDescent="0.3">
      <c r="A791" t="s">
        <v>106</v>
      </c>
      <c r="B791" t="s">
        <v>411</v>
      </c>
      <c r="C791" t="s">
        <v>371</v>
      </c>
      <c r="D791" t="s">
        <v>266</v>
      </c>
      <c r="E791" t="s">
        <v>154</v>
      </c>
      <c r="F791">
        <v>39</v>
      </c>
      <c r="G791">
        <v>40</v>
      </c>
      <c r="L791">
        <v>30000</v>
      </c>
    </row>
    <row r="792" spans="1:13" hidden="1" x14ac:dyDescent="0.3">
      <c r="A792" t="s">
        <v>106</v>
      </c>
      <c r="B792" t="s">
        <v>411</v>
      </c>
      <c r="C792" t="s">
        <v>417</v>
      </c>
      <c r="D792" t="s">
        <v>266</v>
      </c>
      <c r="E792" t="s">
        <v>154</v>
      </c>
      <c r="F792">
        <v>11</v>
      </c>
      <c r="G792">
        <v>10</v>
      </c>
      <c r="M792" t="s">
        <v>169</v>
      </c>
    </row>
    <row r="793" spans="1:13" hidden="1" x14ac:dyDescent="0.3">
      <c r="A793" t="s">
        <v>106</v>
      </c>
      <c r="B793" t="s">
        <v>411</v>
      </c>
      <c r="C793" t="s">
        <v>176</v>
      </c>
      <c r="D793" t="s">
        <v>266</v>
      </c>
      <c r="E793" t="s">
        <v>154</v>
      </c>
      <c r="F793">
        <v>1170</v>
      </c>
      <c r="G793">
        <v>1200</v>
      </c>
      <c r="H793" t="s">
        <v>415</v>
      </c>
      <c r="M793" t="s">
        <v>169</v>
      </c>
    </row>
    <row r="794" spans="1:13" hidden="1" x14ac:dyDescent="0.3">
      <c r="A794" t="s">
        <v>106</v>
      </c>
      <c r="B794" t="s">
        <v>411</v>
      </c>
      <c r="C794" t="s">
        <v>151</v>
      </c>
      <c r="D794" t="s">
        <v>266</v>
      </c>
      <c r="E794" t="s">
        <v>154</v>
      </c>
      <c r="F794">
        <v>19</v>
      </c>
      <c r="G794">
        <v>20</v>
      </c>
      <c r="M794" t="s">
        <v>169</v>
      </c>
    </row>
    <row r="795" spans="1:13" x14ac:dyDescent="0.3">
      <c r="A795" t="s">
        <v>106</v>
      </c>
      <c r="B795" t="s">
        <v>411</v>
      </c>
      <c r="C795" t="s">
        <v>152</v>
      </c>
      <c r="D795" t="s">
        <v>266</v>
      </c>
      <c r="E795" t="s">
        <v>154</v>
      </c>
      <c r="F795" s="3">
        <v>4230</v>
      </c>
      <c r="G795" s="3">
        <v>4300</v>
      </c>
      <c r="M795" t="s">
        <v>169</v>
      </c>
    </row>
    <row r="796" spans="1:13" hidden="1" x14ac:dyDescent="0.3">
      <c r="A796" t="s">
        <v>106</v>
      </c>
      <c r="B796" t="s">
        <v>418</v>
      </c>
      <c r="C796" t="s">
        <v>134</v>
      </c>
      <c r="D796" t="s">
        <v>419</v>
      </c>
      <c r="E796" t="s">
        <v>154</v>
      </c>
      <c r="F796">
        <v>19600</v>
      </c>
      <c r="G796">
        <v>20000</v>
      </c>
      <c r="L796">
        <v>1000000</v>
      </c>
    </row>
    <row r="797" spans="1:13" hidden="1" x14ac:dyDescent="0.3">
      <c r="A797" t="s">
        <v>106</v>
      </c>
      <c r="B797" t="s">
        <v>418</v>
      </c>
      <c r="C797" t="s">
        <v>317</v>
      </c>
      <c r="D797" t="s">
        <v>419</v>
      </c>
      <c r="E797" t="s">
        <v>154</v>
      </c>
      <c r="F797">
        <v>2000</v>
      </c>
      <c r="G797">
        <v>2000</v>
      </c>
      <c r="L797">
        <v>2200000</v>
      </c>
    </row>
    <row r="798" spans="1:13" hidden="1" x14ac:dyDescent="0.3">
      <c r="A798" t="s">
        <v>106</v>
      </c>
      <c r="B798" t="s">
        <v>418</v>
      </c>
      <c r="C798" t="s">
        <v>140</v>
      </c>
      <c r="D798" t="s">
        <v>419</v>
      </c>
      <c r="E798" t="s">
        <v>154</v>
      </c>
      <c r="F798">
        <v>2500</v>
      </c>
      <c r="G798">
        <v>2500</v>
      </c>
      <c r="L798">
        <v>1100000</v>
      </c>
    </row>
    <row r="799" spans="1:13" hidden="1" x14ac:dyDescent="0.3">
      <c r="A799" t="s">
        <v>106</v>
      </c>
      <c r="B799" t="s">
        <v>418</v>
      </c>
      <c r="C799" t="s">
        <v>142</v>
      </c>
      <c r="D799" t="s">
        <v>419</v>
      </c>
      <c r="E799" t="s">
        <v>154</v>
      </c>
      <c r="F799">
        <v>5280</v>
      </c>
      <c r="G799">
        <v>5300</v>
      </c>
      <c r="L799">
        <v>1600000</v>
      </c>
    </row>
    <row r="800" spans="1:13" hidden="1" x14ac:dyDescent="0.3">
      <c r="A800" t="s">
        <v>106</v>
      </c>
      <c r="B800" t="s">
        <v>418</v>
      </c>
      <c r="C800" t="s">
        <v>143</v>
      </c>
      <c r="D800" t="s">
        <v>419</v>
      </c>
      <c r="E800" t="s">
        <v>154</v>
      </c>
      <c r="F800">
        <v>105000</v>
      </c>
      <c r="G800">
        <v>110000</v>
      </c>
      <c r="L800">
        <v>3700000</v>
      </c>
    </row>
    <row r="801" spans="1:12" hidden="1" x14ac:dyDescent="0.3">
      <c r="A801" t="s">
        <v>106</v>
      </c>
      <c r="B801" t="s">
        <v>418</v>
      </c>
      <c r="C801" t="s">
        <v>246</v>
      </c>
      <c r="D801" t="s">
        <v>419</v>
      </c>
      <c r="E801" t="s">
        <v>154</v>
      </c>
      <c r="F801">
        <v>5000</v>
      </c>
      <c r="G801">
        <v>5000</v>
      </c>
      <c r="L801">
        <v>2800000</v>
      </c>
    </row>
    <row r="802" spans="1:12" hidden="1" x14ac:dyDescent="0.3">
      <c r="A802" t="s">
        <v>106</v>
      </c>
      <c r="B802" t="s">
        <v>418</v>
      </c>
      <c r="C802" t="s">
        <v>251</v>
      </c>
      <c r="D802" t="s">
        <v>419</v>
      </c>
      <c r="E802" t="s">
        <v>154</v>
      </c>
      <c r="F802">
        <v>906</v>
      </c>
      <c r="G802">
        <v>900</v>
      </c>
      <c r="L802">
        <v>1000000</v>
      </c>
    </row>
    <row r="803" spans="1:12" hidden="1" x14ac:dyDescent="0.3">
      <c r="A803" t="s">
        <v>106</v>
      </c>
      <c r="B803" t="s">
        <v>418</v>
      </c>
      <c r="C803" t="s">
        <v>146</v>
      </c>
      <c r="D803" t="s">
        <v>419</v>
      </c>
      <c r="E803" t="s">
        <v>154</v>
      </c>
      <c r="F803">
        <v>1800</v>
      </c>
      <c r="G803">
        <v>1600</v>
      </c>
      <c r="L803">
        <v>31000</v>
      </c>
    </row>
    <row r="804" spans="1:12" hidden="1" x14ac:dyDescent="0.3">
      <c r="A804" t="s">
        <v>106</v>
      </c>
      <c r="B804" t="s">
        <v>418</v>
      </c>
      <c r="C804" t="s">
        <v>233</v>
      </c>
      <c r="D804" t="s">
        <v>419</v>
      </c>
      <c r="E804" t="s">
        <v>154</v>
      </c>
      <c r="F804">
        <v>2310</v>
      </c>
      <c r="G804">
        <v>2300</v>
      </c>
      <c r="L804">
        <v>60000</v>
      </c>
    </row>
    <row r="805" spans="1:12" hidden="1" x14ac:dyDescent="0.3">
      <c r="A805" t="s">
        <v>106</v>
      </c>
      <c r="B805" t="s">
        <v>418</v>
      </c>
      <c r="C805" t="s">
        <v>234</v>
      </c>
      <c r="D805" t="s">
        <v>419</v>
      </c>
      <c r="E805" t="s">
        <v>154</v>
      </c>
      <c r="F805">
        <v>11500</v>
      </c>
      <c r="G805">
        <v>12000</v>
      </c>
      <c r="L805">
        <v>1000000</v>
      </c>
    </row>
    <row r="806" spans="1:12" hidden="1" x14ac:dyDescent="0.3">
      <c r="A806" t="s">
        <v>106</v>
      </c>
      <c r="B806" t="s">
        <v>418</v>
      </c>
      <c r="C806" t="s">
        <v>171</v>
      </c>
      <c r="D806" t="s">
        <v>419</v>
      </c>
      <c r="E806" t="s">
        <v>154</v>
      </c>
      <c r="F806">
        <v>1500</v>
      </c>
      <c r="G806">
        <v>1700</v>
      </c>
      <c r="L806">
        <v>260000</v>
      </c>
    </row>
    <row r="807" spans="1:12" hidden="1" x14ac:dyDescent="0.3">
      <c r="A807" t="s">
        <v>106</v>
      </c>
      <c r="B807" t="s">
        <v>418</v>
      </c>
      <c r="C807" t="s">
        <v>148</v>
      </c>
      <c r="D807" t="s">
        <v>419</v>
      </c>
      <c r="E807" t="s">
        <v>154</v>
      </c>
      <c r="F807">
        <v>439</v>
      </c>
      <c r="G807">
        <v>360</v>
      </c>
      <c r="L807">
        <v>30000</v>
      </c>
    </row>
    <row r="808" spans="1:12" hidden="1" x14ac:dyDescent="0.3">
      <c r="A808" t="s">
        <v>106</v>
      </c>
      <c r="B808" t="s">
        <v>418</v>
      </c>
      <c r="C808" t="s">
        <v>181</v>
      </c>
      <c r="D808" t="s">
        <v>419</v>
      </c>
      <c r="E808" t="s">
        <v>154</v>
      </c>
      <c r="F808">
        <v>33000</v>
      </c>
      <c r="G808">
        <v>30000</v>
      </c>
      <c r="L808">
        <v>50000000</v>
      </c>
    </row>
    <row r="809" spans="1:12" hidden="1" x14ac:dyDescent="0.3">
      <c r="A809" t="s">
        <v>106</v>
      </c>
      <c r="B809" t="s">
        <v>418</v>
      </c>
      <c r="C809" t="s">
        <v>182</v>
      </c>
      <c r="D809" t="s">
        <v>419</v>
      </c>
      <c r="E809" t="s">
        <v>154</v>
      </c>
      <c r="F809">
        <v>4700</v>
      </c>
      <c r="G809">
        <v>5000</v>
      </c>
      <c r="L809">
        <v>210000</v>
      </c>
    </row>
    <row r="810" spans="1:12" hidden="1" x14ac:dyDescent="0.3">
      <c r="A810" t="s">
        <v>106</v>
      </c>
      <c r="B810" t="s">
        <v>418</v>
      </c>
      <c r="C810" t="s">
        <v>160</v>
      </c>
      <c r="D810" t="s">
        <v>419</v>
      </c>
      <c r="E810" t="s">
        <v>154</v>
      </c>
      <c r="F810">
        <v>13000</v>
      </c>
      <c r="G810">
        <v>14000</v>
      </c>
      <c r="L810">
        <v>2400000</v>
      </c>
    </row>
    <row r="811" spans="1:12" hidden="1" x14ac:dyDescent="0.3">
      <c r="A811" t="s">
        <v>106</v>
      </c>
      <c r="B811" t="s">
        <v>418</v>
      </c>
      <c r="C811" t="s">
        <v>201</v>
      </c>
      <c r="D811" t="s">
        <v>419</v>
      </c>
      <c r="E811" t="s">
        <v>154</v>
      </c>
      <c r="F811">
        <v>9900</v>
      </c>
      <c r="G811">
        <v>9500</v>
      </c>
      <c r="L811">
        <v>1000000</v>
      </c>
    </row>
    <row r="812" spans="1:12" hidden="1" x14ac:dyDescent="0.3">
      <c r="A812" t="s">
        <v>106</v>
      </c>
      <c r="B812" t="s">
        <v>418</v>
      </c>
      <c r="C812" t="s">
        <v>261</v>
      </c>
      <c r="D812" t="s">
        <v>419</v>
      </c>
      <c r="E812" t="s">
        <v>154</v>
      </c>
      <c r="F812">
        <v>2400</v>
      </c>
      <c r="G812">
        <v>2500</v>
      </c>
      <c r="L812">
        <v>50000</v>
      </c>
    </row>
    <row r="813" spans="1:12" hidden="1" x14ac:dyDescent="0.3">
      <c r="A813" t="s">
        <v>106</v>
      </c>
      <c r="B813" t="s">
        <v>418</v>
      </c>
      <c r="C813" t="s">
        <v>252</v>
      </c>
      <c r="D813" t="s">
        <v>419</v>
      </c>
      <c r="E813" t="s">
        <v>154</v>
      </c>
      <c r="F813">
        <v>1720</v>
      </c>
      <c r="G813">
        <v>2200</v>
      </c>
      <c r="L813">
        <v>1500000</v>
      </c>
    </row>
    <row r="814" spans="1:12" hidden="1" x14ac:dyDescent="0.3">
      <c r="A814" t="s">
        <v>106</v>
      </c>
      <c r="B814" t="s">
        <v>418</v>
      </c>
      <c r="C814" t="s">
        <v>420</v>
      </c>
      <c r="D814" t="s">
        <v>419</v>
      </c>
      <c r="E814" t="s">
        <v>154</v>
      </c>
      <c r="F814">
        <v>800</v>
      </c>
      <c r="G814">
        <v>2000</v>
      </c>
      <c r="L814">
        <v>250000</v>
      </c>
    </row>
    <row r="815" spans="1:12" hidden="1" x14ac:dyDescent="0.3">
      <c r="A815" t="s">
        <v>106</v>
      </c>
      <c r="B815" t="s">
        <v>418</v>
      </c>
      <c r="C815" t="s">
        <v>421</v>
      </c>
      <c r="D815" t="s">
        <v>419</v>
      </c>
      <c r="E815" t="s">
        <v>154</v>
      </c>
      <c r="F815">
        <v>1610</v>
      </c>
      <c r="G815">
        <v>1500</v>
      </c>
      <c r="L815">
        <v>30000</v>
      </c>
    </row>
    <row r="816" spans="1:12" hidden="1" x14ac:dyDescent="0.3">
      <c r="A816" t="s">
        <v>106</v>
      </c>
      <c r="B816" t="s">
        <v>418</v>
      </c>
      <c r="C816" t="s">
        <v>422</v>
      </c>
      <c r="D816" t="s">
        <v>419</v>
      </c>
      <c r="E816" t="s">
        <v>154</v>
      </c>
      <c r="F816">
        <v>3600</v>
      </c>
      <c r="G816">
        <v>3300</v>
      </c>
      <c r="L816">
        <v>2500000</v>
      </c>
    </row>
    <row r="817" spans="1:13" hidden="1" x14ac:dyDescent="0.3">
      <c r="A817" t="s">
        <v>106</v>
      </c>
      <c r="B817" t="s">
        <v>418</v>
      </c>
      <c r="C817" t="s">
        <v>176</v>
      </c>
      <c r="D817" t="s">
        <v>419</v>
      </c>
      <c r="E817" t="s">
        <v>154</v>
      </c>
      <c r="F817">
        <v>960</v>
      </c>
      <c r="G817">
        <v>800</v>
      </c>
      <c r="L817">
        <v>71000</v>
      </c>
    </row>
    <row r="818" spans="1:13" hidden="1" x14ac:dyDescent="0.3">
      <c r="A818" t="s">
        <v>106</v>
      </c>
      <c r="B818" t="s">
        <v>418</v>
      </c>
      <c r="C818" t="s">
        <v>242</v>
      </c>
      <c r="D818" t="s">
        <v>419</v>
      </c>
      <c r="E818" t="s">
        <v>154</v>
      </c>
      <c r="F818">
        <v>800</v>
      </c>
      <c r="G818">
        <v>900</v>
      </c>
      <c r="L818">
        <v>100000</v>
      </c>
    </row>
    <row r="819" spans="1:13" hidden="1" x14ac:dyDescent="0.3">
      <c r="A819" t="s">
        <v>106</v>
      </c>
      <c r="B819" t="s">
        <v>418</v>
      </c>
      <c r="C819" t="s">
        <v>177</v>
      </c>
      <c r="D819" t="s">
        <v>419</v>
      </c>
      <c r="E819" t="s">
        <v>154</v>
      </c>
      <c r="F819">
        <v>2500</v>
      </c>
      <c r="G819">
        <v>2600</v>
      </c>
      <c r="L819">
        <v>30000</v>
      </c>
    </row>
    <row r="820" spans="1:13" hidden="1" x14ac:dyDescent="0.3">
      <c r="A820" t="s">
        <v>106</v>
      </c>
      <c r="B820" t="s">
        <v>418</v>
      </c>
      <c r="C820" t="s">
        <v>151</v>
      </c>
      <c r="D820" t="s">
        <v>419</v>
      </c>
      <c r="E820" t="s">
        <v>154</v>
      </c>
      <c r="F820">
        <v>730</v>
      </c>
      <c r="G820">
        <v>770</v>
      </c>
      <c r="L820">
        <v>800000</v>
      </c>
    </row>
    <row r="821" spans="1:13" x14ac:dyDescent="0.3">
      <c r="A821" t="s">
        <v>106</v>
      </c>
      <c r="B821" t="s">
        <v>418</v>
      </c>
      <c r="C821" t="s">
        <v>152</v>
      </c>
      <c r="D821" t="s">
        <v>419</v>
      </c>
      <c r="E821" t="s">
        <v>154</v>
      </c>
      <c r="F821" s="3">
        <v>233000</v>
      </c>
      <c r="G821" s="3">
        <v>240000</v>
      </c>
      <c r="L821">
        <v>74000000</v>
      </c>
    </row>
    <row r="822" spans="1:13" hidden="1" x14ac:dyDescent="0.3">
      <c r="A822" t="s">
        <v>106</v>
      </c>
      <c r="B822" t="s">
        <v>423</v>
      </c>
      <c r="C822" t="s">
        <v>134</v>
      </c>
      <c r="D822" t="s">
        <v>424</v>
      </c>
      <c r="E822" t="s">
        <v>291</v>
      </c>
      <c r="F822">
        <v>10300</v>
      </c>
      <c r="G822">
        <v>8000</v>
      </c>
      <c r="L822">
        <v>820000</v>
      </c>
    </row>
    <row r="823" spans="1:13" hidden="1" x14ac:dyDescent="0.3">
      <c r="A823" t="s">
        <v>106</v>
      </c>
      <c r="B823" t="s">
        <v>423</v>
      </c>
      <c r="C823" t="s">
        <v>156</v>
      </c>
      <c r="D823" t="s">
        <v>424</v>
      </c>
      <c r="E823" t="s">
        <v>291</v>
      </c>
      <c r="F823">
        <v>16100</v>
      </c>
      <c r="G823">
        <v>15000</v>
      </c>
      <c r="L823">
        <v>310000</v>
      </c>
    </row>
    <row r="824" spans="1:13" hidden="1" x14ac:dyDescent="0.3">
      <c r="A824" t="s">
        <v>106</v>
      </c>
      <c r="B824" t="s">
        <v>423</v>
      </c>
      <c r="C824" t="s">
        <v>160</v>
      </c>
      <c r="D824" t="s">
        <v>424</v>
      </c>
      <c r="E824" t="s">
        <v>291</v>
      </c>
      <c r="F824">
        <v>87000</v>
      </c>
      <c r="G824">
        <v>75000</v>
      </c>
      <c r="L824">
        <v>16000000</v>
      </c>
      <c r="M824" t="s">
        <v>425</v>
      </c>
    </row>
    <row r="825" spans="1:13" hidden="1" x14ac:dyDescent="0.3">
      <c r="A825" t="s">
        <v>106</v>
      </c>
      <c r="B825" t="s">
        <v>423</v>
      </c>
      <c r="C825" t="s">
        <v>252</v>
      </c>
      <c r="D825" t="s">
        <v>424</v>
      </c>
      <c r="E825" t="s">
        <v>291</v>
      </c>
      <c r="F825">
        <v>74900</v>
      </c>
      <c r="G825">
        <v>72000</v>
      </c>
      <c r="L825">
        <v>63000000</v>
      </c>
    </row>
    <row r="826" spans="1:13" hidden="1" x14ac:dyDescent="0.3">
      <c r="A826" t="s">
        <v>106</v>
      </c>
      <c r="B826" t="s">
        <v>423</v>
      </c>
      <c r="C826" t="s">
        <v>253</v>
      </c>
      <c r="D826" t="s">
        <v>424</v>
      </c>
      <c r="E826" t="s">
        <v>291</v>
      </c>
      <c r="F826">
        <v>15900</v>
      </c>
      <c r="G826">
        <v>15000</v>
      </c>
      <c r="L826">
        <v>1200000</v>
      </c>
    </row>
    <row r="827" spans="1:13" hidden="1" x14ac:dyDescent="0.3">
      <c r="A827" t="s">
        <v>106</v>
      </c>
      <c r="B827" t="s">
        <v>423</v>
      </c>
      <c r="C827" t="s">
        <v>151</v>
      </c>
      <c r="D827" t="s">
        <v>424</v>
      </c>
      <c r="E827" t="s">
        <v>291</v>
      </c>
      <c r="F827">
        <v>4200</v>
      </c>
      <c r="G827">
        <v>4200</v>
      </c>
    </row>
    <row r="828" spans="1:13" x14ac:dyDescent="0.3">
      <c r="A828" t="s">
        <v>106</v>
      </c>
      <c r="B828" t="s">
        <v>423</v>
      </c>
      <c r="C828" t="s">
        <v>152</v>
      </c>
      <c r="D828" t="s">
        <v>424</v>
      </c>
      <c r="E828" t="s">
        <v>291</v>
      </c>
      <c r="F828" s="3">
        <v>208000</v>
      </c>
      <c r="G828" s="3">
        <v>190000</v>
      </c>
      <c r="L828">
        <v>81000000</v>
      </c>
    </row>
    <row r="829" spans="1:13" hidden="1" x14ac:dyDescent="0.3">
      <c r="A829" t="s">
        <v>106</v>
      </c>
      <c r="B829" t="s">
        <v>423</v>
      </c>
      <c r="C829" t="s">
        <v>134</v>
      </c>
      <c r="D829" t="s">
        <v>426</v>
      </c>
      <c r="E829" t="s">
        <v>291</v>
      </c>
      <c r="F829">
        <v>3040</v>
      </c>
      <c r="G829">
        <v>2000</v>
      </c>
    </row>
    <row r="830" spans="1:13" hidden="1" x14ac:dyDescent="0.3">
      <c r="A830" t="s">
        <v>106</v>
      </c>
      <c r="B830" t="s">
        <v>423</v>
      </c>
      <c r="C830" t="s">
        <v>156</v>
      </c>
      <c r="D830" t="s">
        <v>426</v>
      </c>
      <c r="E830" t="s">
        <v>291</v>
      </c>
      <c r="F830">
        <v>5170</v>
      </c>
      <c r="G830">
        <v>5200</v>
      </c>
    </row>
    <row r="831" spans="1:13" hidden="1" x14ac:dyDescent="0.3">
      <c r="A831" t="s">
        <v>106</v>
      </c>
      <c r="B831" t="s">
        <v>423</v>
      </c>
      <c r="C831" t="s">
        <v>160</v>
      </c>
      <c r="D831" t="s">
        <v>426</v>
      </c>
      <c r="E831" t="s">
        <v>291</v>
      </c>
      <c r="F831">
        <v>21000</v>
      </c>
      <c r="G831">
        <v>18000</v>
      </c>
    </row>
    <row r="832" spans="1:13" hidden="1" x14ac:dyDescent="0.3">
      <c r="A832" t="s">
        <v>106</v>
      </c>
      <c r="B832" t="s">
        <v>423</v>
      </c>
      <c r="C832" t="s">
        <v>252</v>
      </c>
      <c r="D832" t="s">
        <v>426</v>
      </c>
      <c r="E832" t="s">
        <v>291</v>
      </c>
      <c r="F832">
        <v>125000</v>
      </c>
      <c r="G832">
        <v>120000</v>
      </c>
    </row>
    <row r="833" spans="1:13" hidden="1" x14ac:dyDescent="0.3">
      <c r="A833" t="s">
        <v>106</v>
      </c>
      <c r="B833" t="s">
        <v>423</v>
      </c>
      <c r="C833" t="s">
        <v>253</v>
      </c>
      <c r="D833" t="s">
        <v>426</v>
      </c>
      <c r="E833" t="s">
        <v>291</v>
      </c>
      <c r="F833">
        <v>19200</v>
      </c>
      <c r="G833">
        <v>19000</v>
      </c>
    </row>
    <row r="834" spans="1:13" hidden="1" x14ac:dyDescent="0.3">
      <c r="A834" t="s">
        <v>106</v>
      </c>
      <c r="B834" t="s">
        <v>423</v>
      </c>
      <c r="C834" t="s">
        <v>151</v>
      </c>
      <c r="D834" t="s">
        <v>426</v>
      </c>
      <c r="E834" t="s">
        <v>291</v>
      </c>
      <c r="F834">
        <v>5710</v>
      </c>
      <c r="G834">
        <v>4600</v>
      </c>
    </row>
    <row r="835" spans="1:13" x14ac:dyDescent="0.3">
      <c r="A835" t="s">
        <v>106</v>
      </c>
      <c r="B835" t="s">
        <v>423</v>
      </c>
      <c r="C835" t="s">
        <v>152</v>
      </c>
      <c r="D835" t="s">
        <v>426</v>
      </c>
      <c r="E835" t="s">
        <v>291</v>
      </c>
      <c r="F835" s="3">
        <v>179000</v>
      </c>
      <c r="G835" s="3">
        <v>170000</v>
      </c>
    </row>
    <row r="836" spans="1:13" hidden="1" x14ac:dyDescent="0.3">
      <c r="A836" t="s">
        <v>106</v>
      </c>
      <c r="B836" t="s">
        <v>427</v>
      </c>
      <c r="C836" t="s">
        <v>134</v>
      </c>
      <c r="D836" t="s">
        <v>428</v>
      </c>
      <c r="E836" t="s">
        <v>154</v>
      </c>
      <c r="F836">
        <v>390</v>
      </c>
      <c r="G836">
        <v>420</v>
      </c>
      <c r="L836">
        <v>220000</v>
      </c>
    </row>
    <row r="837" spans="1:13" hidden="1" x14ac:dyDescent="0.3">
      <c r="A837" t="s">
        <v>106</v>
      </c>
      <c r="B837" t="s">
        <v>427</v>
      </c>
      <c r="C837" t="s">
        <v>406</v>
      </c>
      <c r="D837" t="s">
        <v>428</v>
      </c>
      <c r="E837" t="s">
        <v>154</v>
      </c>
      <c r="F837">
        <v>4500</v>
      </c>
      <c r="G837">
        <v>7000</v>
      </c>
      <c r="L837">
        <v>750000</v>
      </c>
    </row>
    <row r="838" spans="1:13" hidden="1" x14ac:dyDescent="0.3">
      <c r="A838" t="s">
        <v>106</v>
      </c>
      <c r="B838" t="s">
        <v>427</v>
      </c>
      <c r="C838" t="s">
        <v>142</v>
      </c>
      <c r="D838" t="s">
        <v>428</v>
      </c>
      <c r="E838" t="s">
        <v>154</v>
      </c>
      <c r="F838">
        <v>300</v>
      </c>
      <c r="G838">
        <v>360</v>
      </c>
      <c r="L838">
        <v>2300</v>
      </c>
    </row>
    <row r="839" spans="1:13" hidden="1" x14ac:dyDescent="0.3">
      <c r="A839" t="s">
        <v>106</v>
      </c>
      <c r="B839" t="s">
        <v>427</v>
      </c>
      <c r="C839" t="s">
        <v>156</v>
      </c>
      <c r="D839" t="s">
        <v>428</v>
      </c>
      <c r="E839" t="s">
        <v>154</v>
      </c>
      <c r="F839">
        <v>13500</v>
      </c>
      <c r="G839">
        <v>15000</v>
      </c>
      <c r="L839">
        <v>1100000</v>
      </c>
    </row>
    <row r="840" spans="1:13" hidden="1" x14ac:dyDescent="0.3">
      <c r="A840" t="s">
        <v>106</v>
      </c>
      <c r="B840" t="s">
        <v>427</v>
      </c>
      <c r="C840" t="s">
        <v>221</v>
      </c>
      <c r="D840" t="s">
        <v>428</v>
      </c>
      <c r="E840" t="s">
        <v>154</v>
      </c>
      <c r="F840">
        <v>600</v>
      </c>
      <c r="G840">
        <v>750</v>
      </c>
      <c r="L840">
        <v>100000</v>
      </c>
    </row>
    <row r="841" spans="1:13" hidden="1" x14ac:dyDescent="0.3">
      <c r="A841" t="s">
        <v>106</v>
      </c>
      <c r="B841" t="s">
        <v>427</v>
      </c>
      <c r="C841" t="s">
        <v>143</v>
      </c>
      <c r="D841" t="s">
        <v>428</v>
      </c>
      <c r="E841" t="s">
        <v>154</v>
      </c>
      <c r="F841">
        <v>6000</v>
      </c>
      <c r="G841">
        <v>6300</v>
      </c>
      <c r="L841">
        <v>180000</v>
      </c>
    </row>
    <row r="842" spans="1:13" hidden="1" x14ac:dyDescent="0.3">
      <c r="A842" t="s">
        <v>106</v>
      </c>
      <c r="B842" t="s">
        <v>427</v>
      </c>
      <c r="C842" t="s">
        <v>145</v>
      </c>
      <c r="D842" t="s">
        <v>428</v>
      </c>
      <c r="E842" t="s">
        <v>154</v>
      </c>
      <c r="F842">
        <v>2700</v>
      </c>
      <c r="G842">
        <v>3000</v>
      </c>
      <c r="L842">
        <v>150000</v>
      </c>
    </row>
    <row r="843" spans="1:13" hidden="1" x14ac:dyDescent="0.3">
      <c r="A843" t="s">
        <v>106</v>
      </c>
      <c r="B843" t="s">
        <v>427</v>
      </c>
      <c r="C843" t="s">
        <v>233</v>
      </c>
      <c r="D843" t="s">
        <v>428</v>
      </c>
      <c r="E843" t="s">
        <v>154</v>
      </c>
      <c r="F843">
        <v>2330</v>
      </c>
      <c r="G843">
        <v>2400</v>
      </c>
      <c r="M843" t="s">
        <v>187</v>
      </c>
    </row>
    <row r="844" spans="1:13" hidden="1" x14ac:dyDescent="0.3">
      <c r="A844" t="s">
        <v>106</v>
      </c>
      <c r="B844" t="s">
        <v>427</v>
      </c>
      <c r="C844" t="s">
        <v>234</v>
      </c>
      <c r="D844" t="s">
        <v>428</v>
      </c>
      <c r="E844" t="s">
        <v>154</v>
      </c>
      <c r="F844">
        <v>1700</v>
      </c>
      <c r="G844">
        <v>1800</v>
      </c>
      <c r="M844" t="s">
        <v>187</v>
      </c>
    </row>
    <row r="845" spans="1:13" hidden="1" x14ac:dyDescent="0.3">
      <c r="A845" t="s">
        <v>106</v>
      </c>
      <c r="B845" t="s">
        <v>427</v>
      </c>
      <c r="C845" t="s">
        <v>173</v>
      </c>
      <c r="D845" t="s">
        <v>428</v>
      </c>
      <c r="E845" t="s">
        <v>154</v>
      </c>
      <c r="F845">
        <v>1500</v>
      </c>
      <c r="G845">
        <v>1500</v>
      </c>
      <c r="L845">
        <v>1000000</v>
      </c>
    </row>
    <row r="846" spans="1:13" hidden="1" x14ac:dyDescent="0.3">
      <c r="A846" t="s">
        <v>106</v>
      </c>
      <c r="B846" t="s">
        <v>427</v>
      </c>
      <c r="C846" t="s">
        <v>160</v>
      </c>
      <c r="D846" t="s">
        <v>428</v>
      </c>
      <c r="E846" t="s">
        <v>154</v>
      </c>
      <c r="F846">
        <v>9000</v>
      </c>
      <c r="G846">
        <v>9000</v>
      </c>
      <c r="L846">
        <v>920000</v>
      </c>
    </row>
    <row r="847" spans="1:13" hidden="1" x14ac:dyDescent="0.3">
      <c r="A847" t="s">
        <v>106</v>
      </c>
      <c r="B847" t="s">
        <v>427</v>
      </c>
      <c r="C847" t="s">
        <v>202</v>
      </c>
      <c r="D847" t="s">
        <v>428</v>
      </c>
      <c r="E847" t="s">
        <v>154</v>
      </c>
      <c r="F847">
        <v>367</v>
      </c>
      <c r="G847">
        <v>400</v>
      </c>
      <c r="L847">
        <v>100000</v>
      </c>
    </row>
    <row r="848" spans="1:13" hidden="1" x14ac:dyDescent="0.3">
      <c r="A848" t="s">
        <v>106</v>
      </c>
      <c r="B848" t="s">
        <v>427</v>
      </c>
      <c r="C848" t="s">
        <v>151</v>
      </c>
      <c r="D848" t="s">
        <v>428</v>
      </c>
      <c r="E848" t="s">
        <v>154</v>
      </c>
      <c r="F848">
        <v>435</v>
      </c>
      <c r="G848">
        <v>440</v>
      </c>
      <c r="L848">
        <v>300000</v>
      </c>
    </row>
    <row r="849" spans="1:13" x14ac:dyDescent="0.3">
      <c r="A849" t="s">
        <v>106</v>
      </c>
      <c r="B849" t="s">
        <v>427</v>
      </c>
      <c r="C849" t="s">
        <v>152</v>
      </c>
      <c r="D849" t="s">
        <v>428</v>
      </c>
      <c r="E849" t="s">
        <v>154</v>
      </c>
      <c r="F849" s="3">
        <v>43300</v>
      </c>
      <c r="G849" s="3">
        <v>48000</v>
      </c>
      <c r="L849">
        <v>4800000</v>
      </c>
    </row>
    <row r="850" spans="1:13" hidden="1" x14ac:dyDescent="0.3">
      <c r="A850" t="s">
        <v>106</v>
      </c>
      <c r="B850" t="s">
        <v>427</v>
      </c>
      <c r="C850" t="s">
        <v>134</v>
      </c>
      <c r="D850" t="s">
        <v>429</v>
      </c>
      <c r="E850" t="s">
        <v>154</v>
      </c>
      <c r="L850">
        <v>970000</v>
      </c>
    </row>
    <row r="851" spans="1:13" hidden="1" x14ac:dyDescent="0.3">
      <c r="A851" t="s">
        <v>106</v>
      </c>
      <c r="B851" t="s">
        <v>427</v>
      </c>
      <c r="C851" t="s">
        <v>406</v>
      </c>
      <c r="D851" t="s">
        <v>429</v>
      </c>
      <c r="E851" t="s">
        <v>154</v>
      </c>
      <c r="L851">
        <v>3300000</v>
      </c>
    </row>
    <row r="852" spans="1:13" hidden="1" x14ac:dyDescent="0.3">
      <c r="A852" t="s">
        <v>106</v>
      </c>
      <c r="B852" t="s">
        <v>427</v>
      </c>
      <c r="C852" t="s">
        <v>142</v>
      </c>
      <c r="D852" t="s">
        <v>429</v>
      </c>
      <c r="E852" t="s">
        <v>154</v>
      </c>
      <c r="L852">
        <v>10000</v>
      </c>
    </row>
    <row r="853" spans="1:13" hidden="1" x14ac:dyDescent="0.3">
      <c r="A853" t="s">
        <v>106</v>
      </c>
      <c r="B853" t="s">
        <v>427</v>
      </c>
      <c r="C853" t="s">
        <v>156</v>
      </c>
      <c r="D853" t="s">
        <v>429</v>
      </c>
      <c r="E853" t="s">
        <v>154</v>
      </c>
      <c r="L853">
        <v>4500000</v>
      </c>
    </row>
    <row r="854" spans="1:13" hidden="1" x14ac:dyDescent="0.3">
      <c r="A854" t="s">
        <v>106</v>
      </c>
      <c r="B854" t="s">
        <v>427</v>
      </c>
      <c r="C854" t="s">
        <v>221</v>
      </c>
      <c r="D854" t="s">
        <v>429</v>
      </c>
      <c r="E854" t="s">
        <v>154</v>
      </c>
      <c r="M854" t="s">
        <v>169</v>
      </c>
    </row>
    <row r="855" spans="1:13" hidden="1" x14ac:dyDescent="0.3">
      <c r="A855" t="s">
        <v>106</v>
      </c>
      <c r="B855" t="s">
        <v>427</v>
      </c>
      <c r="C855" t="s">
        <v>143</v>
      </c>
      <c r="D855" t="s">
        <v>429</v>
      </c>
      <c r="E855" t="s">
        <v>154</v>
      </c>
      <c r="M855" t="s">
        <v>169</v>
      </c>
    </row>
    <row r="856" spans="1:13" hidden="1" x14ac:dyDescent="0.3">
      <c r="A856" t="s">
        <v>106</v>
      </c>
      <c r="B856" t="s">
        <v>427</v>
      </c>
      <c r="C856" t="s">
        <v>145</v>
      </c>
      <c r="D856" t="s">
        <v>429</v>
      </c>
      <c r="E856" t="s">
        <v>154</v>
      </c>
      <c r="M856" t="s">
        <v>169</v>
      </c>
    </row>
    <row r="857" spans="1:13" hidden="1" x14ac:dyDescent="0.3">
      <c r="A857" t="s">
        <v>106</v>
      </c>
      <c r="B857" t="s">
        <v>427</v>
      </c>
      <c r="C857" t="s">
        <v>233</v>
      </c>
      <c r="D857" t="s">
        <v>429</v>
      </c>
      <c r="E857" t="s">
        <v>154</v>
      </c>
      <c r="M857" t="s">
        <v>169</v>
      </c>
    </row>
    <row r="858" spans="1:13" hidden="1" x14ac:dyDescent="0.3">
      <c r="A858" t="s">
        <v>106</v>
      </c>
      <c r="B858" t="s">
        <v>427</v>
      </c>
      <c r="C858" t="s">
        <v>234</v>
      </c>
      <c r="D858" t="s">
        <v>429</v>
      </c>
      <c r="E858" t="s">
        <v>154</v>
      </c>
      <c r="M858" t="s">
        <v>169</v>
      </c>
    </row>
    <row r="859" spans="1:13" hidden="1" x14ac:dyDescent="0.3">
      <c r="A859" t="s">
        <v>106</v>
      </c>
      <c r="B859" t="s">
        <v>427</v>
      </c>
      <c r="C859" t="s">
        <v>173</v>
      </c>
      <c r="D859" t="s">
        <v>429</v>
      </c>
      <c r="E859" t="s">
        <v>154</v>
      </c>
      <c r="M859" t="s">
        <v>169</v>
      </c>
    </row>
    <row r="860" spans="1:13" hidden="1" x14ac:dyDescent="0.3">
      <c r="A860" t="s">
        <v>106</v>
      </c>
      <c r="B860" t="s">
        <v>427</v>
      </c>
      <c r="C860" t="s">
        <v>160</v>
      </c>
      <c r="D860" t="s">
        <v>429</v>
      </c>
      <c r="E860" t="s">
        <v>154</v>
      </c>
      <c r="M860" t="s">
        <v>169</v>
      </c>
    </row>
    <row r="861" spans="1:13" hidden="1" x14ac:dyDescent="0.3">
      <c r="A861" t="s">
        <v>106</v>
      </c>
      <c r="B861" t="s">
        <v>427</v>
      </c>
      <c r="C861" t="s">
        <v>202</v>
      </c>
      <c r="D861" t="s">
        <v>429</v>
      </c>
      <c r="E861" t="s">
        <v>154</v>
      </c>
      <c r="M861" t="s">
        <v>169</v>
      </c>
    </row>
    <row r="862" spans="1:13" hidden="1" x14ac:dyDescent="0.3">
      <c r="A862" t="s">
        <v>106</v>
      </c>
      <c r="B862" t="s">
        <v>427</v>
      </c>
      <c r="C862" t="s">
        <v>151</v>
      </c>
      <c r="D862" t="s">
        <v>429</v>
      </c>
      <c r="E862" t="s">
        <v>154</v>
      </c>
      <c r="L862">
        <v>1500000</v>
      </c>
    </row>
    <row r="863" spans="1:13" x14ac:dyDescent="0.3">
      <c r="A863" t="s">
        <v>106</v>
      </c>
      <c r="B863" t="s">
        <v>427</v>
      </c>
      <c r="C863" t="s">
        <v>152</v>
      </c>
      <c r="D863" t="s">
        <v>429</v>
      </c>
      <c r="E863" t="s">
        <v>154</v>
      </c>
      <c r="F863" s="3"/>
      <c r="G863" s="3"/>
      <c r="L863" t="s">
        <v>430</v>
      </c>
    </row>
    <row r="864" spans="1:13" hidden="1" x14ac:dyDescent="0.3">
      <c r="A864" t="s">
        <v>106</v>
      </c>
      <c r="B864" t="s">
        <v>431</v>
      </c>
      <c r="C864" t="s">
        <v>134</v>
      </c>
      <c r="D864" t="s">
        <v>266</v>
      </c>
      <c r="E864" t="s">
        <v>154</v>
      </c>
      <c r="F864">
        <v>438</v>
      </c>
      <c r="G864">
        <v>450</v>
      </c>
      <c r="H864" t="s">
        <v>432</v>
      </c>
    </row>
    <row r="865" spans="1:12" hidden="1" x14ac:dyDescent="0.3">
      <c r="A865" t="s">
        <v>106</v>
      </c>
      <c r="B865" t="s">
        <v>431</v>
      </c>
      <c r="C865" t="s">
        <v>317</v>
      </c>
      <c r="D865" t="s">
        <v>266</v>
      </c>
      <c r="E865" t="s">
        <v>154</v>
      </c>
      <c r="F865">
        <v>900</v>
      </c>
      <c r="G865">
        <v>900</v>
      </c>
      <c r="H865" t="s">
        <v>433</v>
      </c>
    </row>
    <row r="866" spans="1:12" hidden="1" x14ac:dyDescent="0.3">
      <c r="A866" t="s">
        <v>106</v>
      </c>
      <c r="B866" t="s">
        <v>431</v>
      </c>
      <c r="C866" t="s">
        <v>434</v>
      </c>
      <c r="D866" t="s">
        <v>266</v>
      </c>
      <c r="E866" t="s">
        <v>154</v>
      </c>
      <c r="F866">
        <v>280</v>
      </c>
      <c r="G866">
        <v>280</v>
      </c>
      <c r="H866" t="s">
        <v>433</v>
      </c>
    </row>
    <row r="867" spans="1:12" hidden="1" x14ac:dyDescent="0.3">
      <c r="A867" t="s">
        <v>106</v>
      </c>
      <c r="B867" t="s">
        <v>431</v>
      </c>
      <c r="C867" t="s">
        <v>221</v>
      </c>
      <c r="D867" t="s">
        <v>266</v>
      </c>
      <c r="E867" t="s">
        <v>154</v>
      </c>
      <c r="F867">
        <v>730</v>
      </c>
      <c r="G867">
        <v>730</v>
      </c>
      <c r="H867" t="s">
        <v>433</v>
      </c>
    </row>
    <row r="868" spans="1:12" hidden="1" x14ac:dyDescent="0.3">
      <c r="A868" t="s">
        <v>106</v>
      </c>
      <c r="B868" t="s">
        <v>431</v>
      </c>
      <c r="C868" t="s">
        <v>435</v>
      </c>
      <c r="D868" t="s">
        <v>266</v>
      </c>
      <c r="E868" t="s">
        <v>154</v>
      </c>
      <c r="F868">
        <v>800</v>
      </c>
      <c r="G868">
        <v>800</v>
      </c>
    </row>
    <row r="869" spans="1:12" hidden="1" x14ac:dyDescent="0.3">
      <c r="A869" t="s">
        <v>106</v>
      </c>
      <c r="B869" t="s">
        <v>431</v>
      </c>
      <c r="C869" t="s">
        <v>436</v>
      </c>
      <c r="D869" t="s">
        <v>266</v>
      </c>
      <c r="E869" t="s">
        <v>154</v>
      </c>
      <c r="F869">
        <v>510</v>
      </c>
      <c r="G869">
        <v>510</v>
      </c>
    </row>
    <row r="870" spans="1:12" hidden="1" x14ac:dyDescent="0.3">
      <c r="A870" t="s">
        <v>106</v>
      </c>
      <c r="B870" t="s">
        <v>431</v>
      </c>
      <c r="C870" t="s">
        <v>144</v>
      </c>
      <c r="D870" t="s">
        <v>266</v>
      </c>
      <c r="E870" t="s">
        <v>154</v>
      </c>
      <c r="F870">
        <v>280</v>
      </c>
      <c r="G870">
        <v>280</v>
      </c>
      <c r="H870" t="s">
        <v>433</v>
      </c>
    </row>
    <row r="871" spans="1:12" hidden="1" x14ac:dyDescent="0.3">
      <c r="A871" t="s">
        <v>106</v>
      </c>
      <c r="B871" t="s">
        <v>431</v>
      </c>
      <c r="C871" t="s">
        <v>196</v>
      </c>
      <c r="D871" t="s">
        <v>266</v>
      </c>
      <c r="E871" t="s">
        <v>154</v>
      </c>
      <c r="F871">
        <v>1010</v>
      </c>
      <c r="G871">
        <v>1010</v>
      </c>
      <c r="H871" t="s">
        <v>433</v>
      </c>
    </row>
    <row r="872" spans="1:12" hidden="1" x14ac:dyDescent="0.3">
      <c r="A872" t="s">
        <v>106</v>
      </c>
      <c r="B872" t="s">
        <v>431</v>
      </c>
      <c r="C872" t="s">
        <v>168</v>
      </c>
      <c r="D872" t="s">
        <v>266</v>
      </c>
      <c r="E872" t="s">
        <v>154</v>
      </c>
      <c r="F872">
        <v>570</v>
      </c>
      <c r="G872">
        <v>570</v>
      </c>
    </row>
    <row r="873" spans="1:12" hidden="1" x14ac:dyDescent="0.3">
      <c r="A873" t="s">
        <v>106</v>
      </c>
      <c r="B873" t="s">
        <v>431</v>
      </c>
      <c r="C873" t="s">
        <v>201</v>
      </c>
      <c r="D873" t="s">
        <v>266</v>
      </c>
      <c r="E873" t="s">
        <v>154</v>
      </c>
      <c r="F873">
        <v>980</v>
      </c>
      <c r="G873">
        <v>980</v>
      </c>
      <c r="H873" t="s">
        <v>433</v>
      </c>
    </row>
    <row r="874" spans="1:12" hidden="1" x14ac:dyDescent="0.3">
      <c r="A874" t="s">
        <v>106</v>
      </c>
      <c r="B874" t="s">
        <v>431</v>
      </c>
      <c r="C874" t="s">
        <v>202</v>
      </c>
      <c r="D874" t="s">
        <v>266</v>
      </c>
      <c r="E874" t="s">
        <v>154</v>
      </c>
      <c r="F874">
        <v>240</v>
      </c>
      <c r="G874">
        <v>240</v>
      </c>
    </row>
    <row r="875" spans="1:12" hidden="1" x14ac:dyDescent="0.3">
      <c r="A875" t="s">
        <v>106</v>
      </c>
      <c r="B875" t="s">
        <v>431</v>
      </c>
      <c r="C875" t="s">
        <v>304</v>
      </c>
      <c r="D875" t="s">
        <v>266</v>
      </c>
      <c r="E875" t="s">
        <v>154</v>
      </c>
      <c r="F875">
        <v>230</v>
      </c>
      <c r="G875">
        <v>230</v>
      </c>
      <c r="H875" t="s">
        <v>433</v>
      </c>
    </row>
    <row r="876" spans="1:12" hidden="1" x14ac:dyDescent="0.3">
      <c r="A876" t="s">
        <v>106</v>
      </c>
      <c r="B876" t="s">
        <v>431</v>
      </c>
      <c r="C876" t="s">
        <v>176</v>
      </c>
      <c r="D876" t="s">
        <v>266</v>
      </c>
      <c r="E876" t="s">
        <v>154</v>
      </c>
      <c r="F876">
        <v>8200</v>
      </c>
      <c r="G876">
        <v>8200</v>
      </c>
    </row>
    <row r="877" spans="1:12" hidden="1" x14ac:dyDescent="0.3">
      <c r="A877" t="s">
        <v>106</v>
      </c>
      <c r="B877" t="s">
        <v>431</v>
      </c>
      <c r="C877" t="s">
        <v>211</v>
      </c>
      <c r="D877" t="s">
        <v>266</v>
      </c>
      <c r="E877" t="s">
        <v>154</v>
      </c>
      <c r="F877">
        <v>830</v>
      </c>
      <c r="G877">
        <v>830</v>
      </c>
      <c r="H877" t="s">
        <v>433</v>
      </c>
    </row>
    <row r="878" spans="1:12" hidden="1" x14ac:dyDescent="0.3">
      <c r="A878" t="s">
        <v>106</v>
      </c>
      <c r="B878" t="s">
        <v>431</v>
      </c>
      <c r="C878" t="s">
        <v>151</v>
      </c>
      <c r="D878" t="s">
        <v>266</v>
      </c>
      <c r="E878" t="s">
        <v>154</v>
      </c>
      <c r="F878">
        <v>1500</v>
      </c>
      <c r="G878">
        <v>2000</v>
      </c>
      <c r="H878" t="s">
        <v>433</v>
      </c>
    </row>
    <row r="879" spans="1:12" x14ac:dyDescent="0.3">
      <c r="A879" t="s">
        <v>106</v>
      </c>
      <c r="B879" t="s">
        <v>431</v>
      </c>
      <c r="C879" t="s">
        <v>152</v>
      </c>
      <c r="D879" t="s">
        <v>266</v>
      </c>
      <c r="E879" t="s">
        <v>154</v>
      </c>
      <c r="F879" s="3">
        <v>17500</v>
      </c>
      <c r="G879" s="3">
        <v>18000</v>
      </c>
    </row>
    <row r="880" spans="1:12" hidden="1" x14ac:dyDescent="0.3">
      <c r="A880" t="s">
        <v>106</v>
      </c>
      <c r="B880" t="s">
        <v>437</v>
      </c>
      <c r="C880" t="s">
        <v>134</v>
      </c>
      <c r="D880" t="s">
        <v>438</v>
      </c>
      <c r="E880" t="s">
        <v>136</v>
      </c>
      <c r="F880">
        <v>41600</v>
      </c>
      <c r="G880">
        <v>45000</v>
      </c>
      <c r="L880">
        <v>1900000</v>
      </c>
    </row>
    <row r="881" spans="1:13" hidden="1" x14ac:dyDescent="0.3">
      <c r="A881" t="s">
        <v>106</v>
      </c>
      <c r="B881" t="s">
        <v>437</v>
      </c>
      <c r="C881" t="s">
        <v>140</v>
      </c>
      <c r="D881" t="s">
        <v>438</v>
      </c>
      <c r="E881" t="s">
        <v>136</v>
      </c>
      <c r="F881">
        <v>16000</v>
      </c>
      <c r="G881">
        <v>13000</v>
      </c>
      <c r="H881" t="s">
        <v>439</v>
      </c>
      <c r="L881">
        <v>5700000</v>
      </c>
      <c r="M881" t="s">
        <v>440</v>
      </c>
    </row>
    <row r="882" spans="1:13" hidden="1" x14ac:dyDescent="0.3">
      <c r="A882" t="s">
        <v>106</v>
      </c>
      <c r="B882" t="s">
        <v>437</v>
      </c>
      <c r="C882" t="s">
        <v>142</v>
      </c>
      <c r="D882" t="s">
        <v>438</v>
      </c>
      <c r="E882" t="s">
        <v>136</v>
      </c>
      <c r="F882">
        <v>140</v>
      </c>
      <c r="G882">
        <v>20</v>
      </c>
      <c r="L882">
        <v>21000000</v>
      </c>
    </row>
    <row r="883" spans="1:13" hidden="1" x14ac:dyDescent="0.3">
      <c r="A883" t="s">
        <v>106</v>
      </c>
      <c r="B883" t="s">
        <v>437</v>
      </c>
      <c r="C883" t="s">
        <v>167</v>
      </c>
      <c r="D883" t="s">
        <v>438</v>
      </c>
      <c r="E883" t="s">
        <v>136</v>
      </c>
      <c r="F883">
        <v>43000</v>
      </c>
      <c r="G883">
        <v>31000</v>
      </c>
      <c r="H883" t="s">
        <v>439</v>
      </c>
      <c r="M883" t="s">
        <v>169</v>
      </c>
    </row>
    <row r="884" spans="1:13" hidden="1" x14ac:dyDescent="0.3">
      <c r="A884" t="s">
        <v>106</v>
      </c>
      <c r="B884" t="s">
        <v>437</v>
      </c>
      <c r="C884" t="s">
        <v>156</v>
      </c>
      <c r="D884" t="s">
        <v>438</v>
      </c>
      <c r="E884" t="s">
        <v>136</v>
      </c>
      <c r="L884">
        <v>830000</v>
      </c>
    </row>
    <row r="885" spans="1:13" hidden="1" x14ac:dyDescent="0.3">
      <c r="A885" t="s">
        <v>106</v>
      </c>
      <c r="B885" t="s">
        <v>437</v>
      </c>
      <c r="C885" t="s">
        <v>143</v>
      </c>
      <c r="D885" t="s">
        <v>438</v>
      </c>
      <c r="E885" t="s">
        <v>136</v>
      </c>
      <c r="F885">
        <v>255000</v>
      </c>
      <c r="G885">
        <v>270000</v>
      </c>
      <c r="H885" t="s">
        <v>441</v>
      </c>
      <c r="L885">
        <v>44000000</v>
      </c>
    </row>
    <row r="886" spans="1:13" hidden="1" x14ac:dyDescent="0.3">
      <c r="A886" t="s">
        <v>106</v>
      </c>
      <c r="B886" t="s">
        <v>437</v>
      </c>
      <c r="C886" t="s">
        <v>442</v>
      </c>
      <c r="D886" t="s">
        <v>438</v>
      </c>
      <c r="E886" t="s">
        <v>136</v>
      </c>
      <c r="L886">
        <v>1500000</v>
      </c>
    </row>
    <row r="887" spans="1:13" hidden="1" x14ac:dyDescent="0.3">
      <c r="A887" t="s">
        <v>106</v>
      </c>
      <c r="B887" t="s">
        <v>437</v>
      </c>
      <c r="C887" t="s">
        <v>146</v>
      </c>
      <c r="D887" t="s">
        <v>438</v>
      </c>
      <c r="E887" t="s">
        <v>136</v>
      </c>
      <c r="F887">
        <v>2900</v>
      </c>
      <c r="G887">
        <v>2900</v>
      </c>
      <c r="L887">
        <v>6900000</v>
      </c>
    </row>
    <row r="888" spans="1:13" hidden="1" x14ac:dyDescent="0.3">
      <c r="A888" t="s">
        <v>106</v>
      </c>
      <c r="B888" t="s">
        <v>437</v>
      </c>
      <c r="C888" t="s">
        <v>208</v>
      </c>
      <c r="D888" t="s">
        <v>438</v>
      </c>
      <c r="E888" t="s">
        <v>136</v>
      </c>
      <c r="F888">
        <v>2100</v>
      </c>
      <c r="G888">
        <v>2000</v>
      </c>
      <c r="H888" t="s">
        <v>439</v>
      </c>
      <c r="M888" t="s">
        <v>169</v>
      </c>
    </row>
    <row r="889" spans="1:13" hidden="1" x14ac:dyDescent="0.3">
      <c r="A889" t="s">
        <v>106</v>
      </c>
      <c r="B889" t="s">
        <v>437</v>
      </c>
      <c r="C889" t="s">
        <v>159</v>
      </c>
      <c r="D889" t="s">
        <v>438</v>
      </c>
      <c r="E889" t="s">
        <v>136</v>
      </c>
      <c r="F889">
        <v>310</v>
      </c>
      <c r="G889">
        <v>130</v>
      </c>
      <c r="H889" t="s">
        <v>439</v>
      </c>
      <c r="M889" t="s">
        <v>169</v>
      </c>
    </row>
    <row r="890" spans="1:13" hidden="1" x14ac:dyDescent="0.3">
      <c r="A890" t="s">
        <v>106</v>
      </c>
      <c r="B890" t="s">
        <v>437</v>
      </c>
      <c r="C890" t="s">
        <v>403</v>
      </c>
      <c r="D890" t="s">
        <v>438</v>
      </c>
      <c r="E890" t="s">
        <v>136</v>
      </c>
      <c r="F890">
        <v>7200</v>
      </c>
      <c r="G890">
        <v>13000</v>
      </c>
      <c r="H890" t="s">
        <v>439</v>
      </c>
      <c r="M890" t="s">
        <v>169</v>
      </c>
    </row>
    <row r="891" spans="1:13" hidden="1" x14ac:dyDescent="0.3">
      <c r="A891" t="s">
        <v>106</v>
      </c>
      <c r="B891" t="s">
        <v>437</v>
      </c>
      <c r="C891" t="s">
        <v>160</v>
      </c>
      <c r="D891" t="s">
        <v>438</v>
      </c>
      <c r="E891" t="s">
        <v>136</v>
      </c>
      <c r="F891">
        <v>2500</v>
      </c>
      <c r="G891">
        <v>2500</v>
      </c>
      <c r="L891">
        <v>3800000</v>
      </c>
    </row>
    <row r="892" spans="1:13" hidden="1" x14ac:dyDescent="0.3">
      <c r="A892" t="s">
        <v>106</v>
      </c>
      <c r="B892" t="s">
        <v>437</v>
      </c>
      <c r="C892" t="s">
        <v>252</v>
      </c>
      <c r="D892" t="s">
        <v>438</v>
      </c>
      <c r="E892" t="s">
        <v>136</v>
      </c>
      <c r="L892">
        <v>860000</v>
      </c>
    </row>
    <row r="893" spans="1:13" hidden="1" x14ac:dyDescent="0.3">
      <c r="A893" t="s">
        <v>106</v>
      </c>
      <c r="B893" t="s">
        <v>437</v>
      </c>
      <c r="C893" t="s">
        <v>304</v>
      </c>
      <c r="D893" t="s">
        <v>438</v>
      </c>
      <c r="E893" t="s">
        <v>136</v>
      </c>
      <c r="L893">
        <v>890000</v>
      </c>
    </row>
    <row r="894" spans="1:13" hidden="1" x14ac:dyDescent="0.3">
      <c r="A894" t="s">
        <v>106</v>
      </c>
      <c r="B894" t="s">
        <v>437</v>
      </c>
      <c r="C894" t="s">
        <v>287</v>
      </c>
      <c r="D894" t="s">
        <v>438</v>
      </c>
      <c r="E894" t="s">
        <v>136</v>
      </c>
      <c r="F894">
        <v>3600</v>
      </c>
      <c r="G894">
        <v>13000</v>
      </c>
      <c r="H894" t="s">
        <v>439</v>
      </c>
      <c r="L894">
        <v>4500</v>
      </c>
    </row>
    <row r="895" spans="1:13" hidden="1" x14ac:dyDescent="0.3">
      <c r="A895" t="s">
        <v>106</v>
      </c>
      <c r="B895" t="s">
        <v>437</v>
      </c>
      <c r="C895" t="s">
        <v>177</v>
      </c>
      <c r="D895" t="s">
        <v>438</v>
      </c>
      <c r="E895" t="s">
        <v>136</v>
      </c>
      <c r="F895">
        <v>300</v>
      </c>
      <c r="G895">
        <v>300</v>
      </c>
      <c r="H895" t="s">
        <v>439</v>
      </c>
      <c r="L895">
        <v>3500000</v>
      </c>
    </row>
    <row r="896" spans="1:13" hidden="1" x14ac:dyDescent="0.3">
      <c r="A896" t="s">
        <v>106</v>
      </c>
      <c r="B896" t="s">
        <v>437</v>
      </c>
      <c r="C896" t="s">
        <v>151</v>
      </c>
      <c r="D896" t="s">
        <v>438</v>
      </c>
      <c r="E896" t="s">
        <v>136</v>
      </c>
      <c r="F896">
        <v>1440</v>
      </c>
      <c r="G896">
        <v>1100</v>
      </c>
      <c r="M896" t="s">
        <v>169</v>
      </c>
    </row>
    <row r="897" spans="1:13" x14ac:dyDescent="0.3">
      <c r="A897" t="s">
        <v>106</v>
      </c>
      <c r="B897" t="s">
        <v>437</v>
      </c>
      <c r="C897" t="s">
        <v>152</v>
      </c>
      <c r="D897" t="s">
        <v>438</v>
      </c>
      <c r="E897" t="s">
        <v>136</v>
      </c>
      <c r="F897" s="3">
        <v>376000</v>
      </c>
      <c r="G897" s="3">
        <v>390000</v>
      </c>
      <c r="L897" t="s">
        <v>443</v>
      </c>
    </row>
    <row r="898" spans="1:13" hidden="1" x14ac:dyDescent="0.3">
      <c r="A898" t="s">
        <v>106</v>
      </c>
      <c r="B898" t="s">
        <v>444</v>
      </c>
      <c r="C898" t="s">
        <v>134</v>
      </c>
      <c r="D898" t="s">
        <v>445</v>
      </c>
      <c r="E898" t="s">
        <v>291</v>
      </c>
      <c r="F898">
        <v>9410</v>
      </c>
      <c r="G898">
        <v>9500</v>
      </c>
      <c r="L898">
        <v>400000</v>
      </c>
    </row>
    <row r="899" spans="1:13" hidden="1" x14ac:dyDescent="0.3">
      <c r="A899" t="s">
        <v>106</v>
      </c>
      <c r="B899" t="s">
        <v>444</v>
      </c>
      <c r="C899" t="s">
        <v>392</v>
      </c>
      <c r="D899" t="s">
        <v>445</v>
      </c>
      <c r="E899" t="s">
        <v>291</v>
      </c>
      <c r="F899">
        <v>210</v>
      </c>
      <c r="G899">
        <v>200</v>
      </c>
      <c r="L899">
        <v>95000</v>
      </c>
    </row>
    <row r="900" spans="1:13" hidden="1" x14ac:dyDescent="0.3">
      <c r="A900" t="s">
        <v>106</v>
      </c>
      <c r="B900" t="s">
        <v>444</v>
      </c>
      <c r="C900" t="s">
        <v>221</v>
      </c>
      <c r="D900" t="s">
        <v>445</v>
      </c>
      <c r="E900" t="s">
        <v>291</v>
      </c>
      <c r="F900">
        <v>30000</v>
      </c>
      <c r="G900">
        <v>29000</v>
      </c>
      <c r="H900" t="s">
        <v>446</v>
      </c>
      <c r="L900">
        <v>1300000</v>
      </c>
    </row>
    <row r="901" spans="1:13" hidden="1" x14ac:dyDescent="0.3">
      <c r="A901" t="s">
        <v>106</v>
      </c>
      <c r="B901" t="s">
        <v>444</v>
      </c>
      <c r="C901" t="s">
        <v>143</v>
      </c>
      <c r="D901" t="s">
        <v>445</v>
      </c>
      <c r="E901" t="s">
        <v>291</v>
      </c>
      <c r="F901">
        <v>5300</v>
      </c>
      <c r="G901">
        <v>5300</v>
      </c>
      <c r="L901">
        <v>19000</v>
      </c>
    </row>
    <row r="902" spans="1:13" hidden="1" x14ac:dyDescent="0.3">
      <c r="A902" t="s">
        <v>106</v>
      </c>
      <c r="B902" t="s">
        <v>444</v>
      </c>
      <c r="C902" t="s">
        <v>171</v>
      </c>
      <c r="D902" t="s">
        <v>445</v>
      </c>
      <c r="E902" t="s">
        <v>291</v>
      </c>
      <c r="F902">
        <v>500</v>
      </c>
      <c r="G902">
        <v>500</v>
      </c>
      <c r="L902">
        <v>190000</v>
      </c>
    </row>
    <row r="903" spans="1:13" hidden="1" x14ac:dyDescent="0.3">
      <c r="A903" t="s">
        <v>106</v>
      </c>
      <c r="B903" t="s">
        <v>444</v>
      </c>
      <c r="C903" t="s">
        <v>214</v>
      </c>
      <c r="D903" t="s">
        <v>445</v>
      </c>
      <c r="E903" t="s">
        <v>291</v>
      </c>
      <c r="F903">
        <v>2800</v>
      </c>
      <c r="G903">
        <v>3000</v>
      </c>
      <c r="M903" t="s">
        <v>169</v>
      </c>
    </row>
    <row r="904" spans="1:13" hidden="1" x14ac:dyDescent="0.3">
      <c r="A904" t="s">
        <v>106</v>
      </c>
      <c r="B904" t="s">
        <v>444</v>
      </c>
      <c r="C904" t="s">
        <v>241</v>
      </c>
      <c r="D904" t="s">
        <v>445</v>
      </c>
      <c r="E904" t="s">
        <v>291</v>
      </c>
      <c r="F904">
        <v>9380</v>
      </c>
      <c r="G904">
        <v>9400</v>
      </c>
      <c r="M904" t="s">
        <v>169</v>
      </c>
    </row>
    <row r="905" spans="1:13" hidden="1" x14ac:dyDescent="0.3">
      <c r="A905" t="s">
        <v>106</v>
      </c>
      <c r="B905" t="s">
        <v>444</v>
      </c>
      <c r="C905" t="s">
        <v>160</v>
      </c>
      <c r="D905" t="s">
        <v>445</v>
      </c>
      <c r="E905" t="s">
        <v>291</v>
      </c>
      <c r="H905" t="s">
        <v>382</v>
      </c>
      <c r="L905">
        <v>310000</v>
      </c>
    </row>
    <row r="906" spans="1:13" hidden="1" x14ac:dyDescent="0.3">
      <c r="A906" t="s">
        <v>106</v>
      </c>
      <c r="B906" t="s">
        <v>444</v>
      </c>
      <c r="C906" t="s">
        <v>242</v>
      </c>
      <c r="D906" t="s">
        <v>445</v>
      </c>
      <c r="E906" t="s">
        <v>291</v>
      </c>
      <c r="F906">
        <v>5000</v>
      </c>
      <c r="G906">
        <v>5000</v>
      </c>
      <c r="M906" t="s">
        <v>169</v>
      </c>
    </row>
    <row r="907" spans="1:13" x14ac:dyDescent="0.3">
      <c r="A907" t="s">
        <v>106</v>
      </c>
      <c r="B907" t="s">
        <v>444</v>
      </c>
      <c r="C907" t="s">
        <v>152</v>
      </c>
      <c r="D907" t="s">
        <v>445</v>
      </c>
      <c r="E907" t="s">
        <v>291</v>
      </c>
      <c r="F907" s="3">
        <v>62600</v>
      </c>
      <c r="G907" s="3">
        <v>62000</v>
      </c>
      <c r="M907" t="s">
        <v>187</v>
      </c>
    </row>
    <row r="908" spans="1:13" hidden="1" x14ac:dyDescent="0.3">
      <c r="A908" t="s">
        <v>106</v>
      </c>
      <c r="B908" t="s">
        <v>447</v>
      </c>
      <c r="C908" t="s">
        <v>134</v>
      </c>
      <c r="D908" t="s">
        <v>266</v>
      </c>
      <c r="E908" t="s">
        <v>154</v>
      </c>
      <c r="F908">
        <v>42000</v>
      </c>
      <c r="G908">
        <v>40000</v>
      </c>
    </row>
    <row r="909" spans="1:13" hidden="1" x14ac:dyDescent="0.3">
      <c r="A909" t="s">
        <v>106</v>
      </c>
      <c r="B909" t="s">
        <v>447</v>
      </c>
      <c r="C909" t="s">
        <v>140</v>
      </c>
      <c r="D909" t="s">
        <v>266</v>
      </c>
      <c r="E909" t="s">
        <v>154</v>
      </c>
      <c r="F909">
        <v>12000</v>
      </c>
      <c r="G909">
        <v>13000</v>
      </c>
    </row>
    <row r="910" spans="1:13" hidden="1" x14ac:dyDescent="0.3">
      <c r="A910" t="s">
        <v>106</v>
      </c>
      <c r="B910" t="s">
        <v>447</v>
      </c>
      <c r="C910" t="s">
        <v>406</v>
      </c>
      <c r="D910" t="s">
        <v>266</v>
      </c>
      <c r="E910" t="s">
        <v>154</v>
      </c>
      <c r="F910">
        <v>2000</v>
      </c>
      <c r="G910">
        <v>2100</v>
      </c>
    </row>
    <row r="911" spans="1:13" hidden="1" x14ac:dyDescent="0.3">
      <c r="A911" t="s">
        <v>106</v>
      </c>
      <c r="B911" t="s">
        <v>447</v>
      </c>
      <c r="C911" t="s">
        <v>142</v>
      </c>
      <c r="D911" t="s">
        <v>266</v>
      </c>
      <c r="E911" t="s">
        <v>154</v>
      </c>
      <c r="F911">
        <v>6600</v>
      </c>
      <c r="G911">
        <v>6600</v>
      </c>
    </row>
    <row r="912" spans="1:13" hidden="1" x14ac:dyDescent="0.3">
      <c r="A912" t="s">
        <v>106</v>
      </c>
      <c r="B912" t="s">
        <v>447</v>
      </c>
      <c r="C912" t="s">
        <v>213</v>
      </c>
      <c r="D912" t="s">
        <v>266</v>
      </c>
      <c r="E912" t="s">
        <v>154</v>
      </c>
      <c r="F912">
        <v>3000</v>
      </c>
      <c r="G912">
        <v>3000</v>
      </c>
    </row>
    <row r="913" spans="1:7" hidden="1" x14ac:dyDescent="0.3">
      <c r="A913" t="s">
        <v>106</v>
      </c>
      <c r="B913" t="s">
        <v>447</v>
      </c>
      <c r="C913" t="s">
        <v>156</v>
      </c>
      <c r="D913" t="s">
        <v>266</v>
      </c>
      <c r="E913" t="s">
        <v>154</v>
      </c>
      <c r="F913">
        <v>12000</v>
      </c>
      <c r="G913">
        <v>12000</v>
      </c>
    </row>
    <row r="914" spans="1:7" hidden="1" x14ac:dyDescent="0.3">
      <c r="A914" t="s">
        <v>106</v>
      </c>
      <c r="B914" t="s">
        <v>447</v>
      </c>
      <c r="C914" t="s">
        <v>221</v>
      </c>
      <c r="D914" t="s">
        <v>266</v>
      </c>
      <c r="E914" t="s">
        <v>154</v>
      </c>
      <c r="F914">
        <v>10000</v>
      </c>
      <c r="G914">
        <v>11000</v>
      </c>
    </row>
    <row r="915" spans="1:7" hidden="1" x14ac:dyDescent="0.3">
      <c r="A915" t="s">
        <v>106</v>
      </c>
      <c r="B915" t="s">
        <v>447</v>
      </c>
      <c r="C915" t="s">
        <v>143</v>
      </c>
      <c r="D915" t="s">
        <v>266</v>
      </c>
      <c r="E915" t="s">
        <v>154</v>
      </c>
      <c r="F915">
        <v>54000</v>
      </c>
      <c r="G915">
        <v>55000</v>
      </c>
    </row>
    <row r="916" spans="1:7" hidden="1" x14ac:dyDescent="0.3">
      <c r="A916" t="s">
        <v>106</v>
      </c>
      <c r="B916" t="s">
        <v>447</v>
      </c>
      <c r="C916" t="s">
        <v>246</v>
      </c>
      <c r="D916" t="s">
        <v>266</v>
      </c>
      <c r="E916" t="s">
        <v>154</v>
      </c>
      <c r="F916">
        <v>2300</v>
      </c>
      <c r="G916">
        <v>2300</v>
      </c>
    </row>
    <row r="917" spans="1:7" hidden="1" x14ac:dyDescent="0.3">
      <c r="A917" t="s">
        <v>106</v>
      </c>
      <c r="B917" t="s">
        <v>447</v>
      </c>
      <c r="C917" t="s">
        <v>144</v>
      </c>
      <c r="D917" t="s">
        <v>266</v>
      </c>
      <c r="E917" t="s">
        <v>154</v>
      </c>
      <c r="F917">
        <v>4600</v>
      </c>
      <c r="G917">
        <v>5000</v>
      </c>
    </row>
    <row r="918" spans="1:7" hidden="1" x14ac:dyDescent="0.3">
      <c r="A918" t="s">
        <v>106</v>
      </c>
      <c r="B918" t="s">
        <v>447</v>
      </c>
      <c r="C918" t="s">
        <v>145</v>
      </c>
      <c r="D918" t="s">
        <v>266</v>
      </c>
      <c r="E918" t="s">
        <v>154</v>
      </c>
      <c r="F918">
        <v>15000</v>
      </c>
      <c r="G918">
        <v>16000</v>
      </c>
    </row>
    <row r="919" spans="1:7" hidden="1" x14ac:dyDescent="0.3">
      <c r="A919" t="s">
        <v>106</v>
      </c>
      <c r="B919" t="s">
        <v>447</v>
      </c>
      <c r="C919" t="s">
        <v>146</v>
      </c>
      <c r="D919" t="s">
        <v>266</v>
      </c>
      <c r="E919" t="s">
        <v>154</v>
      </c>
      <c r="F919">
        <v>27000</v>
      </c>
      <c r="G919">
        <v>28000</v>
      </c>
    </row>
    <row r="920" spans="1:7" hidden="1" x14ac:dyDescent="0.3">
      <c r="A920" t="s">
        <v>106</v>
      </c>
      <c r="B920" t="s">
        <v>447</v>
      </c>
      <c r="C920" t="s">
        <v>170</v>
      </c>
      <c r="D920" t="s">
        <v>266</v>
      </c>
      <c r="E920" t="s">
        <v>154</v>
      </c>
      <c r="F920">
        <v>2700</v>
      </c>
      <c r="G920">
        <v>2700</v>
      </c>
    </row>
    <row r="921" spans="1:7" hidden="1" x14ac:dyDescent="0.3">
      <c r="A921" t="s">
        <v>106</v>
      </c>
      <c r="B921" t="s">
        <v>447</v>
      </c>
      <c r="C921" t="s">
        <v>285</v>
      </c>
      <c r="D921" t="s">
        <v>266</v>
      </c>
      <c r="E921" t="s">
        <v>154</v>
      </c>
      <c r="F921">
        <v>1800</v>
      </c>
      <c r="G921">
        <v>1900</v>
      </c>
    </row>
    <row r="922" spans="1:7" hidden="1" x14ac:dyDescent="0.3">
      <c r="A922" t="s">
        <v>106</v>
      </c>
      <c r="B922" t="s">
        <v>447</v>
      </c>
      <c r="C922" t="s">
        <v>148</v>
      </c>
      <c r="D922" t="s">
        <v>266</v>
      </c>
      <c r="E922" t="s">
        <v>154</v>
      </c>
      <c r="F922">
        <v>8700</v>
      </c>
      <c r="G922">
        <v>9000</v>
      </c>
    </row>
    <row r="923" spans="1:7" hidden="1" x14ac:dyDescent="0.3">
      <c r="A923" t="s">
        <v>106</v>
      </c>
      <c r="B923" t="s">
        <v>447</v>
      </c>
      <c r="C923" t="s">
        <v>240</v>
      </c>
      <c r="D923" t="s">
        <v>266</v>
      </c>
      <c r="E923" t="s">
        <v>154</v>
      </c>
      <c r="F923">
        <v>5300</v>
      </c>
      <c r="G923">
        <v>6000</v>
      </c>
    </row>
    <row r="924" spans="1:7" hidden="1" x14ac:dyDescent="0.3">
      <c r="A924" t="s">
        <v>106</v>
      </c>
      <c r="B924" t="s">
        <v>447</v>
      </c>
      <c r="C924" t="s">
        <v>174</v>
      </c>
      <c r="D924" t="s">
        <v>266</v>
      </c>
      <c r="E924" t="s">
        <v>154</v>
      </c>
      <c r="F924">
        <v>3100</v>
      </c>
      <c r="G924">
        <v>3000</v>
      </c>
    </row>
    <row r="925" spans="1:7" hidden="1" x14ac:dyDescent="0.3">
      <c r="A925" t="s">
        <v>106</v>
      </c>
      <c r="B925" t="s">
        <v>447</v>
      </c>
      <c r="C925" t="s">
        <v>241</v>
      </c>
      <c r="D925" t="s">
        <v>266</v>
      </c>
      <c r="E925" t="s">
        <v>154</v>
      </c>
      <c r="F925">
        <v>4500</v>
      </c>
      <c r="G925">
        <v>4600</v>
      </c>
    </row>
    <row r="926" spans="1:7" hidden="1" x14ac:dyDescent="0.3">
      <c r="A926" t="s">
        <v>106</v>
      </c>
      <c r="B926" t="s">
        <v>447</v>
      </c>
      <c r="C926" t="s">
        <v>160</v>
      </c>
      <c r="D926" t="s">
        <v>266</v>
      </c>
      <c r="E926" t="s">
        <v>154</v>
      </c>
      <c r="F926">
        <v>8200</v>
      </c>
      <c r="G926">
        <v>8000</v>
      </c>
    </row>
    <row r="927" spans="1:7" hidden="1" x14ac:dyDescent="0.3">
      <c r="A927" t="s">
        <v>106</v>
      </c>
      <c r="B927" t="s">
        <v>447</v>
      </c>
      <c r="C927" t="s">
        <v>201</v>
      </c>
      <c r="D927" t="s">
        <v>266</v>
      </c>
      <c r="E927" t="s">
        <v>154</v>
      </c>
      <c r="F927">
        <v>2500</v>
      </c>
      <c r="G927">
        <v>2400</v>
      </c>
    </row>
    <row r="928" spans="1:7" hidden="1" x14ac:dyDescent="0.3">
      <c r="A928" t="s">
        <v>106</v>
      </c>
      <c r="B928" t="s">
        <v>447</v>
      </c>
      <c r="C928" t="s">
        <v>202</v>
      </c>
      <c r="D928" t="s">
        <v>266</v>
      </c>
      <c r="E928" t="s">
        <v>154</v>
      </c>
      <c r="F928">
        <v>3900</v>
      </c>
      <c r="G928">
        <v>4000</v>
      </c>
    </row>
    <row r="929" spans="1:7" hidden="1" x14ac:dyDescent="0.3">
      <c r="A929" t="s">
        <v>106</v>
      </c>
      <c r="B929" t="s">
        <v>447</v>
      </c>
      <c r="C929" t="s">
        <v>176</v>
      </c>
      <c r="D929" t="s">
        <v>266</v>
      </c>
      <c r="E929" t="s">
        <v>154</v>
      </c>
      <c r="F929">
        <v>9100</v>
      </c>
      <c r="G929">
        <v>9000</v>
      </c>
    </row>
    <row r="930" spans="1:7" hidden="1" x14ac:dyDescent="0.3">
      <c r="A930" t="s">
        <v>106</v>
      </c>
      <c r="B930" t="s">
        <v>447</v>
      </c>
      <c r="C930" t="s">
        <v>363</v>
      </c>
      <c r="D930" t="s">
        <v>266</v>
      </c>
      <c r="E930" t="s">
        <v>154</v>
      </c>
      <c r="F930">
        <v>2700</v>
      </c>
      <c r="G930">
        <v>2800</v>
      </c>
    </row>
    <row r="931" spans="1:7" hidden="1" x14ac:dyDescent="0.3">
      <c r="A931" t="s">
        <v>106</v>
      </c>
      <c r="B931" t="s">
        <v>447</v>
      </c>
      <c r="C931" t="s">
        <v>151</v>
      </c>
      <c r="D931" t="s">
        <v>266</v>
      </c>
      <c r="E931" t="s">
        <v>154</v>
      </c>
      <c r="F931">
        <v>27000</v>
      </c>
      <c r="G931">
        <v>28000</v>
      </c>
    </row>
    <row r="932" spans="1:7" x14ac:dyDescent="0.3">
      <c r="A932" t="s">
        <v>106</v>
      </c>
      <c r="B932" t="s">
        <v>447</v>
      </c>
      <c r="C932" t="s">
        <v>152</v>
      </c>
      <c r="D932" t="s">
        <v>266</v>
      </c>
      <c r="E932" t="s">
        <v>154</v>
      </c>
      <c r="F932" s="3">
        <v>270000</v>
      </c>
      <c r="G932" s="3">
        <v>280000</v>
      </c>
    </row>
    <row r="933" spans="1:7" hidden="1" x14ac:dyDescent="0.3">
      <c r="A933" t="s">
        <v>106</v>
      </c>
      <c r="B933" t="s">
        <v>448</v>
      </c>
      <c r="C933" t="s">
        <v>134</v>
      </c>
      <c r="D933" t="s">
        <v>266</v>
      </c>
      <c r="E933" t="s">
        <v>136</v>
      </c>
      <c r="F933">
        <v>133000</v>
      </c>
      <c r="G933">
        <v>130000</v>
      </c>
    </row>
    <row r="934" spans="1:7" hidden="1" x14ac:dyDescent="0.3">
      <c r="A934" t="s">
        <v>106</v>
      </c>
      <c r="B934" t="s">
        <v>448</v>
      </c>
      <c r="C934" t="s">
        <v>218</v>
      </c>
      <c r="D934" t="s">
        <v>266</v>
      </c>
      <c r="E934" t="s">
        <v>136</v>
      </c>
      <c r="F934">
        <v>4000</v>
      </c>
      <c r="G934">
        <v>4000</v>
      </c>
    </row>
    <row r="935" spans="1:7" hidden="1" x14ac:dyDescent="0.3">
      <c r="A935" t="s">
        <v>106</v>
      </c>
      <c r="B935" t="s">
        <v>448</v>
      </c>
      <c r="C935" t="s">
        <v>140</v>
      </c>
      <c r="D935" t="s">
        <v>266</v>
      </c>
      <c r="E935" t="s">
        <v>136</v>
      </c>
      <c r="F935">
        <v>5500</v>
      </c>
      <c r="G935">
        <v>5600</v>
      </c>
    </row>
    <row r="936" spans="1:7" hidden="1" x14ac:dyDescent="0.3">
      <c r="A936" t="s">
        <v>106</v>
      </c>
      <c r="B936" t="s">
        <v>448</v>
      </c>
      <c r="C936" t="s">
        <v>213</v>
      </c>
      <c r="D936" t="s">
        <v>266</v>
      </c>
      <c r="E936" t="s">
        <v>136</v>
      </c>
      <c r="F936">
        <v>8050</v>
      </c>
      <c r="G936">
        <v>8200</v>
      </c>
    </row>
    <row r="937" spans="1:7" hidden="1" x14ac:dyDescent="0.3">
      <c r="A937" t="s">
        <v>106</v>
      </c>
      <c r="B937" t="s">
        <v>448</v>
      </c>
      <c r="C937" t="s">
        <v>156</v>
      </c>
      <c r="D937" t="s">
        <v>266</v>
      </c>
      <c r="E937" t="s">
        <v>136</v>
      </c>
      <c r="F937">
        <v>4100</v>
      </c>
      <c r="G937">
        <v>4100</v>
      </c>
    </row>
    <row r="938" spans="1:7" hidden="1" x14ac:dyDescent="0.3">
      <c r="A938" t="s">
        <v>106</v>
      </c>
      <c r="B938" t="s">
        <v>448</v>
      </c>
      <c r="C938" t="s">
        <v>143</v>
      </c>
      <c r="D938" t="s">
        <v>266</v>
      </c>
      <c r="E938" t="s">
        <v>136</v>
      </c>
      <c r="F938">
        <v>88100</v>
      </c>
      <c r="G938">
        <v>89000</v>
      </c>
    </row>
    <row r="939" spans="1:7" hidden="1" x14ac:dyDescent="0.3">
      <c r="A939" t="s">
        <v>106</v>
      </c>
      <c r="B939" t="s">
        <v>448</v>
      </c>
      <c r="C939" t="s">
        <v>144</v>
      </c>
      <c r="D939" t="s">
        <v>266</v>
      </c>
      <c r="E939" t="s">
        <v>136</v>
      </c>
      <c r="F939">
        <v>11900</v>
      </c>
      <c r="G939">
        <v>12000</v>
      </c>
    </row>
    <row r="940" spans="1:7" hidden="1" x14ac:dyDescent="0.3">
      <c r="A940" t="s">
        <v>106</v>
      </c>
      <c r="B940" t="s">
        <v>448</v>
      </c>
      <c r="C940" t="s">
        <v>145</v>
      </c>
      <c r="D940" t="s">
        <v>266</v>
      </c>
      <c r="E940" t="s">
        <v>136</v>
      </c>
      <c r="F940">
        <v>11100</v>
      </c>
      <c r="G940">
        <v>11000</v>
      </c>
    </row>
    <row r="941" spans="1:7" hidden="1" x14ac:dyDescent="0.3">
      <c r="A941" t="s">
        <v>106</v>
      </c>
      <c r="B941" t="s">
        <v>448</v>
      </c>
      <c r="C941" t="s">
        <v>146</v>
      </c>
      <c r="D941" t="s">
        <v>266</v>
      </c>
      <c r="E941" t="s">
        <v>136</v>
      </c>
      <c r="F941">
        <v>11900</v>
      </c>
      <c r="G941">
        <v>12000</v>
      </c>
    </row>
    <row r="942" spans="1:7" hidden="1" x14ac:dyDescent="0.3">
      <c r="A942" t="s">
        <v>106</v>
      </c>
      <c r="B942" t="s">
        <v>448</v>
      </c>
      <c r="C942" t="s">
        <v>198</v>
      </c>
      <c r="D942" t="s">
        <v>266</v>
      </c>
      <c r="E942" t="s">
        <v>136</v>
      </c>
      <c r="F942">
        <v>3540</v>
      </c>
      <c r="G942">
        <v>3500</v>
      </c>
    </row>
    <row r="943" spans="1:7" hidden="1" x14ac:dyDescent="0.3">
      <c r="A943" t="s">
        <v>106</v>
      </c>
      <c r="B943" t="s">
        <v>448</v>
      </c>
      <c r="C943" t="s">
        <v>285</v>
      </c>
      <c r="D943" t="s">
        <v>266</v>
      </c>
      <c r="E943" t="s">
        <v>136</v>
      </c>
      <c r="F943">
        <v>33000</v>
      </c>
      <c r="G943">
        <v>33000</v>
      </c>
    </row>
    <row r="944" spans="1:7" hidden="1" x14ac:dyDescent="0.3">
      <c r="A944" t="s">
        <v>106</v>
      </c>
      <c r="B944" t="s">
        <v>448</v>
      </c>
      <c r="C944" t="s">
        <v>159</v>
      </c>
      <c r="D944" t="s">
        <v>266</v>
      </c>
      <c r="E944" t="s">
        <v>136</v>
      </c>
      <c r="F944">
        <v>7000</v>
      </c>
      <c r="G944">
        <v>7000</v>
      </c>
    </row>
    <row r="945" spans="1:12" hidden="1" x14ac:dyDescent="0.3">
      <c r="A945" t="s">
        <v>106</v>
      </c>
      <c r="B945" t="s">
        <v>448</v>
      </c>
      <c r="C945" t="s">
        <v>148</v>
      </c>
      <c r="D945" t="s">
        <v>266</v>
      </c>
      <c r="E945" t="s">
        <v>136</v>
      </c>
      <c r="F945">
        <v>2700</v>
      </c>
      <c r="G945">
        <v>2700</v>
      </c>
    </row>
    <row r="946" spans="1:12" hidden="1" x14ac:dyDescent="0.3">
      <c r="A946" t="s">
        <v>106</v>
      </c>
      <c r="B946" t="s">
        <v>448</v>
      </c>
      <c r="C946" t="s">
        <v>240</v>
      </c>
      <c r="D946" t="s">
        <v>266</v>
      </c>
      <c r="E946" t="s">
        <v>136</v>
      </c>
      <c r="F946">
        <v>60000</v>
      </c>
      <c r="G946">
        <v>60000</v>
      </c>
    </row>
    <row r="947" spans="1:12" hidden="1" x14ac:dyDescent="0.3">
      <c r="A947" t="s">
        <v>106</v>
      </c>
      <c r="B947" t="s">
        <v>448</v>
      </c>
      <c r="C947" t="s">
        <v>241</v>
      </c>
      <c r="D947" t="s">
        <v>266</v>
      </c>
      <c r="E947" t="s">
        <v>136</v>
      </c>
      <c r="F947">
        <v>5930</v>
      </c>
      <c r="G947">
        <v>5900</v>
      </c>
    </row>
    <row r="948" spans="1:12" hidden="1" x14ac:dyDescent="0.3">
      <c r="A948" t="s">
        <v>106</v>
      </c>
      <c r="B948" t="s">
        <v>448</v>
      </c>
      <c r="C948" t="s">
        <v>160</v>
      </c>
      <c r="D948" t="s">
        <v>266</v>
      </c>
      <c r="E948" t="s">
        <v>136</v>
      </c>
      <c r="F948">
        <v>7300</v>
      </c>
      <c r="G948">
        <v>7300</v>
      </c>
    </row>
    <row r="949" spans="1:12" hidden="1" x14ac:dyDescent="0.3">
      <c r="A949" t="s">
        <v>106</v>
      </c>
      <c r="B949" t="s">
        <v>448</v>
      </c>
      <c r="C949" t="s">
        <v>201</v>
      </c>
      <c r="D949" t="s">
        <v>266</v>
      </c>
      <c r="E949" t="s">
        <v>136</v>
      </c>
      <c r="F949">
        <v>2100</v>
      </c>
      <c r="G949">
        <v>2100</v>
      </c>
    </row>
    <row r="950" spans="1:12" hidden="1" x14ac:dyDescent="0.3">
      <c r="A950" t="s">
        <v>106</v>
      </c>
      <c r="B950" t="s">
        <v>448</v>
      </c>
      <c r="C950" t="s">
        <v>202</v>
      </c>
      <c r="D950" t="s">
        <v>266</v>
      </c>
      <c r="E950" t="s">
        <v>136</v>
      </c>
      <c r="F950">
        <v>6600</v>
      </c>
      <c r="G950">
        <v>6000</v>
      </c>
    </row>
    <row r="951" spans="1:12" hidden="1" x14ac:dyDescent="0.3">
      <c r="A951" t="s">
        <v>106</v>
      </c>
      <c r="B951" t="s">
        <v>448</v>
      </c>
      <c r="C951" t="s">
        <v>176</v>
      </c>
      <c r="D951" t="s">
        <v>266</v>
      </c>
      <c r="E951" t="s">
        <v>136</v>
      </c>
      <c r="F951">
        <v>13000</v>
      </c>
      <c r="G951">
        <v>13000</v>
      </c>
    </row>
    <row r="952" spans="1:12" hidden="1" x14ac:dyDescent="0.3">
      <c r="A952" t="s">
        <v>106</v>
      </c>
      <c r="B952" t="s">
        <v>448</v>
      </c>
      <c r="C952" t="s">
        <v>363</v>
      </c>
      <c r="D952" t="s">
        <v>266</v>
      </c>
      <c r="E952" t="s">
        <v>136</v>
      </c>
      <c r="F952">
        <v>4900</v>
      </c>
      <c r="G952">
        <v>4900</v>
      </c>
    </row>
    <row r="953" spans="1:12" hidden="1" x14ac:dyDescent="0.3">
      <c r="A953" t="s">
        <v>106</v>
      </c>
      <c r="B953" t="s">
        <v>448</v>
      </c>
      <c r="C953" t="s">
        <v>151</v>
      </c>
      <c r="D953" t="s">
        <v>266</v>
      </c>
      <c r="E953" t="s">
        <v>136</v>
      </c>
      <c r="F953">
        <v>22700</v>
      </c>
      <c r="G953">
        <v>23000</v>
      </c>
    </row>
    <row r="954" spans="1:12" x14ac:dyDescent="0.3">
      <c r="A954" t="s">
        <v>106</v>
      </c>
      <c r="B954" t="s">
        <v>448</v>
      </c>
      <c r="C954" t="s">
        <v>152</v>
      </c>
      <c r="D954" t="s">
        <v>266</v>
      </c>
      <c r="E954" t="s">
        <v>136</v>
      </c>
      <c r="F954" s="3">
        <v>446000</v>
      </c>
      <c r="G954" s="3">
        <v>440000</v>
      </c>
    </row>
    <row r="955" spans="1:12" hidden="1" x14ac:dyDescent="0.3">
      <c r="A955" t="s">
        <v>106</v>
      </c>
      <c r="B955" t="s">
        <v>23</v>
      </c>
      <c r="C955" t="s">
        <v>134</v>
      </c>
      <c r="D955" t="s">
        <v>449</v>
      </c>
      <c r="E955" t="s">
        <v>136</v>
      </c>
      <c r="H955" t="s">
        <v>190</v>
      </c>
      <c r="L955">
        <v>10000</v>
      </c>
    </row>
    <row r="956" spans="1:12" hidden="1" x14ac:dyDescent="0.3">
      <c r="A956" t="s">
        <v>106</v>
      </c>
      <c r="B956" t="s">
        <v>23</v>
      </c>
      <c r="C956" t="s">
        <v>180</v>
      </c>
      <c r="D956" t="s">
        <v>449</v>
      </c>
      <c r="E956" t="s">
        <v>136</v>
      </c>
      <c r="F956">
        <v>200</v>
      </c>
      <c r="G956">
        <v>200</v>
      </c>
    </row>
    <row r="957" spans="1:12" hidden="1" x14ac:dyDescent="0.3">
      <c r="A957" t="s">
        <v>106</v>
      </c>
      <c r="B957" t="s">
        <v>23</v>
      </c>
      <c r="C957" t="s">
        <v>156</v>
      </c>
      <c r="D957" t="s">
        <v>449</v>
      </c>
      <c r="E957" t="s">
        <v>136</v>
      </c>
      <c r="F957">
        <v>130</v>
      </c>
      <c r="G957">
        <v>130</v>
      </c>
      <c r="L957">
        <v>6500</v>
      </c>
    </row>
    <row r="958" spans="1:12" hidden="1" x14ac:dyDescent="0.3">
      <c r="A958" t="s">
        <v>106</v>
      </c>
      <c r="B958" t="s">
        <v>23</v>
      </c>
      <c r="C958" t="s">
        <v>143</v>
      </c>
      <c r="D958" t="s">
        <v>449</v>
      </c>
      <c r="E958" t="s">
        <v>136</v>
      </c>
      <c r="F958">
        <v>1780</v>
      </c>
      <c r="G958">
        <v>1800</v>
      </c>
      <c r="H958" t="s">
        <v>215</v>
      </c>
      <c r="L958">
        <v>5000</v>
      </c>
    </row>
    <row r="959" spans="1:12" hidden="1" x14ac:dyDescent="0.3">
      <c r="A959" t="s">
        <v>106</v>
      </c>
      <c r="B959" t="s">
        <v>23</v>
      </c>
      <c r="C959" t="s">
        <v>251</v>
      </c>
      <c r="D959" t="s">
        <v>449</v>
      </c>
      <c r="E959" t="s">
        <v>136</v>
      </c>
      <c r="F959">
        <v>122</v>
      </c>
      <c r="G959">
        <v>170</v>
      </c>
      <c r="H959" t="s">
        <v>450</v>
      </c>
      <c r="L959">
        <v>300</v>
      </c>
    </row>
    <row r="960" spans="1:12" hidden="1" x14ac:dyDescent="0.3">
      <c r="A960" t="s">
        <v>106</v>
      </c>
      <c r="B960" t="s">
        <v>23</v>
      </c>
      <c r="C960" t="s">
        <v>145</v>
      </c>
      <c r="D960" t="s">
        <v>449</v>
      </c>
      <c r="E960" t="s">
        <v>136</v>
      </c>
      <c r="F960">
        <v>50</v>
      </c>
      <c r="G960">
        <v>50</v>
      </c>
    </row>
    <row r="961" spans="1:13" hidden="1" x14ac:dyDescent="0.3">
      <c r="A961" t="s">
        <v>106</v>
      </c>
      <c r="B961" t="s">
        <v>23</v>
      </c>
      <c r="C961" t="s">
        <v>146</v>
      </c>
      <c r="D961" t="s">
        <v>449</v>
      </c>
      <c r="E961" t="s">
        <v>136</v>
      </c>
      <c r="F961">
        <v>14</v>
      </c>
      <c r="G961">
        <v>14</v>
      </c>
      <c r="L961">
        <v>500</v>
      </c>
    </row>
    <row r="962" spans="1:13" hidden="1" x14ac:dyDescent="0.3">
      <c r="A962" t="s">
        <v>106</v>
      </c>
      <c r="B962" t="s">
        <v>23</v>
      </c>
      <c r="C962" t="s">
        <v>147</v>
      </c>
      <c r="D962" t="s">
        <v>449</v>
      </c>
      <c r="E962" t="s">
        <v>136</v>
      </c>
      <c r="F962">
        <v>680</v>
      </c>
      <c r="G962">
        <v>710</v>
      </c>
    </row>
    <row r="963" spans="1:13" hidden="1" x14ac:dyDescent="0.3">
      <c r="A963" t="s">
        <v>106</v>
      </c>
      <c r="B963" t="s">
        <v>23</v>
      </c>
      <c r="C963" t="s">
        <v>182</v>
      </c>
      <c r="D963" t="s">
        <v>449</v>
      </c>
      <c r="E963" t="s">
        <v>136</v>
      </c>
      <c r="F963">
        <v>50</v>
      </c>
      <c r="G963">
        <v>50</v>
      </c>
      <c r="H963" t="s">
        <v>215</v>
      </c>
      <c r="L963">
        <v>16000</v>
      </c>
    </row>
    <row r="964" spans="1:13" hidden="1" x14ac:dyDescent="0.3">
      <c r="A964" t="s">
        <v>106</v>
      </c>
      <c r="B964" t="s">
        <v>23</v>
      </c>
      <c r="C964" t="s">
        <v>241</v>
      </c>
      <c r="D964" t="s">
        <v>449</v>
      </c>
      <c r="E964" t="s">
        <v>136</v>
      </c>
      <c r="F964">
        <v>74</v>
      </c>
      <c r="G964">
        <v>74</v>
      </c>
      <c r="H964" t="s">
        <v>215</v>
      </c>
      <c r="L964">
        <v>3000</v>
      </c>
    </row>
    <row r="965" spans="1:13" hidden="1" x14ac:dyDescent="0.3">
      <c r="A965" t="s">
        <v>106</v>
      </c>
      <c r="B965" t="s">
        <v>23</v>
      </c>
      <c r="C965" t="s">
        <v>160</v>
      </c>
      <c r="D965" t="s">
        <v>449</v>
      </c>
      <c r="E965" t="s">
        <v>136</v>
      </c>
      <c r="F965">
        <v>350</v>
      </c>
      <c r="G965">
        <v>340</v>
      </c>
      <c r="L965">
        <v>26000</v>
      </c>
    </row>
    <row r="966" spans="1:13" hidden="1" x14ac:dyDescent="0.3">
      <c r="A966" t="s">
        <v>106</v>
      </c>
      <c r="B966" t="s">
        <v>23</v>
      </c>
      <c r="C966" t="s">
        <v>451</v>
      </c>
      <c r="D966" t="s">
        <v>449</v>
      </c>
      <c r="E966" t="s">
        <v>136</v>
      </c>
      <c r="F966">
        <v>24</v>
      </c>
      <c r="G966">
        <v>60</v>
      </c>
      <c r="M966" t="s">
        <v>169</v>
      </c>
    </row>
    <row r="967" spans="1:13" hidden="1" x14ac:dyDescent="0.3">
      <c r="A967" t="s">
        <v>106</v>
      </c>
      <c r="B967" t="s">
        <v>23</v>
      </c>
      <c r="C967" t="s">
        <v>252</v>
      </c>
      <c r="D967" t="s">
        <v>449</v>
      </c>
      <c r="E967" t="s">
        <v>136</v>
      </c>
      <c r="F967">
        <v>9</v>
      </c>
      <c r="G967">
        <v>9</v>
      </c>
      <c r="M967" t="s">
        <v>169</v>
      </c>
    </row>
    <row r="968" spans="1:13" hidden="1" x14ac:dyDescent="0.3">
      <c r="A968" t="s">
        <v>106</v>
      </c>
      <c r="B968" t="s">
        <v>23</v>
      </c>
      <c r="C968" t="s">
        <v>341</v>
      </c>
      <c r="D968" t="s">
        <v>449</v>
      </c>
      <c r="E968" t="s">
        <v>136</v>
      </c>
      <c r="F968">
        <v>4</v>
      </c>
      <c r="H968" t="s">
        <v>139</v>
      </c>
      <c r="L968">
        <v>500</v>
      </c>
    </row>
    <row r="969" spans="1:13" hidden="1" x14ac:dyDescent="0.3">
      <c r="A969" t="s">
        <v>106</v>
      </c>
      <c r="B969" t="s">
        <v>23</v>
      </c>
      <c r="C969" t="s">
        <v>176</v>
      </c>
      <c r="D969" t="s">
        <v>449</v>
      </c>
      <c r="E969" t="s">
        <v>136</v>
      </c>
      <c r="F969">
        <v>50</v>
      </c>
      <c r="G969">
        <v>50</v>
      </c>
      <c r="M969" t="s">
        <v>169</v>
      </c>
    </row>
    <row r="970" spans="1:13" hidden="1" x14ac:dyDescent="0.3">
      <c r="A970" t="s">
        <v>106</v>
      </c>
      <c r="B970" t="s">
        <v>23</v>
      </c>
      <c r="C970" t="s">
        <v>242</v>
      </c>
      <c r="D970" t="s">
        <v>449</v>
      </c>
      <c r="E970" t="s">
        <v>136</v>
      </c>
      <c r="F970">
        <v>2</v>
      </c>
      <c r="G970">
        <v>2</v>
      </c>
      <c r="M970" t="s">
        <v>169</v>
      </c>
    </row>
    <row r="971" spans="1:13" hidden="1" x14ac:dyDescent="0.3">
      <c r="A971" t="s">
        <v>106</v>
      </c>
      <c r="B971" t="s">
        <v>23</v>
      </c>
      <c r="C971" t="s">
        <v>151</v>
      </c>
      <c r="D971" t="s">
        <v>449</v>
      </c>
      <c r="E971" t="s">
        <v>136</v>
      </c>
      <c r="H971" t="s">
        <v>169</v>
      </c>
      <c r="L971">
        <v>24000</v>
      </c>
    </row>
    <row r="972" spans="1:13" x14ac:dyDescent="0.3">
      <c r="A972" t="s">
        <v>106</v>
      </c>
      <c r="B972" t="s">
        <v>23</v>
      </c>
      <c r="C972" t="s">
        <v>152</v>
      </c>
      <c r="D972" t="s">
        <v>449</v>
      </c>
      <c r="E972" t="s">
        <v>136</v>
      </c>
      <c r="F972" s="3">
        <v>3530</v>
      </c>
      <c r="G972" s="3">
        <v>3700</v>
      </c>
      <c r="H972" t="s">
        <v>205</v>
      </c>
      <c r="L972">
        <v>92000</v>
      </c>
    </row>
    <row r="973" spans="1:13" hidden="1" x14ac:dyDescent="0.3">
      <c r="A973" t="s">
        <v>106</v>
      </c>
      <c r="B973" t="s">
        <v>24</v>
      </c>
      <c r="C973" t="s">
        <v>134</v>
      </c>
      <c r="D973" t="s">
        <v>112</v>
      </c>
      <c r="E973" t="s">
        <v>154</v>
      </c>
      <c r="H973" t="s">
        <v>190</v>
      </c>
    </row>
    <row r="974" spans="1:13" hidden="1" x14ac:dyDescent="0.3">
      <c r="A974" t="s">
        <v>106</v>
      </c>
      <c r="B974" t="s">
        <v>24</v>
      </c>
      <c r="C974" t="s">
        <v>140</v>
      </c>
      <c r="D974" t="s">
        <v>112</v>
      </c>
      <c r="E974" t="s">
        <v>154</v>
      </c>
    </row>
    <row r="975" spans="1:13" hidden="1" x14ac:dyDescent="0.3">
      <c r="A975" t="s">
        <v>106</v>
      </c>
      <c r="B975" t="s">
        <v>24</v>
      </c>
      <c r="C975" t="s">
        <v>452</v>
      </c>
      <c r="D975" t="s">
        <v>112</v>
      </c>
      <c r="E975" t="s">
        <v>154</v>
      </c>
      <c r="F975">
        <v>82</v>
      </c>
      <c r="G975">
        <v>80</v>
      </c>
    </row>
    <row r="976" spans="1:13" hidden="1" x14ac:dyDescent="0.3">
      <c r="A976" t="s">
        <v>106</v>
      </c>
      <c r="B976" t="s">
        <v>24</v>
      </c>
      <c r="C976" t="s">
        <v>142</v>
      </c>
      <c r="D976" t="s">
        <v>112</v>
      </c>
      <c r="E976" t="s">
        <v>154</v>
      </c>
      <c r="F976">
        <v>190</v>
      </c>
      <c r="G976">
        <v>200</v>
      </c>
    </row>
    <row r="977" spans="1:8" hidden="1" x14ac:dyDescent="0.3">
      <c r="A977" t="s">
        <v>106</v>
      </c>
      <c r="B977" t="s">
        <v>24</v>
      </c>
      <c r="C977" t="s">
        <v>156</v>
      </c>
      <c r="D977" t="s">
        <v>112</v>
      </c>
      <c r="E977" t="s">
        <v>154</v>
      </c>
      <c r="F977">
        <v>23</v>
      </c>
      <c r="G977">
        <v>20</v>
      </c>
    </row>
    <row r="978" spans="1:8" hidden="1" x14ac:dyDescent="0.3">
      <c r="A978" t="s">
        <v>106</v>
      </c>
      <c r="B978" t="s">
        <v>24</v>
      </c>
      <c r="C978" t="s">
        <v>143</v>
      </c>
      <c r="D978" t="s">
        <v>112</v>
      </c>
      <c r="E978" t="s">
        <v>154</v>
      </c>
      <c r="F978">
        <v>3640</v>
      </c>
      <c r="G978">
        <v>3500</v>
      </c>
    </row>
    <row r="979" spans="1:8" hidden="1" x14ac:dyDescent="0.3">
      <c r="A979" t="s">
        <v>106</v>
      </c>
      <c r="B979" t="s">
        <v>24</v>
      </c>
      <c r="C979" t="s">
        <v>144</v>
      </c>
      <c r="D979" t="s">
        <v>112</v>
      </c>
      <c r="E979" t="s">
        <v>154</v>
      </c>
      <c r="F979">
        <v>23</v>
      </c>
      <c r="G979">
        <v>20</v>
      </c>
    </row>
    <row r="980" spans="1:8" hidden="1" x14ac:dyDescent="0.3">
      <c r="A980" t="s">
        <v>106</v>
      </c>
      <c r="B980" t="s">
        <v>24</v>
      </c>
      <c r="C980" t="s">
        <v>145</v>
      </c>
      <c r="D980" t="s">
        <v>112</v>
      </c>
      <c r="E980" t="s">
        <v>154</v>
      </c>
    </row>
    <row r="981" spans="1:8" hidden="1" x14ac:dyDescent="0.3">
      <c r="A981" t="s">
        <v>106</v>
      </c>
      <c r="B981" t="s">
        <v>24</v>
      </c>
      <c r="C981" t="s">
        <v>158</v>
      </c>
      <c r="D981" t="s">
        <v>112</v>
      </c>
      <c r="E981" t="s">
        <v>154</v>
      </c>
      <c r="F981">
        <v>73</v>
      </c>
      <c r="G981">
        <v>70</v>
      </c>
    </row>
    <row r="982" spans="1:8" hidden="1" x14ac:dyDescent="0.3">
      <c r="A982" t="s">
        <v>106</v>
      </c>
      <c r="B982" t="s">
        <v>24</v>
      </c>
      <c r="C982" t="s">
        <v>146</v>
      </c>
      <c r="D982" t="s">
        <v>112</v>
      </c>
      <c r="E982" t="s">
        <v>154</v>
      </c>
      <c r="F982">
        <v>59</v>
      </c>
      <c r="G982">
        <v>60</v>
      </c>
    </row>
    <row r="983" spans="1:8" hidden="1" x14ac:dyDescent="0.3">
      <c r="A983" t="s">
        <v>106</v>
      </c>
      <c r="B983" t="s">
        <v>24</v>
      </c>
      <c r="C983" t="s">
        <v>171</v>
      </c>
      <c r="D983" t="s">
        <v>112</v>
      </c>
      <c r="E983" t="s">
        <v>154</v>
      </c>
      <c r="F983">
        <v>127</v>
      </c>
      <c r="G983">
        <v>130</v>
      </c>
    </row>
    <row r="984" spans="1:8" hidden="1" x14ac:dyDescent="0.3">
      <c r="A984" t="s">
        <v>106</v>
      </c>
      <c r="B984" t="s">
        <v>24</v>
      </c>
      <c r="C984" t="s">
        <v>159</v>
      </c>
      <c r="D984" t="s">
        <v>112</v>
      </c>
      <c r="E984" t="s">
        <v>154</v>
      </c>
      <c r="F984">
        <v>91</v>
      </c>
      <c r="G984">
        <v>130</v>
      </c>
    </row>
    <row r="985" spans="1:8" hidden="1" x14ac:dyDescent="0.3">
      <c r="A985" t="s">
        <v>106</v>
      </c>
      <c r="B985" t="s">
        <v>24</v>
      </c>
      <c r="C985" t="s">
        <v>149</v>
      </c>
      <c r="D985" t="s">
        <v>112</v>
      </c>
      <c r="E985" t="s">
        <v>154</v>
      </c>
      <c r="F985">
        <v>176</v>
      </c>
      <c r="G985">
        <v>180</v>
      </c>
    </row>
    <row r="986" spans="1:8" hidden="1" x14ac:dyDescent="0.3">
      <c r="A986" t="s">
        <v>106</v>
      </c>
      <c r="B986" t="s">
        <v>24</v>
      </c>
      <c r="C986" t="s">
        <v>241</v>
      </c>
      <c r="D986" t="s">
        <v>112</v>
      </c>
      <c r="E986" t="s">
        <v>154</v>
      </c>
      <c r="F986">
        <v>33</v>
      </c>
      <c r="G986">
        <v>30</v>
      </c>
    </row>
    <row r="987" spans="1:8" hidden="1" x14ac:dyDescent="0.3">
      <c r="A987" t="s">
        <v>106</v>
      </c>
      <c r="B987" t="s">
        <v>24</v>
      </c>
      <c r="C987" t="s">
        <v>160</v>
      </c>
      <c r="D987" t="s">
        <v>112</v>
      </c>
      <c r="E987" t="s">
        <v>154</v>
      </c>
      <c r="F987">
        <v>473</v>
      </c>
      <c r="G987">
        <v>470</v>
      </c>
    </row>
    <row r="988" spans="1:8" hidden="1" x14ac:dyDescent="0.3">
      <c r="A988" t="s">
        <v>106</v>
      </c>
      <c r="B988" t="s">
        <v>24</v>
      </c>
      <c r="C988" t="s">
        <v>252</v>
      </c>
      <c r="D988" t="s">
        <v>112</v>
      </c>
      <c r="E988" t="s">
        <v>154</v>
      </c>
      <c r="F988">
        <v>37</v>
      </c>
      <c r="G988">
        <v>40</v>
      </c>
    </row>
    <row r="989" spans="1:8" hidden="1" x14ac:dyDescent="0.3">
      <c r="A989" t="s">
        <v>106</v>
      </c>
      <c r="B989" t="s">
        <v>24</v>
      </c>
      <c r="C989" t="s">
        <v>202</v>
      </c>
      <c r="D989" t="s">
        <v>112</v>
      </c>
      <c r="E989" t="s">
        <v>154</v>
      </c>
      <c r="F989">
        <v>44</v>
      </c>
      <c r="G989">
        <v>40</v>
      </c>
    </row>
    <row r="990" spans="1:8" hidden="1" x14ac:dyDescent="0.3">
      <c r="A990" t="s">
        <v>106</v>
      </c>
      <c r="B990" t="s">
        <v>24</v>
      </c>
      <c r="C990" t="s">
        <v>151</v>
      </c>
      <c r="D990" t="s">
        <v>112</v>
      </c>
      <c r="E990" t="s">
        <v>154</v>
      </c>
      <c r="F990">
        <v>119</v>
      </c>
      <c r="G990">
        <v>130</v>
      </c>
      <c r="H990" t="s">
        <v>139</v>
      </c>
    </row>
    <row r="991" spans="1:8" x14ac:dyDescent="0.3">
      <c r="A991" t="s">
        <v>106</v>
      </c>
      <c r="B991" t="s">
        <v>24</v>
      </c>
      <c r="C991" t="s">
        <v>152</v>
      </c>
      <c r="D991" t="s">
        <v>112</v>
      </c>
      <c r="E991" t="s">
        <v>154</v>
      </c>
      <c r="F991" s="3">
        <v>5190</v>
      </c>
      <c r="G991" s="3">
        <v>5100</v>
      </c>
    </row>
    <row r="992" spans="1:8" hidden="1" x14ac:dyDescent="0.3">
      <c r="A992" t="s">
        <v>106</v>
      </c>
      <c r="B992" t="s">
        <v>24</v>
      </c>
      <c r="C992" t="s">
        <v>134</v>
      </c>
      <c r="D992" t="s">
        <v>113</v>
      </c>
      <c r="E992" t="s">
        <v>154</v>
      </c>
      <c r="H992" t="s">
        <v>190</v>
      </c>
    </row>
    <row r="993" spans="1:7" hidden="1" x14ac:dyDescent="0.3">
      <c r="A993" t="s">
        <v>106</v>
      </c>
      <c r="B993" t="s">
        <v>24</v>
      </c>
      <c r="C993" t="s">
        <v>140</v>
      </c>
      <c r="D993" t="s">
        <v>113</v>
      </c>
      <c r="E993" t="s">
        <v>154</v>
      </c>
      <c r="F993">
        <v>39</v>
      </c>
      <c r="G993">
        <v>40</v>
      </c>
    </row>
    <row r="994" spans="1:7" hidden="1" x14ac:dyDescent="0.3">
      <c r="A994" t="s">
        <v>106</v>
      </c>
      <c r="B994" t="s">
        <v>24</v>
      </c>
      <c r="C994" t="s">
        <v>452</v>
      </c>
      <c r="D994" t="s">
        <v>113</v>
      </c>
      <c r="E994" t="s">
        <v>154</v>
      </c>
    </row>
    <row r="995" spans="1:7" hidden="1" x14ac:dyDescent="0.3">
      <c r="A995" t="s">
        <v>106</v>
      </c>
      <c r="B995" t="s">
        <v>24</v>
      </c>
      <c r="C995" t="s">
        <v>142</v>
      </c>
      <c r="D995" t="s">
        <v>113</v>
      </c>
      <c r="E995" t="s">
        <v>154</v>
      </c>
      <c r="F995">
        <v>196</v>
      </c>
      <c r="G995">
        <v>190</v>
      </c>
    </row>
    <row r="996" spans="1:7" hidden="1" x14ac:dyDescent="0.3">
      <c r="A996" t="s">
        <v>106</v>
      </c>
      <c r="B996" t="s">
        <v>24</v>
      </c>
      <c r="C996" t="s">
        <v>156</v>
      </c>
      <c r="D996" t="s">
        <v>113</v>
      </c>
      <c r="E996" t="s">
        <v>154</v>
      </c>
      <c r="F996">
        <v>29</v>
      </c>
      <c r="G996">
        <v>30</v>
      </c>
    </row>
    <row r="997" spans="1:7" hidden="1" x14ac:dyDescent="0.3">
      <c r="A997" t="s">
        <v>106</v>
      </c>
      <c r="B997" t="s">
        <v>24</v>
      </c>
      <c r="C997" t="s">
        <v>143</v>
      </c>
      <c r="D997" t="s">
        <v>113</v>
      </c>
      <c r="E997" t="s">
        <v>154</v>
      </c>
      <c r="F997">
        <v>3630</v>
      </c>
      <c r="G997">
        <v>3900</v>
      </c>
    </row>
    <row r="998" spans="1:7" hidden="1" x14ac:dyDescent="0.3">
      <c r="A998" t="s">
        <v>106</v>
      </c>
      <c r="B998" t="s">
        <v>24</v>
      </c>
      <c r="C998" t="s">
        <v>144</v>
      </c>
      <c r="D998" t="s">
        <v>113</v>
      </c>
      <c r="E998" t="s">
        <v>154</v>
      </c>
      <c r="F998">
        <v>90</v>
      </c>
      <c r="G998">
        <v>90</v>
      </c>
    </row>
    <row r="999" spans="1:7" hidden="1" x14ac:dyDescent="0.3">
      <c r="A999" t="s">
        <v>106</v>
      </c>
      <c r="B999" t="s">
        <v>24</v>
      </c>
      <c r="C999" t="s">
        <v>145</v>
      </c>
      <c r="D999" t="s">
        <v>113</v>
      </c>
      <c r="E999" t="s">
        <v>154</v>
      </c>
      <c r="F999">
        <v>59</v>
      </c>
      <c r="G999">
        <v>60</v>
      </c>
    </row>
    <row r="1000" spans="1:7" hidden="1" x14ac:dyDescent="0.3">
      <c r="A1000" t="s">
        <v>106</v>
      </c>
      <c r="B1000" t="s">
        <v>24</v>
      </c>
      <c r="C1000" t="s">
        <v>158</v>
      </c>
      <c r="D1000" t="s">
        <v>113</v>
      </c>
      <c r="E1000" t="s">
        <v>154</v>
      </c>
      <c r="F1000">
        <v>24</v>
      </c>
      <c r="G1000">
        <v>20</v>
      </c>
    </row>
    <row r="1001" spans="1:7" hidden="1" x14ac:dyDescent="0.3">
      <c r="A1001" t="s">
        <v>106</v>
      </c>
      <c r="B1001" t="s">
        <v>24</v>
      </c>
      <c r="C1001" t="s">
        <v>146</v>
      </c>
      <c r="D1001" t="s">
        <v>113</v>
      </c>
      <c r="E1001" t="s">
        <v>154</v>
      </c>
    </row>
    <row r="1002" spans="1:7" hidden="1" x14ac:dyDescent="0.3">
      <c r="A1002" t="s">
        <v>106</v>
      </c>
      <c r="B1002" t="s">
        <v>24</v>
      </c>
      <c r="C1002" t="s">
        <v>171</v>
      </c>
      <c r="D1002" t="s">
        <v>113</v>
      </c>
      <c r="E1002" t="s">
        <v>154</v>
      </c>
      <c r="F1002">
        <v>7</v>
      </c>
      <c r="G1002">
        <v>7</v>
      </c>
    </row>
    <row r="1003" spans="1:7" hidden="1" x14ac:dyDescent="0.3">
      <c r="A1003" t="s">
        <v>106</v>
      </c>
      <c r="B1003" t="s">
        <v>24</v>
      </c>
      <c r="C1003" t="s">
        <v>159</v>
      </c>
      <c r="D1003" t="s">
        <v>113</v>
      </c>
      <c r="E1003" t="s">
        <v>154</v>
      </c>
    </row>
    <row r="1004" spans="1:7" hidden="1" x14ac:dyDescent="0.3">
      <c r="A1004" t="s">
        <v>106</v>
      </c>
      <c r="B1004" t="s">
        <v>24</v>
      </c>
      <c r="C1004" t="s">
        <v>149</v>
      </c>
      <c r="D1004" t="s">
        <v>113</v>
      </c>
      <c r="E1004" t="s">
        <v>154</v>
      </c>
      <c r="F1004">
        <v>123</v>
      </c>
      <c r="G1004">
        <v>120</v>
      </c>
    </row>
    <row r="1005" spans="1:7" hidden="1" x14ac:dyDescent="0.3">
      <c r="A1005" t="s">
        <v>106</v>
      </c>
      <c r="B1005" t="s">
        <v>24</v>
      </c>
      <c r="C1005" t="s">
        <v>241</v>
      </c>
      <c r="D1005" t="s">
        <v>113</v>
      </c>
      <c r="E1005" t="s">
        <v>154</v>
      </c>
    </row>
    <row r="1006" spans="1:7" hidden="1" x14ac:dyDescent="0.3">
      <c r="A1006" t="s">
        <v>106</v>
      </c>
      <c r="B1006" t="s">
        <v>24</v>
      </c>
      <c r="C1006" t="s">
        <v>160</v>
      </c>
      <c r="D1006" t="s">
        <v>113</v>
      </c>
      <c r="E1006" t="s">
        <v>154</v>
      </c>
      <c r="F1006">
        <v>54</v>
      </c>
      <c r="G1006">
        <v>50</v>
      </c>
    </row>
    <row r="1007" spans="1:7" hidden="1" x14ac:dyDescent="0.3">
      <c r="A1007" t="s">
        <v>106</v>
      </c>
      <c r="B1007" t="s">
        <v>24</v>
      </c>
      <c r="C1007" t="s">
        <v>252</v>
      </c>
      <c r="D1007" t="s">
        <v>113</v>
      </c>
      <c r="E1007" t="s">
        <v>154</v>
      </c>
      <c r="F1007">
        <v>13</v>
      </c>
      <c r="G1007">
        <v>10</v>
      </c>
    </row>
    <row r="1008" spans="1:7" hidden="1" x14ac:dyDescent="0.3">
      <c r="A1008" t="s">
        <v>106</v>
      </c>
      <c r="B1008" t="s">
        <v>24</v>
      </c>
      <c r="C1008" t="s">
        <v>202</v>
      </c>
      <c r="D1008" t="s">
        <v>113</v>
      </c>
      <c r="E1008" t="s">
        <v>154</v>
      </c>
      <c r="F1008">
        <v>5</v>
      </c>
      <c r="G1008">
        <v>5</v>
      </c>
    </row>
    <row r="1009" spans="1:13" hidden="1" x14ac:dyDescent="0.3">
      <c r="A1009" t="s">
        <v>106</v>
      </c>
      <c r="B1009" t="s">
        <v>24</v>
      </c>
      <c r="C1009" t="s">
        <v>151</v>
      </c>
      <c r="D1009" t="s">
        <v>113</v>
      </c>
      <c r="E1009" t="s">
        <v>154</v>
      </c>
      <c r="F1009">
        <v>11</v>
      </c>
      <c r="G1009">
        <v>78</v>
      </c>
    </row>
    <row r="1010" spans="1:13" x14ac:dyDescent="0.3">
      <c r="A1010" t="s">
        <v>106</v>
      </c>
      <c r="B1010" t="s">
        <v>24</v>
      </c>
      <c r="C1010" t="s">
        <v>152</v>
      </c>
      <c r="D1010" t="s">
        <v>113</v>
      </c>
      <c r="E1010" t="s">
        <v>154</v>
      </c>
      <c r="F1010" s="3">
        <v>4280</v>
      </c>
      <c r="G1010" s="3">
        <v>4600</v>
      </c>
    </row>
    <row r="1011" spans="1:13" hidden="1" x14ac:dyDescent="0.3">
      <c r="A1011" t="s">
        <v>106</v>
      </c>
      <c r="B1011" t="s">
        <v>25</v>
      </c>
      <c r="C1011" t="s">
        <v>134</v>
      </c>
      <c r="D1011" t="s">
        <v>453</v>
      </c>
      <c r="E1011" t="s">
        <v>136</v>
      </c>
      <c r="F1011">
        <v>1020</v>
      </c>
      <c r="G1011">
        <v>1100</v>
      </c>
      <c r="L1011">
        <v>23000</v>
      </c>
    </row>
    <row r="1012" spans="1:13" hidden="1" x14ac:dyDescent="0.3">
      <c r="A1012" t="s">
        <v>106</v>
      </c>
      <c r="B1012" t="s">
        <v>25</v>
      </c>
      <c r="C1012" t="s">
        <v>218</v>
      </c>
      <c r="D1012" t="s">
        <v>453</v>
      </c>
      <c r="E1012" t="s">
        <v>136</v>
      </c>
      <c r="F1012">
        <v>808</v>
      </c>
      <c r="G1012">
        <v>800</v>
      </c>
      <c r="L1012">
        <v>6500</v>
      </c>
    </row>
    <row r="1013" spans="1:13" hidden="1" x14ac:dyDescent="0.3">
      <c r="A1013" t="s">
        <v>106</v>
      </c>
      <c r="B1013" t="s">
        <v>25</v>
      </c>
      <c r="C1013" t="s">
        <v>140</v>
      </c>
      <c r="D1013" t="s">
        <v>453</v>
      </c>
      <c r="E1013" t="s">
        <v>136</v>
      </c>
      <c r="F1013">
        <v>1030</v>
      </c>
      <c r="G1013">
        <v>1000</v>
      </c>
      <c r="L1013">
        <v>94000</v>
      </c>
      <c r="M1013" t="s">
        <v>454</v>
      </c>
    </row>
    <row r="1014" spans="1:13" hidden="1" x14ac:dyDescent="0.3">
      <c r="A1014" t="s">
        <v>106</v>
      </c>
      <c r="B1014" t="s">
        <v>25</v>
      </c>
      <c r="C1014" t="s">
        <v>166</v>
      </c>
      <c r="D1014" t="s">
        <v>453</v>
      </c>
      <c r="E1014" t="s">
        <v>136</v>
      </c>
      <c r="F1014">
        <v>1350</v>
      </c>
      <c r="G1014">
        <v>1300</v>
      </c>
      <c r="L1014">
        <v>22000</v>
      </c>
    </row>
    <row r="1015" spans="1:13" hidden="1" x14ac:dyDescent="0.3">
      <c r="A1015" t="s">
        <v>106</v>
      </c>
      <c r="B1015" t="s">
        <v>25</v>
      </c>
      <c r="C1015" t="s">
        <v>221</v>
      </c>
      <c r="D1015" t="s">
        <v>453</v>
      </c>
      <c r="E1015" t="s">
        <v>136</v>
      </c>
      <c r="F1015">
        <v>1260</v>
      </c>
      <c r="G1015">
        <v>1200</v>
      </c>
      <c r="L1015">
        <v>26000</v>
      </c>
    </row>
    <row r="1016" spans="1:13" hidden="1" x14ac:dyDescent="0.3">
      <c r="A1016" t="s">
        <v>106</v>
      </c>
      <c r="B1016" t="s">
        <v>25</v>
      </c>
      <c r="C1016" t="s">
        <v>156</v>
      </c>
      <c r="D1016" t="s">
        <v>453</v>
      </c>
      <c r="E1016" t="s">
        <v>136</v>
      </c>
      <c r="F1016">
        <v>306</v>
      </c>
      <c r="G1016">
        <v>300</v>
      </c>
      <c r="L1016">
        <v>4900</v>
      </c>
    </row>
    <row r="1017" spans="1:13" hidden="1" x14ac:dyDescent="0.3">
      <c r="A1017" t="s">
        <v>106</v>
      </c>
      <c r="B1017" t="s">
        <v>25</v>
      </c>
      <c r="C1017" t="s">
        <v>143</v>
      </c>
      <c r="D1017" t="s">
        <v>453</v>
      </c>
      <c r="E1017" t="s">
        <v>136</v>
      </c>
      <c r="F1017">
        <v>3400</v>
      </c>
      <c r="G1017">
        <v>3300</v>
      </c>
      <c r="L1017">
        <v>70000</v>
      </c>
    </row>
    <row r="1018" spans="1:13" hidden="1" x14ac:dyDescent="0.3">
      <c r="A1018" t="s">
        <v>106</v>
      </c>
      <c r="B1018" t="s">
        <v>25</v>
      </c>
      <c r="C1018" t="s">
        <v>146</v>
      </c>
      <c r="D1018" t="s">
        <v>453</v>
      </c>
      <c r="E1018" t="s">
        <v>136</v>
      </c>
      <c r="F1018">
        <v>813</v>
      </c>
      <c r="G1018">
        <v>800</v>
      </c>
      <c r="L1018">
        <v>8000</v>
      </c>
    </row>
    <row r="1019" spans="1:13" hidden="1" x14ac:dyDescent="0.3">
      <c r="A1019" t="s">
        <v>106</v>
      </c>
      <c r="B1019" t="s">
        <v>25</v>
      </c>
      <c r="C1019" t="s">
        <v>171</v>
      </c>
      <c r="D1019" t="s">
        <v>453</v>
      </c>
      <c r="E1019" t="s">
        <v>136</v>
      </c>
      <c r="F1019">
        <v>985</v>
      </c>
      <c r="G1019">
        <v>1000</v>
      </c>
      <c r="M1019" t="s">
        <v>169</v>
      </c>
    </row>
    <row r="1020" spans="1:13" hidden="1" x14ac:dyDescent="0.3">
      <c r="A1020" t="s">
        <v>106</v>
      </c>
      <c r="B1020" t="s">
        <v>25</v>
      </c>
      <c r="C1020" t="s">
        <v>148</v>
      </c>
      <c r="D1020" t="s">
        <v>453</v>
      </c>
      <c r="E1020" t="s">
        <v>136</v>
      </c>
      <c r="F1020">
        <v>6290</v>
      </c>
      <c r="G1020">
        <v>6300</v>
      </c>
      <c r="L1020">
        <v>37000</v>
      </c>
    </row>
    <row r="1021" spans="1:13" hidden="1" x14ac:dyDescent="0.3">
      <c r="A1021" t="s">
        <v>106</v>
      </c>
      <c r="B1021" t="s">
        <v>25</v>
      </c>
      <c r="C1021" t="s">
        <v>182</v>
      </c>
      <c r="D1021" t="s">
        <v>453</v>
      </c>
      <c r="E1021" t="s">
        <v>136</v>
      </c>
      <c r="F1021">
        <v>3200</v>
      </c>
      <c r="G1021">
        <v>3100</v>
      </c>
      <c r="L1021">
        <v>140000</v>
      </c>
    </row>
    <row r="1022" spans="1:13" hidden="1" x14ac:dyDescent="0.3">
      <c r="A1022" t="s">
        <v>106</v>
      </c>
      <c r="B1022" t="s">
        <v>25</v>
      </c>
      <c r="C1022" t="s">
        <v>241</v>
      </c>
      <c r="D1022" t="s">
        <v>453</v>
      </c>
      <c r="E1022" t="s">
        <v>136</v>
      </c>
      <c r="F1022">
        <v>1320</v>
      </c>
      <c r="G1022">
        <v>1300</v>
      </c>
      <c r="L1022">
        <v>61000</v>
      </c>
    </row>
    <row r="1023" spans="1:13" hidden="1" x14ac:dyDescent="0.3">
      <c r="A1023" t="s">
        <v>106</v>
      </c>
      <c r="B1023" t="s">
        <v>25</v>
      </c>
      <c r="C1023" t="s">
        <v>160</v>
      </c>
      <c r="D1023" t="s">
        <v>453</v>
      </c>
      <c r="E1023" t="s">
        <v>136</v>
      </c>
      <c r="F1023">
        <v>1240</v>
      </c>
      <c r="G1023">
        <v>1200</v>
      </c>
      <c r="L1023">
        <v>92000</v>
      </c>
    </row>
    <row r="1024" spans="1:13" hidden="1" x14ac:dyDescent="0.3">
      <c r="A1024" t="s">
        <v>106</v>
      </c>
      <c r="B1024" t="s">
        <v>25</v>
      </c>
      <c r="C1024" t="s">
        <v>341</v>
      </c>
      <c r="D1024" t="s">
        <v>453</v>
      </c>
      <c r="E1024" t="s">
        <v>136</v>
      </c>
      <c r="F1024">
        <v>404</v>
      </c>
      <c r="G1024">
        <v>400</v>
      </c>
      <c r="M1024" t="s">
        <v>169</v>
      </c>
    </row>
    <row r="1025" spans="1:13" hidden="1" x14ac:dyDescent="0.3">
      <c r="A1025" t="s">
        <v>106</v>
      </c>
      <c r="B1025" t="s">
        <v>25</v>
      </c>
      <c r="C1025" t="s">
        <v>151</v>
      </c>
      <c r="D1025" t="s">
        <v>453</v>
      </c>
      <c r="E1025" t="s">
        <v>136</v>
      </c>
      <c r="F1025">
        <v>2050</v>
      </c>
      <c r="G1025">
        <v>2100</v>
      </c>
      <c r="L1025">
        <v>57000</v>
      </c>
    </row>
    <row r="1026" spans="1:13" x14ac:dyDescent="0.3">
      <c r="A1026" t="s">
        <v>106</v>
      </c>
      <c r="B1026" t="s">
        <v>25</v>
      </c>
      <c r="C1026" t="s">
        <v>152</v>
      </c>
      <c r="D1026" t="s">
        <v>453</v>
      </c>
      <c r="E1026" t="s">
        <v>136</v>
      </c>
      <c r="F1026" s="3">
        <v>25476</v>
      </c>
      <c r="G1026" s="3">
        <v>25200</v>
      </c>
      <c r="L1026">
        <v>640000</v>
      </c>
    </row>
    <row r="1027" spans="1:13" hidden="1" x14ac:dyDescent="0.3">
      <c r="A1027" t="s">
        <v>106</v>
      </c>
      <c r="B1027" t="s">
        <v>455</v>
      </c>
      <c r="C1027" t="s">
        <v>134</v>
      </c>
      <c r="D1027" t="s">
        <v>456</v>
      </c>
      <c r="E1027" t="s">
        <v>154</v>
      </c>
      <c r="F1027">
        <v>10900</v>
      </c>
      <c r="G1027">
        <v>12000</v>
      </c>
      <c r="L1027">
        <v>23000000</v>
      </c>
    </row>
    <row r="1028" spans="1:13" hidden="1" x14ac:dyDescent="0.3">
      <c r="A1028" t="s">
        <v>106</v>
      </c>
      <c r="B1028" t="s">
        <v>455</v>
      </c>
      <c r="C1028" t="s">
        <v>280</v>
      </c>
      <c r="D1028" t="s">
        <v>457</v>
      </c>
      <c r="E1028" t="s">
        <v>154</v>
      </c>
      <c r="F1028">
        <v>262</v>
      </c>
      <c r="G1028">
        <v>270</v>
      </c>
      <c r="L1028">
        <v>16000</v>
      </c>
    </row>
    <row r="1029" spans="1:13" hidden="1" x14ac:dyDescent="0.3">
      <c r="A1029" t="s">
        <v>106</v>
      </c>
      <c r="B1029" t="s">
        <v>455</v>
      </c>
      <c r="C1029" t="s">
        <v>436</v>
      </c>
      <c r="D1029" t="s">
        <v>457</v>
      </c>
      <c r="E1029" t="s">
        <v>154</v>
      </c>
      <c r="F1029">
        <v>18</v>
      </c>
      <c r="G1029">
        <v>20</v>
      </c>
      <c r="H1029" t="s">
        <v>157</v>
      </c>
      <c r="L1029">
        <v>400000</v>
      </c>
    </row>
    <row r="1030" spans="1:13" hidden="1" x14ac:dyDescent="0.3">
      <c r="A1030" t="s">
        <v>106</v>
      </c>
      <c r="B1030" t="s">
        <v>455</v>
      </c>
      <c r="C1030" t="s">
        <v>458</v>
      </c>
      <c r="D1030" t="s">
        <v>457</v>
      </c>
      <c r="E1030" t="s">
        <v>154</v>
      </c>
      <c r="F1030">
        <v>300</v>
      </c>
      <c r="G1030">
        <v>300</v>
      </c>
      <c r="H1030" t="s">
        <v>157</v>
      </c>
      <c r="L1030">
        <v>7000</v>
      </c>
    </row>
    <row r="1031" spans="1:13" hidden="1" x14ac:dyDescent="0.3">
      <c r="A1031" t="s">
        <v>106</v>
      </c>
      <c r="B1031" t="s">
        <v>455</v>
      </c>
      <c r="C1031" t="s">
        <v>176</v>
      </c>
      <c r="D1031" t="s">
        <v>457</v>
      </c>
      <c r="E1031" t="s">
        <v>154</v>
      </c>
      <c r="F1031">
        <v>11500</v>
      </c>
      <c r="G1031">
        <v>11000</v>
      </c>
      <c r="H1031" t="s">
        <v>157</v>
      </c>
      <c r="L1031">
        <v>840000</v>
      </c>
    </row>
    <row r="1032" spans="1:13" hidden="1" x14ac:dyDescent="0.3">
      <c r="A1032" t="s">
        <v>106</v>
      </c>
      <c r="B1032" t="s">
        <v>455</v>
      </c>
      <c r="C1032" t="s">
        <v>151</v>
      </c>
      <c r="D1032" t="s">
        <v>457</v>
      </c>
      <c r="E1032" t="s">
        <v>154</v>
      </c>
      <c r="H1032" t="s">
        <v>169</v>
      </c>
      <c r="L1032">
        <v>280000</v>
      </c>
    </row>
    <row r="1033" spans="1:13" x14ac:dyDescent="0.3">
      <c r="A1033" t="s">
        <v>106</v>
      </c>
      <c r="B1033" t="s">
        <v>455</v>
      </c>
      <c r="C1033" t="s">
        <v>459</v>
      </c>
      <c r="D1033" t="s">
        <v>457</v>
      </c>
      <c r="E1033" t="s">
        <v>154</v>
      </c>
      <c r="F1033" s="3">
        <v>23000</v>
      </c>
      <c r="G1033" s="3">
        <v>24000</v>
      </c>
      <c r="L1033">
        <v>25000000</v>
      </c>
    </row>
    <row r="1034" spans="1:13" x14ac:dyDescent="0.3">
      <c r="A1034" t="s">
        <v>106</v>
      </c>
      <c r="B1034" t="s">
        <v>455</v>
      </c>
      <c r="C1034" t="s">
        <v>460</v>
      </c>
      <c r="D1034" t="s">
        <v>461</v>
      </c>
      <c r="E1034" t="s">
        <v>154</v>
      </c>
      <c r="F1034" s="3">
        <v>45900</v>
      </c>
      <c r="G1034" s="3">
        <v>49000</v>
      </c>
      <c r="M1034" t="s">
        <v>354</v>
      </c>
    </row>
    <row r="1035" spans="1:13" x14ac:dyDescent="0.3">
      <c r="A1035" t="s">
        <v>106</v>
      </c>
      <c r="B1035" t="s">
        <v>455</v>
      </c>
      <c r="C1035" t="s">
        <v>152</v>
      </c>
      <c r="D1035" t="s">
        <v>462</v>
      </c>
      <c r="E1035" t="s">
        <v>154</v>
      </c>
      <c r="F1035" s="3">
        <v>68800</v>
      </c>
      <c r="G1035" s="3">
        <v>73000</v>
      </c>
      <c r="H1035" t="s">
        <v>139</v>
      </c>
      <c r="M1035" t="s">
        <v>354</v>
      </c>
    </row>
    <row r="1036" spans="1:13" hidden="1" x14ac:dyDescent="0.3">
      <c r="A1036" t="s">
        <v>106</v>
      </c>
      <c r="B1036" t="s">
        <v>463</v>
      </c>
      <c r="C1036" t="s">
        <v>134</v>
      </c>
      <c r="D1036" t="s">
        <v>464</v>
      </c>
      <c r="E1036" t="s">
        <v>136</v>
      </c>
      <c r="M1036" t="s">
        <v>169</v>
      </c>
    </row>
    <row r="1037" spans="1:13" hidden="1" x14ac:dyDescent="0.3">
      <c r="A1037" t="s">
        <v>106</v>
      </c>
      <c r="B1037" t="s">
        <v>463</v>
      </c>
      <c r="C1037" t="s">
        <v>218</v>
      </c>
      <c r="D1037" t="s">
        <v>464</v>
      </c>
      <c r="E1037" t="s">
        <v>136</v>
      </c>
      <c r="F1037">
        <v>700</v>
      </c>
      <c r="G1037">
        <v>700</v>
      </c>
      <c r="M1037" t="s">
        <v>169</v>
      </c>
    </row>
    <row r="1038" spans="1:13" hidden="1" x14ac:dyDescent="0.3">
      <c r="A1038" t="s">
        <v>106</v>
      </c>
      <c r="B1038" t="s">
        <v>463</v>
      </c>
      <c r="C1038" t="s">
        <v>143</v>
      </c>
      <c r="D1038" t="s">
        <v>464</v>
      </c>
      <c r="E1038" t="s">
        <v>136</v>
      </c>
      <c r="F1038">
        <v>80000</v>
      </c>
      <c r="G1038">
        <v>80000</v>
      </c>
      <c r="L1038">
        <v>12000000</v>
      </c>
    </row>
    <row r="1039" spans="1:13" hidden="1" x14ac:dyDescent="0.3">
      <c r="A1039" t="s">
        <v>106</v>
      </c>
      <c r="B1039" t="s">
        <v>463</v>
      </c>
      <c r="C1039" t="s">
        <v>170</v>
      </c>
      <c r="D1039" t="s">
        <v>464</v>
      </c>
      <c r="E1039" t="s">
        <v>136</v>
      </c>
      <c r="F1039">
        <v>200000</v>
      </c>
      <c r="G1039">
        <v>200000</v>
      </c>
      <c r="L1039">
        <v>7100000</v>
      </c>
    </row>
    <row r="1040" spans="1:13" hidden="1" x14ac:dyDescent="0.3">
      <c r="A1040" t="s">
        <v>106</v>
      </c>
      <c r="B1040" t="s">
        <v>463</v>
      </c>
      <c r="C1040" t="s">
        <v>148</v>
      </c>
      <c r="D1040" t="s">
        <v>464</v>
      </c>
      <c r="E1040" t="s">
        <v>136</v>
      </c>
      <c r="F1040">
        <v>28000</v>
      </c>
      <c r="G1040">
        <v>25000</v>
      </c>
      <c r="M1040" t="s">
        <v>169</v>
      </c>
    </row>
    <row r="1041" spans="1:13" hidden="1" x14ac:dyDescent="0.3">
      <c r="A1041" t="s">
        <v>106</v>
      </c>
      <c r="B1041" t="s">
        <v>463</v>
      </c>
      <c r="C1041" t="s">
        <v>202</v>
      </c>
      <c r="D1041" t="s">
        <v>464</v>
      </c>
      <c r="E1041" t="s">
        <v>136</v>
      </c>
      <c r="F1041">
        <v>200000</v>
      </c>
      <c r="G1041">
        <v>200000</v>
      </c>
      <c r="M1041" t="s">
        <v>169</v>
      </c>
    </row>
    <row r="1042" spans="1:13" x14ac:dyDescent="0.3">
      <c r="A1042" t="s">
        <v>106</v>
      </c>
      <c r="B1042" t="s">
        <v>463</v>
      </c>
      <c r="C1042" t="s">
        <v>152</v>
      </c>
      <c r="D1042" t="s">
        <v>464</v>
      </c>
      <c r="E1042" t="s">
        <v>136</v>
      </c>
      <c r="F1042" s="3">
        <v>509000</v>
      </c>
      <c r="G1042" s="3">
        <v>510000</v>
      </c>
      <c r="M1042" t="s">
        <v>187</v>
      </c>
    </row>
    <row r="1043" spans="1:13" hidden="1" x14ac:dyDescent="0.3">
      <c r="A1043" t="s">
        <v>106</v>
      </c>
      <c r="B1043" t="s">
        <v>465</v>
      </c>
      <c r="C1043" t="s">
        <v>134</v>
      </c>
      <c r="D1043" t="s">
        <v>466</v>
      </c>
      <c r="E1043" t="s">
        <v>154</v>
      </c>
      <c r="F1043">
        <v>8650</v>
      </c>
      <c r="G1043">
        <v>8200</v>
      </c>
    </row>
    <row r="1044" spans="1:13" hidden="1" x14ac:dyDescent="0.3">
      <c r="A1044" t="s">
        <v>106</v>
      </c>
      <c r="B1044" t="s">
        <v>465</v>
      </c>
      <c r="C1044" t="s">
        <v>140</v>
      </c>
      <c r="D1044" t="s">
        <v>466</v>
      </c>
      <c r="E1044" t="s">
        <v>154</v>
      </c>
      <c r="F1044">
        <v>900</v>
      </c>
      <c r="G1044">
        <v>900</v>
      </c>
    </row>
    <row r="1045" spans="1:13" hidden="1" x14ac:dyDescent="0.3">
      <c r="A1045" t="s">
        <v>106</v>
      </c>
      <c r="B1045" t="s">
        <v>465</v>
      </c>
      <c r="C1045" t="s">
        <v>156</v>
      </c>
      <c r="D1045" t="s">
        <v>466</v>
      </c>
      <c r="E1045" t="s">
        <v>154</v>
      </c>
      <c r="F1045">
        <v>4980</v>
      </c>
      <c r="G1045">
        <v>5000</v>
      </c>
    </row>
    <row r="1046" spans="1:13" hidden="1" x14ac:dyDescent="0.3">
      <c r="A1046" t="s">
        <v>106</v>
      </c>
      <c r="B1046" t="s">
        <v>465</v>
      </c>
      <c r="C1046" t="s">
        <v>221</v>
      </c>
      <c r="D1046" t="s">
        <v>466</v>
      </c>
      <c r="E1046" t="s">
        <v>154</v>
      </c>
      <c r="F1046">
        <v>1300</v>
      </c>
      <c r="G1046">
        <v>1300</v>
      </c>
    </row>
    <row r="1047" spans="1:13" hidden="1" x14ac:dyDescent="0.3">
      <c r="A1047" t="s">
        <v>106</v>
      </c>
      <c r="B1047" t="s">
        <v>465</v>
      </c>
      <c r="C1047" t="s">
        <v>143</v>
      </c>
      <c r="D1047" t="s">
        <v>466</v>
      </c>
      <c r="E1047" t="s">
        <v>154</v>
      </c>
      <c r="F1047">
        <v>19400</v>
      </c>
      <c r="G1047">
        <v>19000</v>
      </c>
    </row>
    <row r="1048" spans="1:13" hidden="1" x14ac:dyDescent="0.3">
      <c r="A1048" t="s">
        <v>106</v>
      </c>
      <c r="B1048" t="s">
        <v>465</v>
      </c>
      <c r="C1048" t="s">
        <v>146</v>
      </c>
      <c r="D1048" t="s">
        <v>466</v>
      </c>
      <c r="E1048" t="s">
        <v>154</v>
      </c>
      <c r="F1048">
        <v>3680</v>
      </c>
      <c r="G1048">
        <v>3700</v>
      </c>
    </row>
    <row r="1049" spans="1:13" hidden="1" x14ac:dyDescent="0.3">
      <c r="A1049" t="s">
        <v>106</v>
      </c>
      <c r="B1049" t="s">
        <v>465</v>
      </c>
      <c r="C1049" t="s">
        <v>170</v>
      </c>
      <c r="D1049" t="s">
        <v>466</v>
      </c>
      <c r="E1049" t="s">
        <v>154</v>
      </c>
      <c r="F1049">
        <v>2000</v>
      </c>
      <c r="G1049">
        <v>2000</v>
      </c>
    </row>
    <row r="1050" spans="1:13" hidden="1" x14ac:dyDescent="0.3">
      <c r="A1050" t="s">
        <v>106</v>
      </c>
      <c r="B1050" t="s">
        <v>465</v>
      </c>
      <c r="C1050" t="s">
        <v>147</v>
      </c>
      <c r="D1050" t="s">
        <v>466</v>
      </c>
      <c r="E1050" t="s">
        <v>154</v>
      </c>
      <c r="F1050">
        <v>3070</v>
      </c>
      <c r="G1050">
        <v>3100</v>
      </c>
    </row>
    <row r="1051" spans="1:13" hidden="1" x14ac:dyDescent="0.3">
      <c r="A1051" t="s">
        <v>106</v>
      </c>
      <c r="B1051" t="s">
        <v>465</v>
      </c>
      <c r="C1051" t="s">
        <v>171</v>
      </c>
      <c r="D1051" t="s">
        <v>466</v>
      </c>
      <c r="E1051" t="s">
        <v>154</v>
      </c>
      <c r="F1051">
        <v>5090</v>
      </c>
      <c r="G1051">
        <v>5100</v>
      </c>
    </row>
    <row r="1052" spans="1:13" hidden="1" x14ac:dyDescent="0.3">
      <c r="A1052" t="s">
        <v>106</v>
      </c>
      <c r="B1052" t="s">
        <v>465</v>
      </c>
      <c r="C1052" t="s">
        <v>214</v>
      </c>
      <c r="D1052" t="s">
        <v>466</v>
      </c>
      <c r="E1052" t="s">
        <v>154</v>
      </c>
      <c r="F1052">
        <v>3080</v>
      </c>
      <c r="G1052">
        <v>3100</v>
      </c>
    </row>
    <row r="1053" spans="1:13" hidden="1" x14ac:dyDescent="0.3">
      <c r="A1053" t="s">
        <v>106</v>
      </c>
      <c r="B1053" t="s">
        <v>465</v>
      </c>
      <c r="C1053" t="s">
        <v>467</v>
      </c>
      <c r="D1053" t="s">
        <v>466</v>
      </c>
      <c r="E1053" t="s">
        <v>154</v>
      </c>
      <c r="F1053">
        <v>1300</v>
      </c>
      <c r="G1053">
        <v>1300</v>
      </c>
    </row>
    <row r="1054" spans="1:13" hidden="1" x14ac:dyDescent="0.3">
      <c r="A1054" t="s">
        <v>106</v>
      </c>
      <c r="B1054" t="s">
        <v>465</v>
      </c>
      <c r="C1054" t="s">
        <v>241</v>
      </c>
      <c r="D1054" t="s">
        <v>466</v>
      </c>
      <c r="E1054" t="s">
        <v>154</v>
      </c>
      <c r="F1054">
        <v>1040</v>
      </c>
      <c r="G1054">
        <v>1100</v>
      </c>
    </row>
    <row r="1055" spans="1:13" hidden="1" x14ac:dyDescent="0.3">
      <c r="A1055" t="s">
        <v>106</v>
      </c>
      <c r="B1055" t="s">
        <v>465</v>
      </c>
      <c r="C1055" t="s">
        <v>324</v>
      </c>
      <c r="D1055" t="s">
        <v>466</v>
      </c>
      <c r="E1055" t="s">
        <v>154</v>
      </c>
      <c r="F1055">
        <v>3100</v>
      </c>
      <c r="G1055">
        <v>3100</v>
      </c>
    </row>
    <row r="1056" spans="1:13" hidden="1" x14ac:dyDescent="0.3">
      <c r="A1056" t="s">
        <v>106</v>
      </c>
      <c r="B1056" t="s">
        <v>465</v>
      </c>
      <c r="C1056" t="s">
        <v>160</v>
      </c>
      <c r="D1056" t="s">
        <v>466</v>
      </c>
      <c r="E1056" t="s">
        <v>154</v>
      </c>
      <c r="F1056">
        <v>7530</v>
      </c>
      <c r="G1056">
        <v>7500</v>
      </c>
    </row>
    <row r="1057" spans="1:13" hidden="1" x14ac:dyDescent="0.3">
      <c r="A1057" t="s">
        <v>106</v>
      </c>
      <c r="B1057" t="s">
        <v>465</v>
      </c>
      <c r="C1057" t="s">
        <v>201</v>
      </c>
      <c r="D1057" t="s">
        <v>466</v>
      </c>
      <c r="E1057" t="s">
        <v>154</v>
      </c>
      <c r="F1057">
        <v>7500</v>
      </c>
      <c r="G1057">
        <v>7500</v>
      </c>
    </row>
    <row r="1058" spans="1:13" hidden="1" x14ac:dyDescent="0.3">
      <c r="A1058" t="s">
        <v>106</v>
      </c>
      <c r="B1058" t="s">
        <v>465</v>
      </c>
      <c r="C1058" t="s">
        <v>329</v>
      </c>
      <c r="D1058" t="s">
        <v>466</v>
      </c>
      <c r="E1058" t="s">
        <v>154</v>
      </c>
      <c r="F1058">
        <v>870</v>
      </c>
      <c r="G1058">
        <v>900</v>
      </c>
    </row>
    <row r="1059" spans="1:13" hidden="1" x14ac:dyDescent="0.3">
      <c r="A1059" t="s">
        <v>106</v>
      </c>
      <c r="B1059" t="s">
        <v>465</v>
      </c>
      <c r="C1059" t="s">
        <v>161</v>
      </c>
      <c r="D1059" t="s">
        <v>466</v>
      </c>
      <c r="E1059" t="s">
        <v>154</v>
      </c>
      <c r="F1059">
        <v>6000</v>
      </c>
      <c r="G1059">
        <v>6000</v>
      </c>
    </row>
    <row r="1060" spans="1:13" hidden="1" x14ac:dyDescent="0.3">
      <c r="A1060" t="s">
        <v>106</v>
      </c>
      <c r="B1060" t="s">
        <v>465</v>
      </c>
      <c r="C1060" t="s">
        <v>151</v>
      </c>
      <c r="D1060" t="s">
        <v>466</v>
      </c>
      <c r="E1060" t="s">
        <v>154</v>
      </c>
      <c r="F1060">
        <v>6270</v>
      </c>
      <c r="G1060">
        <v>6400</v>
      </c>
    </row>
    <row r="1061" spans="1:13" x14ac:dyDescent="0.3">
      <c r="A1061" t="s">
        <v>106</v>
      </c>
      <c r="B1061" t="s">
        <v>465</v>
      </c>
      <c r="C1061" t="s">
        <v>152</v>
      </c>
      <c r="D1061" t="s">
        <v>466</v>
      </c>
      <c r="E1061" t="s">
        <v>154</v>
      </c>
      <c r="F1061" s="3">
        <v>85800</v>
      </c>
      <c r="G1061" s="3">
        <v>85000</v>
      </c>
    </row>
    <row r="1062" spans="1:13" hidden="1" x14ac:dyDescent="0.3">
      <c r="A1062" t="s">
        <v>106</v>
      </c>
      <c r="B1062" t="s">
        <v>468</v>
      </c>
      <c r="C1062" t="s">
        <v>469</v>
      </c>
      <c r="D1062" t="s">
        <v>266</v>
      </c>
      <c r="E1062" t="s">
        <v>154</v>
      </c>
      <c r="F1062">
        <v>508</v>
      </c>
      <c r="G1062">
        <v>530</v>
      </c>
      <c r="H1062" t="s">
        <v>215</v>
      </c>
      <c r="L1062">
        <v>140000</v>
      </c>
    </row>
    <row r="1063" spans="1:13" hidden="1" x14ac:dyDescent="0.3">
      <c r="A1063" t="s">
        <v>106</v>
      </c>
      <c r="B1063" t="s">
        <v>470</v>
      </c>
      <c r="C1063" t="s">
        <v>471</v>
      </c>
      <c r="D1063" t="s">
        <v>266</v>
      </c>
      <c r="E1063" t="s">
        <v>154</v>
      </c>
      <c r="F1063">
        <v>170</v>
      </c>
      <c r="G1063">
        <v>200</v>
      </c>
      <c r="M1063" t="s">
        <v>187</v>
      </c>
    </row>
    <row r="1064" spans="1:13" hidden="1" x14ac:dyDescent="0.3">
      <c r="A1064" t="s">
        <v>106</v>
      </c>
      <c r="B1064" t="s">
        <v>470</v>
      </c>
      <c r="C1064" t="s">
        <v>472</v>
      </c>
      <c r="D1064" t="s">
        <v>266</v>
      </c>
      <c r="E1064" t="s">
        <v>154</v>
      </c>
      <c r="F1064">
        <v>348</v>
      </c>
      <c r="G1064">
        <v>480</v>
      </c>
      <c r="H1064" t="s">
        <v>215</v>
      </c>
      <c r="L1064">
        <v>45000</v>
      </c>
    </row>
    <row r="1065" spans="1:13" hidden="1" x14ac:dyDescent="0.3">
      <c r="A1065" t="s">
        <v>106</v>
      </c>
      <c r="B1065" t="s">
        <v>470</v>
      </c>
      <c r="C1065" t="s">
        <v>473</v>
      </c>
      <c r="D1065" t="s">
        <v>266</v>
      </c>
      <c r="E1065" t="s">
        <v>154</v>
      </c>
      <c r="F1065">
        <v>200</v>
      </c>
      <c r="G1065">
        <v>200</v>
      </c>
      <c r="M1065" t="s">
        <v>169</v>
      </c>
    </row>
    <row r="1066" spans="1:13" hidden="1" x14ac:dyDescent="0.3">
      <c r="A1066" t="s">
        <v>106</v>
      </c>
      <c r="B1066" t="s">
        <v>470</v>
      </c>
      <c r="C1066" t="s">
        <v>474</v>
      </c>
      <c r="D1066" t="s">
        <v>266</v>
      </c>
      <c r="E1066" t="s">
        <v>154</v>
      </c>
      <c r="F1066">
        <v>1400</v>
      </c>
      <c r="G1066">
        <v>1400</v>
      </c>
      <c r="L1066">
        <v>60000</v>
      </c>
    </row>
    <row r="1067" spans="1:13" hidden="1" x14ac:dyDescent="0.3">
      <c r="A1067" t="s">
        <v>106</v>
      </c>
      <c r="B1067" t="s">
        <v>470</v>
      </c>
      <c r="C1067" t="s">
        <v>251</v>
      </c>
      <c r="D1067" t="s">
        <v>266</v>
      </c>
      <c r="E1067" t="s">
        <v>154</v>
      </c>
      <c r="F1067">
        <v>197</v>
      </c>
      <c r="G1067">
        <v>200</v>
      </c>
      <c r="M1067" t="s">
        <v>187</v>
      </c>
    </row>
    <row r="1068" spans="1:13" hidden="1" x14ac:dyDescent="0.3">
      <c r="A1068" t="s">
        <v>106</v>
      </c>
      <c r="B1068" t="s">
        <v>470</v>
      </c>
      <c r="C1068" t="s">
        <v>475</v>
      </c>
      <c r="D1068" t="s">
        <v>266</v>
      </c>
      <c r="E1068" t="s">
        <v>154</v>
      </c>
      <c r="F1068">
        <v>400</v>
      </c>
      <c r="G1068">
        <v>400</v>
      </c>
      <c r="M1068" t="s">
        <v>187</v>
      </c>
    </row>
    <row r="1069" spans="1:13" hidden="1" x14ac:dyDescent="0.3">
      <c r="A1069" t="s">
        <v>106</v>
      </c>
      <c r="B1069" t="s">
        <v>470</v>
      </c>
      <c r="C1069" t="s">
        <v>146</v>
      </c>
      <c r="D1069" t="s">
        <v>266</v>
      </c>
      <c r="E1069" t="s">
        <v>154</v>
      </c>
      <c r="F1069">
        <v>1440</v>
      </c>
      <c r="G1069">
        <v>1400</v>
      </c>
      <c r="L1069">
        <v>110000</v>
      </c>
    </row>
    <row r="1070" spans="1:13" hidden="1" x14ac:dyDescent="0.3">
      <c r="A1070" t="s">
        <v>106</v>
      </c>
      <c r="B1070" t="s">
        <v>470</v>
      </c>
      <c r="C1070" t="s">
        <v>476</v>
      </c>
      <c r="D1070" t="s">
        <v>266</v>
      </c>
      <c r="E1070" t="s">
        <v>154</v>
      </c>
      <c r="F1070">
        <v>170</v>
      </c>
      <c r="G1070">
        <v>180</v>
      </c>
      <c r="M1070" t="s">
        <v>169</v>
      </c>
    </row>
    <row r="1071" spans="1:13" hidden="1" x14ac:dyDescent="0.3">
      <c r="A1071" t="s">
        <v>106</v>
      </c>
      <c r="B1071" t="s">
        <v>470</v>
      </c>
      <c r="C1071" t="s">
        <v>147</v>
      </c>
      <c r="D1071" t="s">
        <v>266</v>
      </c>
      <c r="E1071" t="s">
        <v>154</v>
      </c>
      <c r="F1071">
        <v>130</v>
      </c>
      <c r="G1071">
        <v>130</v>
      </c>
      <c r="L1071">
        <v>100000</v>
      </c>
    </row>
    <row r="1072" spans="1:13" hidden="1" x14ac:dyDescent="0.3">
      <c r="A1072" t="s">
        <v>106</v>
      </c>
      <c r="B1072" t="s">
        <v>470</v>
      </c>
      <c r="C1072" t="s">
        <v>214</v>
      </c>
      <c r="D1072" t="s">
        <v>266</v>
      </c>
      <c r="E1072" t="s">
        <v>154</v>
      </c>
      <c r="F1072">
        <v>307</v>
      </c>
      <c r="G1072">
        <v>310</v>
      </c>
      <c r="H1072" t="s">
        <v>215</v>
      </c>
      <c r="L1072">
        <v>81000</v>
      </c>
    </row>
    <row r="1073" spans="1:13" hidden="1" x14ac:dyDescent="0.3">
      <c r="A1073" t="s">
        <v>106</v>
      </c>
      <c r="B1073" t="s">
        <v>470</v>
      </c>
      <c r="C1073" t="s">
        <v>174</v>
      </c>
      <c r="D1073" t="s">
        <v>266</v>
      </c>
      <c r="E1073" t="s">
        <v>154</v>
      </c>
      <c r="F1073">
        <v>200</v>
      </c>
      <c r="G1073">
        <v>200</v>
      </c>
      <c r="M1073" t="s">
        <v>169</v>
      </c>
    </row>
    <row r="1074" spans="1:13" hidden="1" x14ac:dyDescent="0.3">
      <c r="A1074" t="s">
        <v>106</v>
      </c>
      <c r="B1074" t="s">
        <v>470</v>
      </c>
      <c r="C1074" t="s">
        <v>252</v>
      </c>
      <c r="D1074" t="s">
        <v>266</v>
      </c>
      <c r="E1074" t="s">
        <v>154</v>
      </c>
      <c r="F1074">
        <v>200</v>
      </c>
      <c r="G1074">
        <v>320</v>
      </c>
      <c r="M1074" t="s">
        <v>169</v>
      </c>
    </row>
    <row r="1075" spans="1:13" hidden="1" x14ac:dyDescent="0.3">
      <c r="A1075" t="s">
        <v>106</v>
      </c>
      <c r="B1075" t="s">
        <v>470</v>
      </c>
      <c r="C1075" t="s">
        <v>176</v>
      </c>
      <c r="D1075" t="s">
        <v>266</v>
      </c>
      <c r="E1075" t="s">
        <v>154</v>
      </c>
      <c r="F1075">
        <v>233</v>
      </c>
      <c r="G1075">
        <v>250</v>
      </c>
      <c r="H1075" t="s">
        <v>215</v>
      </c>
      <c r="L1075">
        <v>15000</v>
      </c>
    </row>
    <row r="1076" spans="1:13" hidden="1" x14ac:dyDescent="0.3">
      <c r="A1076" t="s">
        <v>106</v>
      </c>
      <c r="B1076" t="s">
        <v>470</v>
      </c>
      <c r="C1076" t="s">
        <v>477</v>
      </c>
      <c r="D1076" t="s">
        <v>266</v>
      </c>
      <c r="E1076" t="s">
        <v>154</v>
      </c>
      <c r="F1076">
        <v>807</v>
      </c>
      <c r="G1076">
        <v>650</v>
      </c>
      <c r="M1076" t="s">
        <v>187</v>
      </c>
    </row>
    <row r="1077" spans="1:13" x14ac:dyDescent="0.3">
      <c r="A1077" t="s">
        <v>106</v>
      </c>
      <c r="B1077" t="s">
        <v>470</v>
      </c>
      <c r="C1077" t="s">
        <v>152</v>
      </c>
      <c r="D1077" t="s">
        <v>266</v>
      </c>
      <c r="E1077" t="s">
        <v>154</v>
      </c>
      <c r="F1077" s="3">
        <v>6710</v>
      </c>
      <c r="G1077" s="3">
        <v>6900</v>
      </c>
      <c r="M1077" t="s">
        <v>187</v>
      </c>
    </row>
    <row r="1078" spans="1:13" hidden="1" x14ac:dyDescent="0.3">
      <c r="A1078" t="s">
        <v>106</v>
      </c>
      <c r="B1078" t="s">
        <v>478</v>
      </c>
      <c r="C1078" t="s">
        <v>134</v>
      </c>
      <c r="D1078" t="s">
        <v>479</v>
      </c>
      <c r="E1078" t="s">
        <v>136</v>
      </c>
    </row>
    <row r="1079" spans="1:13" hidden="1" x14ac:dyDescent="0.3">
      <c r="A1079" t="s">
        <v>106</v>
      </c>
      <c r="B1079" t="s">
        <v>478</v>
      </c>
      <c r="C1079" t="s">
        <v>140</v>
      </c>
      <c r="D1079" t="s">
        <v>479</v>
      </c>
      <c r="E1079" t="s">
        <v>136</v>
      </c>
      <c r="F1079">
        <v>44</v>
      </c>
      <c r="G1079">
        <v>52</v>
      </c>
      <c r="L1079">
        <v>110000</v>
      </c>
      <c r="M1079" t="s">
        <v>480</v>
      </c>
    </row>
    <row r="1080" spans="1:13" hidden="1" x14ac:dyDescent="0.3">
      <c r="A1080" t="s">
        <v>106</v>
      </c>
      <c r="B1080" t="s">
        <v>478</v>
      </c>
      <c r="C1080" t="s">
        <v>166</v>
      </c>
      <c r="D1080" t="s">
        <v>479</v>
      </c>
      <c r="E1080" t="s">
        <v>136</v>
      </c>
      <c r="F1080">
        <v>1</v>
      </c>
      <c r="G1080">
        <v>2</v>
      </c>
      <c r="M1080" t="s">
        <v>169</v>
      </c>
    </row>
    <row r="1081" spans="1:13" hidden="1" x14ac:dyDescent="0.3">
      <c r="A1081" t="s">
        <v>106</v>
      </c>
      <c r="B1081" t="s">
        <v>478</v>
      </c>
      <c r="C1081" t="s">
        <v>142</v>
      </c>
      <c r="D1081" t="s">
        <v>479</v>
      </c>
      <c r="E1081" t="s">
        <v>136</v>
      </c>
      <c r="F1081">
        <v>138</v>
      </c>
      <c r="G1081">
        <v>210</v>
      </c>
      <c r="L1081">
        <v>40000</v>
      </c>
    </row>
    <row r="1082" spans="1:13" hidden="1" x14ac:dyDescent="0.3">
      <c r="A1082" t="s">
        <v>106</v>
      </c>
      <c r="B1082" t="s">
        <v>478</v>
      </c>
      <c r="C1082" t="s">
        <v>481</v>
      </c>
      <c r="D1082" t="s">
        <v>479</v>
      </c>
      <c r="E1082" t="s">
        <v>136</v>
      </c>
      <c r="F1082">
        <v>1</v>
      </c>
      <c r="G1082">
        <v>2</v>
      </c>
      <c r="M1082" t="s">
        <v>169</v>
      </c>
    </row>
    <row r="1083" spans="1:13" hidden="1" x14ac:dyDescent="0.3">
      <c r="A1083" t="s">
        <v>106</v>
      </c>
      <c r="B1083" t="s">
        <v>478</v>
      </c>
      <c r="C1083" t="s">
        <v>143</v>
      </c>
      <c r="D1083" t="s">
        <v>479</v>
      </c>
      <c r="E1083" t="s">
        <v>136</v>
      </c>
      <c r="F1083">
        <v>78</v>
      </c>
      <c r="G1083">
        <v>76</v>
      </c>
      <c r="L1083">
        <v>240000</v>
      </c>
    </row>
    <row r="1084" spans="1:13" hidden="1" x14ac:dyDescent="0.3">
      <c r="A1084" t="s">
        <v>106</v>
      </c>
      <c r="B1084" t="s">
        <v>478</v>
      </c>
      <c r="C1084" t="s">
        <v>269</v>
      </c>
      <c r="D1084" t="s">
        <v>479</v>
      </c>
      <c r="E1084" t="s">
        <v>136</v>
      </c>
      <c r="F1084">
        <v>920</v>
      </c>
      <c r="G1084">
        <v>880</v>
      </c>
      <c r="M1084" t="s">
        <v>169</v>
      </c>
    </row>
    <row r="1085" spans="1:13" hidden="1" x14ac:dyDescent="0.3">
      <c r="A1085" t="s">
        <v>106</v>
      </c>
      <c r="B1085" t="s">
        <v>478</v>
      </c>
      <c r="C1085" t="s">
        <v>436</v>
      </c>
      <c r="D1085" t="s">
        <v>479</v>
      </c>
      <c r="E1085" t="s">
        <v>136</v>
      </c>
      <c r="F1085">
        <v>40</v>
      </c>
      <c r="G1085">
        <v>40</v>
      </c>
      <c r="M1085" t="s">
        <v>169</v>
      </c>
    </row>
    <row r="1086" spans="1:13" hidden="1" x14ac:dyDescent="0.3">
      <c r="A1086" t="s">
        <v>106</v>
      </c>
      <c r="B1086" t="s">
        <v>478</v>
      </c>
      <c r="C1086" t="s">
        <v>209</v>
      </c>
      <c r="D1086" t="s">
        <v>479</v>
      </c>
      <c r="E1086" t="s">
        <v>136</v>
      </c>
      <c r="F1086">
        <v>51</v>
      </c>
      <c r="G1086">
        <v>55</v>
      </c>
      <c r="M1086" t="s">
        <v>169</v>
      </c>
    </row>
    <row r="1087" spans="1:13" hidden="1" x14ac:dyDescent="0.3">
      <c r="A1087" t="s">
        <v>106</v>
      </c>
      <c r="B1087" t="s">
        <v>478</v>
      </c>
      <c r="C1087" t="s">
        <v>403</v>
      </c>
      <c r="D1087" t="s">
        <v>479</v>
      </c>
      <c r="E1087" t="s">
        <v>136</v>
      </c>
      <c r="F1087">
        <v>390</v>
      </c>
      <c r="G1087">
        <v>390</v>
      </c>
      <c r="M1087" t="s">
        <v>169</v>
      </c>
    </row>
    <row r="1088" spans="1:13" hidden="1" x14ac:dyDescent="0.3">
      <c r="A1088" t="s">
        <v>106</v>
      </c>
      <c r="B1088" t="s">
        <v>478</v>
      </c>
      <c r="C1088" t="s">
        <v>160</v>
      </c>
      <c r="D1088" t="s">
        <v>479</v>
      </c>
      <c r="E1088" t="s">
        <v>136</v>
      </c>
      <c r="F1088">
        <v>23</v>
      </c>
      <c r="G1088">
        <v>29</v>
      </c>
      <c r="M1088" t="s">
        <v>169</v>
      </c>
    </row>
    <row r="1089" spans="1:13" hidden="1" x14ac:dyDescent="0.3">
      <c r="A1089" t="s">
        <v>106</v>
      </c>
      <c r="B1089" t="s">
        <v>478</v>
      </c>
      <c r="C1089" t="s">
        <v>210</v>
      </c>
      <c r="D1089" t="s">
        <v>479</v>
      </c>
      <c r="E1089" t="s">
        <v>136</v>
      </c>
      <c r="F1089">
        <v>350</v>
      </c>
      <c r="G1089">
        <v>350</v>
      </c>
      <c r="M1089" t="s">
        <v>169</v>
      </c>
    </row>
    <row r="1090" spans="1:13" x14ac:dyDescent="0.3">
      <c r="A1090" t="s">
        <v>106</v>
      </c>
      <c r="B1090" t="s">
        <v>478</v>
      </c>
      <c r="C1090" t="s">
        <v>152</v>
      </c>
      <c r="D1090" t="s">
        <v>479</v>
      </c>
      <c r="E1090" t="s">
        <v>136</v>
      </c>
      <c r="F1090" s="3">
        <v>2040</v>
      </c>
      <c r="G1090" s="3">
        <v>2100</v>
      </c>
      <c r="M1090" t="s">
        <v>169</v>
      </c>
    </row>
    <row r="1091" spans="1:13" hidden="1" x14ac:dyDescent="0.3">
      <c r="A1091" t="s">
        <v>106</v>
      </c>
      <c r="B1091" t="s">
        <v>26</v>
      </c>
      <c r="C1091" t="s">
        <v>134</v>
      </c>
      <c r="D1091" t="s">
        <v>482</v>
      </c>
      <c r="E1091" t="s">
        <v>136</v>
      </c>
      <c r="H1091" t="s">
        <v>190</v>
      </c>
      <c r="L1091">
        <v>3800</v>
      </c>
    </row>
    <row r="1092" spans="1:13" hidden="1" x14ac:dyDescent="0.3">
      <c r="A1092" t="s">
        <v>106</v>
      </c>
      <c r="B1092" t="s">
        <v>26</v>
      </c>
      <c r="C1092" t="s">
        <v>213</v>
      </c>
      <c r="D1092" t="s">
        <v>482</v>
      </c>
      <c r="E1092" t="s">
        <v>136</v>
      </c>
      <c r="F1092">
        <v>1</v>
      </c>
      <c r="G1092">
        <v>1</v>
      </c>
      <c r="M1092" t="s">
        <v>169</v>
      </c>
    </row>
    <row r="1093" spans="1:13" hidden="1" x14ac:dyDescent="0.3">
      <c r="A1093" t="s">
        <v>106</v>
      </c>
      <c r="B1093" t="s">
        <v>26</v>
      </c>
      <c r="C1093" t="s">
        <v>156</v>
      </c>
      <c r="D1093" t="s">
        <v>482</v>
      </c>
      <c r="E1093" t="s">
        <v>136</v>
      </c>
      <c r="F1093">
        <v>27</v>
      </c>
      <c r="G1093">
        <v>27</v>
      </c>
      <c r="L1093">
        <v>900</v>
      </c>
    </row>
    <row r="1094" spans="1:13" hidden="1" x14ac:dyDescent="0.3">
      <c r="A1094" t="s">
        <v>106</v>
      </c>
      <c r="B1094" t="s">
        <v>26</v>
      </c>
      <c r="C1094" t="s">
        <v>143</v>
      </c>
      <c r="D1094" t="s">
        <v>482</v>
      </c>
      <c r="E1094" t="s">
        <v>136</v>
      </c>
      <c r="F1094">
        <v>725</v>
      </c>
      <c r="G1094">
        <v>750</v>
      </c>
      <c r="L1094">
        <v>3100</v>
      </c>
    </row>
    <row r="1095" spans="1:13" hidden="1" x14ac:dyDescent="0.3">
      <c r="A1095" t="s">
        <v>106</v>
      </c>
      <c r="B1095" t="s">
        <v>26</v>
      </c>
      <c r="C1095" t="s">
        <v>147</v>
      </c>
      <c r="D1095" t="s">
        <v>482</v>
      </c>
      <c r="E1095" t="s">
        <v>136</v>
      </c>
      <c r="F1095">
        <v>65</v>
      </c>
      <c r="G1095">
        <v>70</v>
      </c>
      <c r="M1095" t="s">
        <v>169</v>
      </c>
    </row>
    <row r="1096" spans="1:13" hidden="1" x14ac:dyDescent="0.3">
      <c r="A1096" t="s">
        <v>106</v>
      </c>
      <c r="B1096" t="s">
        <v>26</v>
      </c>
      <c r="C1096" t="s">
        <v>160</v>
      </c>
      <c r="D1096" t="s">
        <v>482</v>
      </c>
      <c r="E1096" t="s">
        <v>136</v>
      </c>
      <c r="F1096">
        <v>73</v>
      </c>
      <c r="G1096">
        <v>70</v>
      </c>
      <c r="L1096">
        <v>5800</v>
      </c>
    </row>
    <row r="1097" spans="1:13" hidden="1" x14ac:dyDescent="0.3">
      <c r="A1097" t="s">
        <v>106</v>
      </c>
      <c r="B1097" t="s">
        <v>26</v>
      </c>
      <c r="C1097" t="s">
        <v>252</v>
      </c>
      <c r="D1097" t="s">
        <v>482</v>
      </c>
      <c r="E1097" t="s">
        <v>136</v>
      </c>
      <c r="F1097">
        <v>4</v>
      </c>
      <c r="G1097">
        <v>4</v>
      </c>
      <c r="L1097">
        <v>800</v>
      </c>
    </row>
    <row r="1098" spans="1:13" hidden="1" x14ac:dyDescent="0.3">
      <c r="A1098" t="s">
        <v>106</v>
      </c>
      <c r="B1098" t="s">
        <v>26</v>
      </c>
      <c r="C1098" t="s">
        <v>341</v>
      </c>
      <c r="D1098" t="s">
        <v>482</v>
      </c>
      <c r="E1098" t="s">
        <v>136</v>
      </c>
      <c r="F1098">
        <v>36</v>
      </c>
      <c r="G1098">
        <v>46</v>
      </c>
      <c r="L1098">
        <v>740</v>
      </c>
    </row>
    <row r="1099" spans="1:13" hidden="1" x14ac:dyDescent="0.3">
      <c r="A1099" t="s">
        <v>106</v>
      </c>
      <c r="B1099" t="s">
        <v>26</v>
      </c>
      <c r="C1099" t="s">
        <v>242</v>
      </c>
      <c r="D1099" t="s">
        <v>482</v>
      </c>
      <c r="E1099" t="s">
        <v>136</v>
      </c>
      <c r="F1099">
        <v>13</v>
      </c>
      <c r="G1099">
        <v>13</v>
      </c>
      <c r="M1099" t="s">
        <v>169</v>
      </c>
    </row>
    <row r="1100" spans="1:13" hidden="1" x14ac:dyDescent="0.3">
      <c r="A1100" t="s">
        <v>106</v>
      </c>
      <c r="B1100" t="s">
        <v>26</v>
      </c>
      <c r="C1100" t="s">
        <v>151</v>
      </c>
      <c r="D1100" t="s">
        <v>482</v>
      </c>
      <c r="E1100" t="s">
        <v>136</v>
      </c>
      <c r="H1100" t="s">
        <v>382</v>
      </c>
      <c r="L1100">
        <v>20000</v>
      </c>
    </row>
    <row r="1101" spans="1:13" x14ac:dyDescent="0.3">
      <c r="A1101" t="s">
        <v>106</v>
      </c>
      <c r="B1101" t="s">
        <v>26</v>
      </c>
      <c r="C1101" t="s">
        <v>152</v>
      </c>
      <c r="D1101" t="s">
        <v>482</v>
      </c>
      <c r="E1101" t="s">
        <v>136</v>
      </c>
      <c r="F1101" s="3">
        <v>944</v>
      </c>
      <c r="G1101" s="3">
        <v>980</v>
      </c>
      <c r="H1101" t="s">
        <v>205</v>
      </c>
      <c r="L1101">
        <v>35000</v>
      </c>
    </row>
    <row r="1102" spans="1:13" hidden="1" x14ac:dyDescent="0.3">
      <c r="A1102" t="s">
        <v>106</v>
      </c>
      <c r="B1102" t="s">
        <v>28</v>
      </c>
      <c r="C1102" t="s">
        <v>134</v>
      </c>
      <c r="D1102" t="s">
        <v>483</v>
      </c>
      <c r="E1102" t="s">
        <v>136</v>
      </c>
      <c r="M1102" t="s">
        <v>139</v>
      </c>
    </row>
    <row r="1103" spans="1:13" hidden="1" x14ac:dyDescent="0.3">
      <c r="A1103" t="s">
        <v>106</v>
      </c>
      <c r="B1103" t="s">
        <v>28</v>
      </c>
      <c r="C1103" t="s">
        <v>140</v>
      </c>
      <c r="D1103" t="s">
        <v>483</v>
      </c>
      <c r="E1103" t="s">
        <v>136</v>
      </c>
      <c r="F1103">
        <v>9850</v>
      </c>
      <c r="G1103">
        <v>9900</v>
      </c>
      <c r="L1103">
        <v>620000</v>
      </c>
    </row>
    <row r="1104" spans="1:13" hidden="1" x14ac:dyDescent="0.3">
      <c r="A1104" t="s">
        <v>106</v>
      </c>
      <c r="B1104" t="s">
        <v>28</v>
      </c>
      <c r="C1104" t="s">
        <v>166</v>
      </c>
      <c r="D1104" t="s">
        <v>483</v>
      </c>
      <c r="E1104" t="s">
        <v>136</v>
      </c>
      <c r="F1104">
        <v>18700</v>
      </c>
      <c r="G1104">
        <v>21000</v>
      </c>
      <c r="L1104">
        <v>400000</v>
      </c>
    </row>
    <row r="1105" spans="1:13" hidden="1" x14ac:dyDescent="0.3">
      <c r="A1105" t="s">
        <v>106</v>
      </c>
      <c r="B1105" t="s">
        <v>28</v>
      </c>
      <c r="C1105" t="s">
        <v>142</v>
      </c>
      <c r="D1105" t="s">
        <v>483</v>
      </c>
      <c r="E1105" t="s">
        <v>136</v>
      </c>
      <c r="F1105">
        <v>29300</v>
      </c>
      <c r="G1105">
        <v>29000</v>
      </c>
      <c r="L1105">
        <v>420000</v>
      </c>
    </row>
    <row r="1106" spans="1:13" hidden="1" x14ac:dyDescent="0.3">
      <c r="A1106" t="s">
        <v>106</v>
      </c>
      <c r="B1106" t="s">
        <v>28</v>
      </c>
      <c r="C1106" t="s">
        <v>167</v>
      </c>
      <c r="D1106" t="s">
        <v>483</v>
      </c>
      <c r="E1106" t="s">
        <v>136</v>
      </c>
      <c r="F1106">
        <v>34000</v>
      </c>
      <c r="G1106">
        <v>34000</v>
      </c>
      <c r="H1106" t="s">
        <v>157</v>
      </c>
      <c r="L1106">
        <v>700000</v>
      </c>
    </row>
    <row r="1107" spans="1:13" hidden="1" x14ac:dyDescent="0.3">
      <c r="A1107" t="s">
        <v>106</v>
      </c>
      <c r="B1107" t="s">
        <v>28</v>
      </c>
      <c r="C1107" t="s">
        <v>143</v>
      </c>
      <c r="D1107" t="s">
        <v>483</v>
      </c>
      <c r="E1107" t="s">
        <v>136</v>
      </c>
      <c r="F1107">
        <v>70000</v>
      </c>
      <c r="G1107">
        <v>69000</v>
      </c>
      <c r="H1107" t="s">
        <v>157</v>
      </c>
      <c r="L1107">
        <v>1000000</v>
      </c>
    </row>
    <row r="1108" spans="1:13" hidden="1" x14ac:dyDescent="0.3">
      <c r="A1108" t="s">
        <v>106</v>
      </c>
      <c r="B1108" t="s">
        <v>28</v>
      </c>
      <c r="C1108" t="s">
        <v>269</v>
      </c>
      <c r="D1108" t="s">
        <v>483</v>
      </c>
      <c r="E1108" t="s">
        <v>136</v>
      </c>
      <c r="F1108">
        <v>20000</v>
      </c>
      <c r="G1108">
        <v>25000</v>
      </c>
      <c r="H1108" t="s">
        <v>157</v>
      </c>
      <c r="L1108">
        <v>120000</v>
      </c>
    </row>
    <row r="1109" spans="1:13" hidden="1" x14ac:dyDescent="0.3">
      <c r="A1109" t="s">
        <v>106</v>
      </c>
      <c r="B1109" t="s">
        <v>28</v>
      </c>
      <c r="C1109" t="s">
        <v>198</v>
      </c>
      <c r="D1109" t="s">
        <v>483</v>
      </c>
      <c r="E1109" t="s">
        <v>136</v>
      </c>
      <c r="F1109">
        <v>69000</v>
      </c>
      <c r="G1109">
        <v>50000</v>
      </c>
      <c r="H1109" t="s">
        <v>157</v>
      </c>
      <c r="M1109" t="s">
        <v>169</v>
      </c>
    </row>
    <row r="1110" spans="1:13" hidden="1" x14ac:dyDescent="0.3">
      <c r="A1110" t="s">
        <v>106</v>
      </c>
      <c r="B1110" t="s">
        <v>28</v>
      </c>
      <c r="C1110" t="s">
        <v>173</v>
      </c>
      <c r="D1110" t="s">
        <v>483</v>
      </c>
      <c r="E1110" t="s">
        <v>136</v>
      </c>
      <c r="F1110">
        <v>1700</v>
      </c>
      <c r="G1110">
        <v>1500</v>
      </c>
      <c r="H1110" t="s">
        <v>157</v>
      </c>
      <c r="M1110" t="s">
        <v>169</v>
      </c>
    </row>
    <row r="1111" spans="1:13" hidden="1" x14ac:dyDescent="0.3">
      <c r="A1111" t="s">
        <v>106</v>
      </c>
      <c r="B1111" t="s">
        <v>28</v>
      </c>
      <c r="C1111" t="s">
        <v>159</v>
      </c>
      <c r="D1111" t="s">
        <v>483</v>
      </c>
      <c r="E1111" t="s">
        <v>136</v>
      </c>
      <c r="F1111">
        <v>3770</v>
      </c>
      <c r="G1111">
        <v>3000</v>
      </c>
      <c r="H1111" t="s">
        <v>139</v>
      </c>
      <c r="M1111" t="s">
        <v>169</v>
      </c>
    </row>
    <row r="1112" spans="1:13" hidden="1" x14ac:dyDescent="0.3">
      <c r="A1112" t="s">
        <v>106</v>
      </c>
      <c r="B1112" t="s">
        <v>28</v>
      </c>
      <c r="C1112" t="s">
        <v>403</v>
      </c>
      <c r="D1112" t="s">
        <v>483</v>
      </c>
      <c r="E1112" t="s">
        <v>136</v>
      </c>
      <c r="F1112">
        <v>7000</v>
      </c>
      <c r="G1112">
        <v>7000</v>
      </c>
      <c r="H1112" t="s">
        <v>157</v>
      </c>
      <c r="M1112" t="s">
        <v>169</v>
      </c>
    </row>
    <row r="1113" spans="1:13" hidden="1" x14ac:dyDescent="0.3">
      <c r="A1113" t="s">
        <v>106</v>
      </c>
      <c r="B1113" t="s">
        <v>28</v>
      </c>
      <c r="C1113" t="s">
        <v>182</v>
      </c>
      <c r="D1113" t="s">
        <v>483</v>
      </c>
      <c r="E1113" t="s">
        <v>136</v>
      </c>
      <c r="F1113">
        <v>26200</v>
      </c>
      <c r="G1113">
        <v>31000</v>
      </c>
      <c r="L1113">
        <v>130000</v>
      </c>
    </row>
    <row r="1114" spans="1:13" hidden="1" x14ac:dyDescent="0.3">
      <c r="A1114" t="s">
        <v>106</v>
      </c>
      <c r="B1114" t="s">
        <v>28</v>
      </c>
      <c r="C1114" t="s">
        <v>160</v>
      </c>
      <c r="D1114" t="s">
        <v>483</v>
      </c>
      <c r="E1114" t="s">
        <v>136</v>
      </c>
      <c r="F1114">
        <v>2700</v>
      </c>
      <c r="G1114">
        <v>3000</v>
      </c>
      <c r="H1114" t="s">
        <v>157</v>
      </c>
      <c r="L1114">
        <v>460000</v>
      </c>
    </row>
    <row r="1115" spans="1:13" hidden="1" x14ac:dyDescent="0.3">
      <c r="A1115" t="s">
        <v>106</v>
      </c>
      <c r="B1115" t="s">
        <v>28</v>
      </c>
      <c r="C1115" t="s">
        <v>210</v>
      </c>
      <c r="D1115" t="s">
        <v>483</v>
      </c>
      <c r="E1115" t="s">
        <v>136</v>
      </c>
      <c r="F1115">
        <v>3600</v>
      </c>
      <c r="G1115">
        <v>3600</v>
      </c>
      <c r="H1115" t="s">
        <v>157</v>
      </c>
      <c r="M1115" t="s">
        <v>169</v>
      </c>
    </row>
    <row r="1116" spans="1:13" hidden="1" x14ac:dyDescent="0.3">
      <c r="A1116" t="s">
        <v>106</v>
      </c>
      <c r="B1116" t="s">
        <v>28</v>
      </c>
      <c r="C1116" t="s">
        <v>177</v>
      </c>
      <c r="D1116" t="s">
        <v>483</v>
      </c>
      <c r="E1116" t="s">
        <v>136</v>
      </c>
      <c r="F1116">
        <v>7600</v>
      </c>
      <c r="G1116">
        <v>6700</v>
      </c>
      <c r="H1116" t="s">
        <v>157</v>
      </c>
      <c r="L1116">
        <v>23000</v>
      </c>
    </row>
    <row r="1117" spans="1:13" hidden="1" x14ac:dyDescent="0.3">
      <c r="A1117" t="s">
        <v>106</v>
      </c>
      <c r="B1117" t="s">
        <v>28</v>
      </c>
      <c r="C1117" t="s">
        <v>151</v>
      </c>
      <c r="D1117" t="s">
        <v>483</v>
      </c>
      <c r="E1117" t="s">
        <v>136</v>
      </c>
      <c r="F1117">
        <v>1840</v>
      </c>
      <c r="G1117">
        <v>1800</v>
      </c>
      <c r="L1117">
        <v>310000</v>
      </c>
    </row>
    <row r="1118" spans="1:13" x14ac:dyDescent="0.3">
      <c r="A1118" t="s">
        <v>106</v>
      </c>
      <c r="B1118" t="s">
        <v>28</v>
      </c>
      <c r="C1118" t="s">
        <v>152</v>
      </c>
      <c r="D1118" t="s">
        <v>483</v>
      </c>
      <c r="E1118" t="s">
        <v>136</v>
      </c>
      <c r="F1118" s="3">
        <v>305000</v>
      </c>
      <c r="G1118" s="3">
        <v>300000</v>
      </c>
      <c r="L1118">
        <v>4200000</v>
      </c>
    </row>
    <row r="1119" spans="1:13" hidden="1" x14ac:dyDescent="0.3">
      <c r="A1119" t="s">
        <v>106</v>
      </c>
      <c r="B1119" t="s">
        <v>484</v>
      </c>
      <c r="C1119" t="s">
        <v>134</v>
      </c>
      <c r="D1119" t="s">
        <v>485</v>
      </c>
      <c r="E1119" t="s">
        <v>136</v>
      </c>
      <c r="F1119">
        <v>100</v>
      </c>
      <c r="G1119">
        <v>100</v>
      </c>
      <c r="L1119">
        <v>2000</v>
      </c>
    </row>
    <row r="1120" spans="1:13" hidden="1" x14ac:dyDescent="0.3">
      <c r="A1120" t="s">
        <v>106</v>
      </c>
      <c r="B1120" t="s">
        <v>484</v>
      </c>
      <c r="C1120" t="s">
        <v>134</v>
      </c>
      <c r="D1120" t="s">
        <v>486</v>
      </c>
      <c r="E1120" t="s">
        <v>136</v>
      </c>
      <c r="H1120" t="s">
        <v>487</v>
      </c>
      <c r="M1120" t="s">
        <v>487</v>
      </c>
    </row>
    <row r="1121" spans="1:13" hidden="1" x14ac:dyDescent="0.3">
      <c r="A1121" t="s">
        <v>106</v>
      </c>
      <c r="B1121" t="s">
        <v>484</v>
      </c>
      <c r="C1121" t="s">
        <v>140</v>
      </c>
      <c r="D1121" t="s">
        <v>485</v>
      </c>
      <c r="E1121" t="s">
        <v>136</v>
      </c>
      <c r="F1121">
        <v>400</v>
      </c>
      <c r="G1121">
        <v>400</v>
      </c>
      <c r="L1121">
        <v>180000</v>
      </c>
      <c r="M1121" t="s">
        <v>488</v>
      </c>
    </row>
    <row r="1122" spans="1:13" hidden="1" x14ac:dyDescent="0.3">
      <c r="A1122" t="s">
        <v>106</v>
      </c>
      <c r="B1122" t="s">
        <v>484</v>
      </c>
      <c r="C1122" t="s">
        <v>140</v>
      </c>
      <c r="D1122" t="s">
        <v>486</v>
      </c>
      <c r="E1122" t="s">
        <v>136</v>
      </c>
      <c r="F1122">
        <v>200</v>
      </c>
      <c r="G1122">
        <v>200</v>
      </c>
      <c r="L1122">
        <v>35000</v>
      </c>
      <c r="M1122" t="s">
        <v>488</v>
      </c>
    </row>
    <row r="1123" spans="1:13" hidden="1" x14ac:dyDescent="0.3">
      <c r="A1123" t="s">
        <v>106</v>
      </c>
      <c r="B1123" t="s">
        <v>484</v>
      </c>
      <c r="C1123" t="s">
        <v>156</v>
      </c>
      <c r="D1123" t="s">
        <v>485</v>
      </c>
      <c r="E1123" t="s">
        <v>136</v>
      </c>
      <c r="F1123">
        <v>350</v>
      </c>
      <c r="G1123">
        <v>350</v>
      </c>
      <c r="H1123" t="s">
        <v>489</v>
      </c>
      <c r="L1123">
        <v>51000</v>
      </c>
    </row>
    <row r="1124" spans="1:13" hidden="1" x14ac:dyDescent="0.3">
      <c r="A1124" t="s">
        <v>106</v>
      </c>
      <c r="B1124" t="s">
        <v>484</v>
      </c>
      <c r="C1124" t="s">
        <v>143</v>
      </c>
      <c r="D1124" t="s">
        <v>485</v>
      </c>
      <c r="E1124" t="s">
        <v>136</v>
      </c>
      <c r="F1124">
        <v>3250</v>
      </c>
      <c r="G1124">
        <v>3300</v>
      </c>
      <c r="L1124">
        <v>110000</v>
      </c>
    </row>
    <row r="1125" spans="1:13" hidden="1" x14ac:dyDescent="0.3">
      <c r="A1125" t="s">
        <v>106</v>
      </c>
      <c r="B1125" t="s">
        <v>484</v>
      </c>
      <c r="C1125" t="s">
        <v>146</v>
      </c>
      <c r="D1125" t="s">
        <v>485</v>
      </c>
      <c r="E1125" t="s">
        <v>136</v>
      </c>
      <c r="F1125">
        <v>210</v>
      </c>
      <c r="G1125">
        <v>210</v>
      </c>
      <c r="L1125">
        <v>15000</v>
      </c>
    </row>
    <row r="1126" spans="1:13" hidden="1" x14ac:dyDescent="0.3">
      <c r="A1126" t="s">
        <v>106</v>
      </c>
      <c r="B1126" t="s">
        <v>484</v>
      </c>
      <c r="C1126" t="s">
        <v>146</v>
      </c>
      <c r="D1126" t="s">
        <v>486</v>
      </c>
      <c r="E1126" t="s">
        <v>136</v>
      </c>
      <c r="F1126">
        <v>12</v>
      </c>
      <c r="G1126">
        <v>12</v>
      </c>
      <c r="L1126">
        <v>670</v>
      </c>
    </row>
    <row r="1127" spans="1:13" hidden="1" x14ac:dyDescent="0.3">
      <c r="A1127" t="s">
        <v>106</v>
      </c>
      <c r="B1127" t="s">
        <v>484</v>
      </c>
      <c r="C1127" t="s">
        <v>458</v>
      </c>
      <c r="D1127" t="s">
        <v>486</v>
      </c>
      <c r="E1127" t="s">
        <v>136</v>
      </c>
      <c r="F1127">
        <v>47</v>
      </c>
      <c r="G1127">
        <v>40</v>
      </c>
      <c r="M1127" t="s">
        <v>169</v>
      </c>
    </row>
    <row r="1128" spans="1:13" hidden="1" x14ac:dyDescent="0.3">
      <c r="A1128" t="s">
        <v>106</v>
      </c>
      <c r="B1128" t="s">
        <v>484</v>
      </c>
      <c r="C1128" t="s">
        <v>208</v>
      </c>
      <c r="D1128" t="s">
        <v>485</v>
      </c>
      <c r="E1128" t="s">
        <v>136</v>
      </c>
      <c r="F1128">
        <v>300</v>
      </c>
      <c r="G1128">
        <v>240</v>
      </c>
      <c r="H1128" t="s">
        <v>489</v>
      </c>
      <c r="L1128">
        <v>30000</v>
      </c>
    </row>
    <row r="1129" spans="1:13" hidden="1" x14ac:dyDescent="0.3">
      <c r="A1129" t="s">
        <v>106</v>
      </c>
      <c r="B1129" t="s">
        <v>484</v>
      </c>
      <c r="C1129" t="s">
        <v>209</v>
      </c>
      <c r="D1129" t="s">
        <v>485</v>
      </c>
      <c r="E1129" t="s">
        <v>136</v>
      </c>
      <c r="F1129">
        <v>1860</v>
      </c>
      <c r="G1129">
        <v>1900</v>
      </c>
      <c r="M1129" t="s">
        <v>169</v>
      </c>
    </row>
    <row r="1130" spans="1:13" hidden="1" x14ac:dyDescent="0.3">
      <c r="A1130" t="s">
        <v>106</v>
      </c>
      <c r="B1130" t="s">
        <v>484</v>
      </c>
      <c r="C1130" t="s">
        <v>209</v>
      </c>
      <c r="D1130" t="s">
        <v>486</v>
      </c>
      <c r="E1130" t="s">
        <v>136</v>
      </c>
      <c r="F1130">
        <v>8</v>
      </c>
      <c r="G1130">
        <v>8</v>
      </c>
      <c r="L1130">
        <v>720</v>
      </c>
    </row>
    <row r="1131" spans="1:13" hidden="1" x14ac:dyDescent="0.3">
      <c r="A1131" t="s">
        <v>106</v>
      </c>
      <c r="B1131" t="s">
        <v>484</v>
      </c>
      <c r="C1131" t="s">
        <v>149</v>
      </c>
      <c r="D1131" t="s">
        <v>485</v>
      </c>
      <c r="E1131" t="s">
        <v>136</v>
      </c>
      <c r="F1131">
        <v>360</v>
      </c>
      <c r="G1131">
        <v>360</v>
      </c>
      <c r="L1131">
        <v>37000</v>
      </c>
    </row>
    <row r="1132" spans="1:13" hidden="1" x14ac:dyDescent="0.3">
      <c r="A1132" t="s">
        <v>106</v>
      </c>
      <c r="B1132" t="s">
        <v>484</v>
      </c>
      <c r="C1132" t="s">
        <v>303</v>
      </c>
      <c r="D1132" t="s">
        <v>486</v>
      </c>
      <c r="F1132">
        <v>110</v>
      </c>
      <c r="G1132">
        <v>60</v>
      </c>
      <c r="L1132">
        <v>2900</v>
      </c>
    </row>
    <row r="1133" spans="1:13" hidden="1" x14ac:dyDescent="0.3">
      <c r="A1133" t="s">
        <v>106</v>
      </c>
      <c r="B1133" t="s">
        <v>484</v>
      </c>
      <c r="C1133" t="s">
        <v>261</v>
      </c>
      <c r="D1133" t="s">
        <v>485</v>
      </c>
      <c r="E1133" t="s">
        <v>136</v>
      </c>
      <c r="F1133">
        <v>260</v>
      </c>
      <c r="G1133">
        <v>300</v>
      </c>
      <c r="M1133" t="s">
        <v>169</v>
      </c>
    </row>
    <row r="1134" spans="1:13" hidden="1" x14ac:dyDescent="0.3">
      <c r="A1134" t="s">
        <v>106</v>
      </c>
      <c r="B1134" t="s">
        <v>484</v>
      </c>
      <c r="C1134" t="s">
        <v>252</v>
      </c>
      <c r="D1134" t="s">
        <v>485</v>
      </c>
      <c r="E1134" t="s">
        <v>136</v>
      </c>
      <c r="F1134">
        <v>1260</v>
      </c>
      <c r="G1134">
        <v>1300</v>
      </c>
      <c r="H1134" t="s">
        <v>489</v>
      </c>
      <c r="L1134">
        <v>28000</v>
      </c>
    </row>
    <row r="1135" spans="1:13" hidden="1" x14ac:dyDescent="0.3">
      <c r="A1135" t="s">
        <v>106</v>
      </c>
      <c r="B1135" t="s">
        <v>484</v>
      </c>
      <c r="C1135" t="s">
        <v>252</v>
      </c>
      <c r="D1135" t="s">
        <v>486</v>
      </c>
      <c r="E1135" t="s">
        <v>136</v>
      </c>
      <c r="F1135">
        <v>100</v>
      </c>
      <c r="G1135">
        <v>100</v>
      </c>
      <c r="L1135">
        <v>6100</v>
      </c>
    </row>
    <row r="1136" spans="1:13" hidden="1" x14ac:dyDescent="0.3">
      <c r="A1136" t="s">
        <v>106</v>
      </c>
      <c r="B1136" t="s">
        <v>484</v>
      </c>
      <c r="C1136" t="s">
        <v>235</v>
      </c>
      <c r="D1136" t="s">
        <v>485</v>
      </c>
      <c r="E1136" t="s">
        <v>136</v>
      </c>
      <c r="F1136">
        <v>130</v>
      </c>
      <c r="G1136">
        <v>120</v>
      </c>
      <c r="L1136">
        <v>5900</v>
      </c>
    </row>
    <row r="1137" spans="1:13" hidden="1" x14ac:dyDescent="0.3">
      <c r="A1137" t="s">
        <v>106</v>
      </c>
      <c r="B1137" t="s">
        <v>484</v>
      </c>
      <c r="C1137" t="s">
        <v>235</v>
      </c>
      <c r="D1137" t="s">
        <v>486</v>
      </c>
      <c r="E1137" t="s">
        <v>136</v>
      </c>
      <c r="F1137">
        <v>95</v>
      </c>
      <c r="G1137">
        <v>10</v>
      </c>
      <c r="M1137" t="s">
        <v>169</v>
      </c>
    </row>
    <row r="1138" spans="1:13" hidden="1" x14ac:dyDescent="0.3">
      <c r="A1138" t="s">
        <v>106</v>
      </c>
      <c r="B1138" t="s">
        <v>484</v>
      </c>
      <c r="C1138" t="s">
        <v>151</v>
      </c>
      <c r="D1138" t="s">
        <v>485</v>
      </c>
      <c r="E1138" t="s">
        <v>136</v>
      </c>
      <c r="F1138">
        <v>360</v>
      </c>
      <c r="G1138">
        <v>330</v>
      </c>
      <c r="L1138">
        <v>54000</v>
      </c>
    </row>
    <row r="1139" spans="1:13" hidden="1" x14ac:dyDescent="0.3">
      <c r="A1139" t="s">
        <v>106</v>
      </c>
      <c r="B1139" t="s">
        <v>484</v>
      </c>
      <c r="C1139" t="s">
        <v>151</v>
      </c>
      <c r="D1139" t="s">
        <v>486</v>
      </c>
      <c r="E1139" t="s">
        <v>136</v>
      </c>
      <c r="F1139">
        <v>20</v>
      </c>
      <c r="G1139">
        <v>20</v>
      </c>
      <c r="L1139">
        <v>540</v>
      </c>
    </row>
    <row r="1140" spans="1:13" x14ac:dyDescent="0.3">
      <c r="A1140" t="s">
        <v>106</v>
      </c>
      <c r="B1140" t="s">
        <v>484</v>
      </c>
      <c r="C1140" t="s">
        <v>490</v>
      </c>
      <c r="D1140" t="s">
        <v>485</v>
      </c>
      <c r="E1140" t="s">
        <v>136</v>
      </c>
      <c r="F1140" s="3">
        <v>8840</v>
      </c>
      <c r="G1140" s="3">
        <v>8900</v>
      </c>
      <c r="L1140">
        <v>510000</v>
      </c>
    </row>
    <row r="1141" spans="1:13" x14ac:dyDescent="0.3">
      <c r="A1141" t="s">
        <v>106</v>
      </c>
      <c r="B1141" t="s">
        <v>484</v>
      </c>
      <c r="C1141" t="s">
        <v>491</v>
      </c>
      <c r="D1141" t="s">
        <v>486</v>
      </c>
      <c r="E1141" t="s">
        <v>136</v>
      </c>
      <c r="F1141" s="3">
        <v>590</v>
      </c>
      <c r="G1141" s="3">
        <v>450</v>
      </c>
      <c r="L1141">
        <v>46000</v>
      </c>
    </row>
    <row r="1142" spans="1:13" x14ac:dyDescent="0.3">
      <c r="A1142" t="s">
        <v>106</v>
      </c>
      <c r="B1142" t="s">
        <v>484</v>
      </c>
      <c r="C1142" t="s">
        <v>492</v>
      </c>
      <c r="D1142" t="s">
        <v>485</v>
      </c>
      <c r="E1142" t="s">
        <v>136</v>
      </c>
      <c r="F1142" s="3">
        <v>9430</v>
      </c>
      <c r="G1142" s="3">
        <v>9400</v>
      </c>
      <c r="L1142">
        <v>560000</v>
      </c>
    </row>
    <row r="1143" spans="1:13" hidden="1" x14ac:dyDescent="0.3">
      <c r="A1143" t="s">
        <v>106</v>
      </c>
      <c r="B1143" t="s">
        <v>493</v>
      </c>
      <c r="C1143" t="s">
        <v>134</v>
      </c>
      <c r="D1143" t="s">
        <v>494</v>
      </c>
      <c r="E1143" t="s">
        <v>136</v>
      </c>
      <c r="H1143" t="s">
        <v>190</v>
      </c>
      <c r="J1143">
        <v>500</v>
      </c>
    </row>
    <row r="1144" spans="1:13" hidden="1" x14ac:dyDescent="0.3">
      <c r="A1144" t="s">
        <v>106</v>
      </c>
      <c r="B1144" t="s">
        <v>493</v>
      </c>
      <c r="C1144" t="s">
        <v>140</v>
      </c>
      <c r="D1144" t="s">
        <v>494</v>
      </c>
      <c r="E1144" t="s">
        <v>136</v>
      </c>
    </row>
    <row r="1145" spans="1:13" hidden="1" x14ac:dyDescent="0.3">
      <c r="A1145" t="s">
        <v>106</v>
      </c>
      <c r="B1145" t="s">
        <v>493</v>
      </c>
      <c r="C1145" t="s">
        <v>156</v>
      </c>
      <c r="D1145" t="s">
        <v>494</v>
      </c>
      <c r="E1145" t="s">
        <v>136</v>
      </c>
    </row>
    <row r="1146" spans="1:13" hidden="1" x14ac:dyDescent="0.3">
      <c r="A1146" t="s">
        <v>106</v>
      </c>
      <c r="B1146" t="s">
        <v>493</v>
      </c>
      <c r="C1146" t="s">
        <v>143</v>
      </c>
      <c r="D1146" t="s">
        <v>494</v>
      </c>
      <c r="E1146" t="s">
        <v>136</v>
      </c>
      <c r="F1146">
        <v>220000</v>
      </c>
      <c r="G1146">
        <v>220000</v>
      </c>
      <c r="J1146">
        <v>260000</v>
      </c>
    </row>
    <row r="1147" spans="1:13" hidden="1" x14ac:dyDescent="0.3">
      <c r="A1147" t="s">
        <v>106</v>
      </c>
      <c r="B1147" t="s">
        <v>493</v>
      </c>
      <c r="C1147" t="s">
        <v>145</v>
      </c>
      <c r="D1147" t="s">
        <v>494</v>
      </c>
      <c r="E1147" t="s">
        <v>136</v>
      </c>
    </row>
    <row r="1148" spans="1:13" hidden="1" x14ac:dyDescent="0.3">
      <c r="A1148" t="s">
        <v>106</v>
      </c>
      <c r="B1148" t="s">
        <v>493</v>
      </c>
      <c r="C1148" t="s">
        <v>146</v>
      </c>
      <c r="D1148" t="s">
        <v>494</v>
      </c>
      <c r="E1148" t="s">
        <v>136</v>
      </c>
      <c r="F1148">
        <v>300</v>
      </c>
      <c r="G1148">
        <v>300</v>
      </c>
      <c r="J1148">
        <v>500</v>
      </c>
    </row>
    <row r="1149" spans="1:13" hidden="1" x14ac:dyDescent="0.3">
      <c r="A1149" t="s">
        <v>106</v>
      </c>
      <c r="B1149" t="s">
        <v>493</v>
      </c>
      <c r="C1149" t="s">
        <v>147</v>
      </c>
      <c r="D1149" t="s">
        <v>494</v>
      </c>
      <c r="E1149" t="s">
        <v>136</v>
      </c>
      <c r="F1149">
        <v>57000</v>
      </c>
      <c r="G1149">
        <v>55000</v>
      </c>
      <c r="J1149">
        <v>65200</v>
      </c>
    </row>
    <row r="1150" spans="1:13" hidden="1" x14ac:dyDescent="0.3">
      <c r="A1150" t="s">
        <v>106</v>
      </c>
      <c r="B1150" t="s">
        <v>493</v>
      </c>
      <c r="C1150" t="s">
        <v>171</v>
      </c>
      <c r="D1150" t="s">
        <v>494</v>
      </c>
      <c r="E1150" t="s">
        <v>136</v>
      </c>
      <c r="F1150">
        <v>14000</v>
      </c>
      <c r="G1150">
        <v>14000</v>
      </c>
      <c r="J1150">
        <v>26000</v>
      </c>
    </row>
    <row r="1151" spans="1:13" hidden="1" x14ac:dyDescent="0.3">
      <c r="A1151" t="s">
        <v>106</v>
      </c>
      <c r="B1151" t="s">
        <v>493</v>
      </c>
      <c r="C1151" t="s">
        <v>148</v>
      </c>
      <c r="D1151" t="s">
        <v>494</v>
      </c>
      <c r="E1151" t="s">
        <v>136</v>
      </c>
    </row>
    <row r="1152" spans="1:13" hidden="1" x14ac:dyDescent="0.3">
      <c r="A1152" t="s">
        <v>106</v>
      </c>
      <c r="B1152" t="s">
        <v>493</v>
      </c>
      <c r="C1152" t="s">
        <v>160</v>
      </c>
      <c r="D1152" t="s">
        <v>494</v>
      </c>
      <c r="E1152" t="s">
        <v>136</v>
      </c>
      <c r="F1152">
        <v>20000</v>
      </c>
      <c r="G1152">
        <v>20000</v>
      </c>
      <c r="J1152">
        <v>46500</v>
      </c>
    </row>
    <row r="1153" spans="1:10" hidden="1" x14ac:dyDescent="0.3">
      <c r="A1153" t="s">
        <v>106</v>
      </c>
      <c r="B1153" t="s">
        <v>493</v>
      </c>
      <c r="C1153" t="s">
        <v>201</v>
      </c>
      <c r="D1153" t="s">
        <v>494</v>
      </c>
      <c r="E1153" t="s">
        <v>136</v>
      </c>
      <c r="F1153">
        <v>11000</v>
      </c>
      <c r="G1153">
        <v>15000</v>
      </c>
      <c r="J1153">
        <v>15600</v>
      </c>
    </row>
    <row r="1154" spans="1:10" hidden="1" x14ac:dyDescent="0.3">
      <c r="A1154" t="s">
        <v>106</v>
      </c>
      <c r="B1154" t="s">
        <v>493</v>
      </c>
      <c r="C1154" t="s">
        <v>235</v>
      </c>
      <c r="D1154" t="s">
        <v>494</v>
      </c>
      <c r="E1154" t="s">
        <v>136</v>
      </c>
    </row>
    <row r="1155" spans="1:10" hidden="1" x14ac:dyDescent="0.3">
      <c r="A1155" t="s">
        <v>106</v>
      </c>
      <c r="B1155" t="s">
        <v>493</v>
      </c>
      <c r="C1155" t="s">
        <v>363</v>
      </c>
      <c r="D1155" t="s">
        <v>494</v>
      </c>
      <c r="E1155" t="s">
        <v>136</v>
      </c>
    </row>
    <row r="1156" spans="1:10" hidden="1" x14ac:dyDescent="0.3">
      <c r="A1156" t="s">
        <v>106</v>
      </c>
      <c r="B1156" t="s">
        <v>493</v>
      </c>
      <c r="C1156" t="s">
        <v>151</v>
      </c>
      <c r="D1156" t="s">
        <v>494</v>
      </c>
      <c r="E1156" t="s">
        <v>136</v>
      </c>
    </row>
    <row r="1157" spans="1:10" x14ac:dyDescent="0.3">
      <c r="A1157" t="s">
        <v>106</v>
      </c>
      <c r="B1157" t="s">
        <v>493</v>
      </c>
      <c r="C1157" t="s">
        <v>152</v>
      </c>
      <c r="D1157" t="s">
        <v>494</v>
      </c>
      <c r="E1157" t="s">
        <v>136</v>
      </c>
      <c r="F1157" s="3">
        <v>320000</v>
      </c>
      <c r="G1157" s="3">
        <v>320000</v>
      </c>
      <c r="H1157" t="s">
        <v>205</v>
      </c>
      <c r="J1157">
        <v>410000</v>
      </c>
    </row>
    <row r="1158" spans="1:10" hidden="1" x14ac:dyDescent="0.3">
      <c r="A1158" t="s">
        <v>106</v>
      </c>
      <c r="B1158" t="s">
        <v>493</v>
      </c>
      <c r="C1158" t="s">
        <v>134</v>
      </c>
      <c r="D1158" t="s">
        <v>495</v>
      </c>
      <c r="E1158" t="s">
        <v>136</v>
      </c>
      <c r="J1158">
        <v>1360000</v>
      </c>
    </row>
    <row r="1159" spans="1:10" hidden="1" x14ac:dyDescent="0.3">
      <c r="A1159" t="s">
        <v>106</v>
      </c>
      <c r="B1159" t="s">
        <v>493</v>
      </c>
      <c r="C1159" t="s">
        <v>140</v>
      </c>
      <c r="D1159" t="s">
        <v>495</v>
      </c>
      <c r="E1159" t="s">
        <v>136</v>
      </c>
      <c r="J1159">
        <v>260000</v>
      </c>
    </row>
    <row r="1160" spans="1:10" hidden="1" x14ac:dyDescent="0.3">
      <c r="A1160" t="s">
        <v>106</v>
      </c>
      <c r="B1160" t="s">
        <v>493</v>
      </c>
      <c r="C1160" t="s">
        <v>156</v>
      </c>
      <c r="D1160" t="s">
        <v>495</v>
      </c>
      <c r="E1160" t="s">
        <v>136</v>
      </c>
      <c r="J1160">
        <v>180000</v>
      </c>
    </row>
    <row r="1161" spans="1:10" hidden="1" x14ac:dyDescent="0.3">
      <c r="A1161" t="s">
        <v>106</v>
      </c>
      <c r="B1161" t="s">
        <v>493</v>
      </c>
      <c r="C1161" t="s">
        <v>143</v>
      </c>
      <c r="D1161" t="s">
        <v>495</v>
      </c>
      <c r="E1161" t="s">
        <v>136</v>
      </c>
      <c r="J1161">
        <v>5500000</v>
      </c>
    </row>
    <row r="1162" spans="1:10" hidden="1" x14ac:dyDescent="0.3">
      <c r="A1162" t="s">
        <v>106</v>
      </c>
      <c r="B1162" t="s">
        <v>493</v>
      </c>
      <c r="C1162" t="s">
        <v>145</v>
      </c>
      <c r="D1162" t="s">
        <v>495</v>
      </c>
      <c r="E1162" t="s">
        <v>136</v>
      </c>
      <c r="J1162">
        <v>339000</v>
      </c>
    </row>
    <row r="1163" spans="1:10" hidden="1" x14ac:dyDescent="0.3">
      <c r="A1163" t="s">
        <v>106</v>
      </c>
      <c r="B1163" t="s">
        <v>493</v>
      </c>
      <c r="C1163" t="s">
        <v>146</v>
      </c>
      <c r="D1163" t="s">
        <v>495</v>
      </c>
      <c r="E1163" t="s">
        <v>136</v>
      </c>
      <c r="J1163">
        <v>91000</v>
      </c>
    </row>
    <row r="1164" spans="1:10" hidden="1" x14ac:dyDescent="0.3">
      <c r="A1164" t="s">
        <v>106</v>
      </c>
      <c r="B1164" t="s">
        <v>493</v>
      </c>
      <c r="C1164" t="s">
        <v>147</v>
      </c>
      <c r="D1164" t="s">
        <v>495</v>
      </c>
      <c r="E1164" t="s">
        <v>136</v>
      </c>
      <c r="J1164">
        <v>322000</v>
      </c>
    </row>
    <row r="1165" spans="1:10" hidden="1" x14ac:dyDescent="0.3">
      <c r="A1165" t="s">
        <v>106</v>
      </c>
      <c r="B1165" t="s">
        <v>493</v>
      </c>
      <c r="C1165" t="s">
        <v>171</v>
      </c>
      <c r="D1165" t="s">
        <v>495</v>
      </c>
      <c r="E1165" t="s">
        <v>136</v>
      </c>
    </row>
    <row r="1166" spans="1:10" hidden="1" x14ac:dyDescent="0.3">
      <c r="A1166" t="s">
        <v>106</v>
      </c>
      <c r="B1166" t="s">
        <v>493</v>
      </c>
      <c r="C1166" t="s">
        <v>148</v>
      </c>
      <c r="D1166" t="s">
        <v>495</v>
      </c>
      <c r="E1166" t="s">
        <v>136</v>
      </c>
      <c r="J1166">
        <v>350000</v>
      </c>
    </row>
    <row r="1167" spans="1:10" hidden="1" x14ac:dyDescent="0.3">
      <c r="A1167" t="s">
        <v>106</v>
      </c>
      <c r="B1167" t="s">
        <v>493</v>
      </c>
      <c r="C1167" t="s">
        <v>160</v>
      </c>
      <c r="D1167" t="s">
        <v>495</v>
      </c>
      <c r="E1167" t="s">
        <v>136</v>
      </c>
      <c r="J1167">
        <v>55000</v>
      </c>
    </row>
    <row r="1168" spans="1:10" hidden="1" x14ac:dyDescent="0.3">
      <c r="A1168" t="s">
        <v>106</v>
      </c>
      <c r="B1168" t="s">
        <v>493</v>
      </c>
      <c r="C1168" t="s">
        <v>201</v>
      </c>
      <c r="D1168" t="s">
        <v>495</v>
      </c>
      <c r="E1168" t="s">
        <v>136</v>
      </c>
      <c r="J1168">
        <v>200000</v>
      </c>
    </row>
    <row r="1169" spans="1:13" hidden="1" x14ac:dyDescent="0.3">
      <c r="A1169" t="s">
        <v>106</v>
      </c>
      <c r="B1169" t="s">
        <v>493</v>
      </c>
      <c r="C1169" t="s">
        <v>235</v>
      </c>
      <c r="D1169" t="s">
        <v>495</v>
      </c>
      <c r="E1169" t="s">
        <v>136</v>
      </c>
      <c r="J1169">
        <v>122000</v>
      </c>
    </row>
    <row r="1170" spans="1:13" hidden="1" x14ac:dyDescent="0.3">
      <c r="A1170" t="s">
        <v>106</v>
      </c>
      <c r="B1170" t="s">
        <v>493</v>
      </c>
      <c r="C1170" t="s">
        <v>363</v>
      </c>
      <c r="D1170" t="s">
        <v>495</v>
      </c>
      <c r="E1170" t="s">
        <v>136</v>
      </c>
      <c r="J1170">
        <v>315000</v>
      </c>
    </row>
    <row r="1171" spans="1:13" hidden="1" x14ac:dyDescent="0.3">
      <c r="A1171" t="s">
        <v>106</v>
      </c>
      <c r="B1171" t="s">
        <v>493</v>
      </c>
      <c r="C1171" t="s">
        <v>151</v>
      </c>
      <c r="D1171" t="s">
        <v>495</v>
      </c>
      <c r="E1171" t="s">
        <v>136</v>
      </c>
      <c r="J1171">
        <v>820000</v>
      </c>
    </row>
    <row r="1172" spans="1:13" x14ac:dyDescent="0.3">
      <c r="A1172" t="s">
        <v>106</v>
      </c>
      <c r="B1172" t="s">
        <v>493</v>
      </c>
      <c r="C1172" t="s">
        <v>152</v>
      </c>
      <c r="D1172" t="s">
        <v>495</v>
      </c>
      <c r="E1172" t="s">
        <v>136</v>
      </c>
      <c r="F1172" s="3"/>
      <c r="G1172" s="3"/>
      <c r="J1172">
        <v>9800000</v>
      </c>
    </row>
    <row r="1173" spans="1:13" hidden="1" x14ac:dyDescent="0.3">
      <c r="A1173" t="s">
        <v>106</v>
      </c>
      <c r="B1173" t="s">
        <v>496</v>
      </c>
      <c r="C1173" t="s">
        <v>134</v>
      </c>
      <c r="D1173" t="s">
        <v>497</v>
      </c>
      <c r="E1173" t="s">
        <v>136</v>
      </c>
      <c r="M1173" t="s">
        <v>169</v>
      </c>
    </row>
    <row r="1174" spans="1:13" hidden="1" x14ac:dyDescent="0.3">
      <c r="A1174" t="s">
        <v>106</v>
      </c>
      <c r="B1174" t="s">
        <v>496</v>
      </c>
      <c r="C1174" t="s">
        <v>140</v>
      </c>
      <c r="D1174" t="s">
        <v>497</v>
      </c>
      <c r="E1174" t="s">
        <v>136</v>
      </c>
      <c r="F1174">
        <v>430</v>
      </c>
      <c r="G1174">
        <v>1000</v>
      </c>
      <c r="L1174">
        <v>570000</v>
      </c>
      <c r="M1174" t="s">
        <v>498</v>
      </c>
    </row>
    <row r="1175" spans="1:13" hidden="1" x14ac:dyDescent="0.3">
      <c r="A1175" t="s">
        <v>106</v>
      </c>
      <c r="B1175" t="s">
        <v>496</v>
      </c>
      <c r="C1175" t="s">
        <v>141</v>
      </c>
      <c r="D1175" t="s">
        <v>497</v>
      </c>
      <c r="E1175" t="s">
        <v>136</v>
      </c>
      <c r="F1175">
        <v>850</v>
      </c>
      <c r="G1175">
        <v>800</v>
      </c>
      <c r="L1175">
        <v>10000</v>
      </c>
    </row>
    <row r="1176" spans="1:13" hidden="1" x14ac:dyDescent="0.3">
      <c r="A1176" t="s">
        <v>106</v>
      </c>
      <c r="B1176" t="s">
        <v>496</v>
      </c>
      <c r="C1176" t="s">
        <v>166</v>
      </c>
      <c r="D1176" t="s">
        <v>497</v>
      </c>
      <c r="E1176" t="s">
        <v>136</v>
      </c>
      <c r="F1176">
        <v>1500</v>
      </c>
      <c r="G1176">
        <v>1600</v>
      </c>
      <c r="M1176" t="s">
        <v>169</v>
      </c>
    </row>
    <row r="1177" spans="1:13" hidden="1" x14ac:dyDescent="0.3">
      <c r="A1177" t="s">
        <v>106</v>
      </c>
      <c r="B1177" t="s">
        <v>496</v>
      </c>
      <c r="C1177" t="s">
        <v>143</v>
      </c>
      <c r="D1177" t="s">
        <v>497</v>
      </c>
      <c r="E1177" t="s">
        <v>136</v>
      </c>
      <c r="F1177">
        <v>66000</v>
      </c>
      <c r="G1177">
        <v>67000</v>
      </c>
      <c r="L1177">
        <v>2400000</v>
      </c>
    </row>
    <row r="1178" spans="1:13" hidden="1" x14ac:dyDescent="0.3">
      <c r="A1178" t="s">
        <v>106</v>
      </c>
      <c r="B1178" t="s">
        <v>496</v>
      </c>
      <c r="C1178" t="s">
        <v>314</v>
      </c>
      <c r="D1178" t="s">
        <v>497</v>
      </c>
      <c r="E1178" t="s">
        <v>136</v>
      </c>
      <c r="F1178">
        <v>1600</v>
      </c>
      <c r="G1178">
        <v>1700</v>
      </c>
      <c r="L1178">
        <v>29000</v>
      </c>
    </row>
    <row r="1179" spans="1:13" hidden="1" x14ac:dyDescent="0.3">
      <c r="A1179" t="s">
        <v>106</v>
      </c>
      <c r="B1179" t="s">
        <v>496</v>
      </c>
      <c r="C1179" t="s">
        <v>367</v>
      </c>
      <c r="D1179" t="s">
        <v>497</v>
      </c>
      <c r="E1179" t="s">
        <v>136</v>
      </c>
      <c r="F1179">
        <v>450</v>
      </c>
      <c r="G1179">
        <v>500</v>
      </c>
      <c r="L1179">
        <v>3400</v>
      </c>
    </row>
    <row r="1180" spans="1:13" hidden="1" x14ac:dyDescent="0.3">
      <c r="A1180" t="s">
        <v>106</v>
      </c>
      <c r="B1180" t="s">
        <v>496</v>
      </c>
      <c r="C1180" t="s">
        <v>160</v>
      </c>
      <c r="D1180" t="s">
        <v>497</v>
      </c>
      <c r="E1180" t="s">
        <v>136</v>
      </c>
      <c r="F1180">
        <v>2000</v>
      </c>
      <c r="G1180">
        <v>2000</v>
      </c>
      <c r="L1180">
        <v>400000</v>
      </c>
    </row>
    <row r="1181" spans="1:13" hidden="1" x14ac:dyDescent="0.3">
      <c r="A1181" t="s">
        <v>106</v>
      </c>
      <c r="B1181" t="s">
        <v>496</v>
      </c>
      <c r="C1181" t="s">
        <v>210</v>
      </c>
      <c r="D1181" t="s">
        <v>497</v>
      </c>
      <c r="E1181" t="s">
        <v>136</v>
      </c>
      <c r="F1181">
        <v>1200</v>
      </c>
      <c r="G1181">
        <v>1200</v>
      </c>
      <c r="M1181" t="s">
        <v>169</v>
      </c>
    </row>
    <row r="1182" spans="1:13" hidden="1" x14ac:dyDescent="0.3">
      <c r="A1182" t="s">
        <v>106</v>
      </c>
      <c r="B1182" t="s">
        <v>496</v>
      </c>
      <c r="C1182" t="s">
        <v>202</v>
      </c>
      <c r="D1182" t="s">
        <v>497</v>
      </c>
      <c r="E1182" t="s">
        <v>136</v>
      </c>
      <c r="F1182">
        <v>650</v>
      </c>
      <c r="G1182">
        <v>700</v>
      </c>
      <c r="L1182">
        <v>66000</v>
      </c>
    </row>
    <row r="1183" spans="1:13" hidden="1" x14ac:dyDescent="0.3">
      <c r="A1183" t="s">
        <v>106</v>
      </c>
      <c r="B1183" t="s">
        <v>496</v>
      </c>
      <c r="C1183" t="s">
        <v>177</v>
      </c>
      <c r="D1183" t="s">
        <v>497</v>
      </c>
      <c r="E1183" t="s">
        <v>136</v>
      </c>
      <c r="F1183">
        <v>3500</v>
      </c>
      <c r="G1183">
        <v>3400</v>
      </c>
      <c r="L1183">
        <v>140000</v>
      </c>
    </row>
    <row r="1184" spans="1:13" hidden="1" x14ac:dyDescent="0.3">
      <c r="A1184" t="s">
        <v>106</v>
      </c>
      <c r="B1184" t="s">
        <v>496</v>
      </c>
      <c r="C1184" t="s">
        <v>151</v>
      </c>
      <c r="D1184" t="s">
        <v>497</v>
      </c>
      <c r="E1184" t="s">
        <v>136</v>
      </c>
      <c r="F1184">
        <v>1320</v>
      </c>
      <c r="G1184">
        <v>1500</v>
      </c>
      <c r="L1184">
        <v>950000</v>
      </c>
    </row>
    <row r="1185" spans="1:13" x14ac:dyDescent="0.3">
      <c r="A1185" t="s">
        <v>106</v>
      </c>
      <c r="B1185" t="s">
        <v>496</v>
      </c>
      <c r="C1185" t="s">
        <v>152</v>
      </c>
      <c r="D1185" t="s">
        <v>497</v>
      </c>
      <c r="E1185" t="s">
        <v>136</v>
      </c>
      <c r="F1185" s="3">
        <v>79500</v>
      </c>
      <c r="G1185" s="3">
        <v>81000</v>
      </c>
      <c r="L1185">
        <v>4600000</v>
      </c>
    </row>
    <row r="1186" spans="1:13" hidden="1" x14ac:dyDescent="0.3">
      <c r="A1186" t="s">
        <v>106</v>
      </c>
      <c r="B1186" t="s">
        <v>29</v>
      </c>
      <c r="C1186" t="s">
        <v>134</v>
      </c>
      <c r="D1186" t="s">
        <v>499</v>
      </c>
      <c r="E1186" t="s">
        <v>136</v>
      </c>
      <c r="L1186">
        <v>45</v>
      </c>
    </row>
    <row r="1187" spans="1:13" hidden="1" x14ac:dyDescent="0.3">
      <c r="A1187" t="s">
        <v>106</v>
      </c>
      <c r="B1187" t="s">
        <v>29</v>
      </c>
      <c r="C1187" t="s">
        <v>140</v>
      </c>
      <c r="D1187" t="s">
        <v>499</v>
      </c>
      <c r="E1187" t="s">
        <v>136</v>
      </c>
      <c r="L1187">
        <v>8500</v>
      </c>
      <c r="M1187" t="s">
        <v>500</v>
      </c>
    </row>
    <row r="1188" spans="1:13" hidden="1" x14ac:dyDescent="0.3">
      <c r="A1188" t="s">
        <v>106</v>
      </c>
      <c r="B1188" t="s">
        <v>29</v>
      </c>
      <c r="C1188" t="s">
        <v>142</v>
      </c>
      <c r="D1188" t="s">
        <v>499</v>
      </c>
      <c r="E1188" t="s">
        <v>136</v>
      </c>
      <c r="F1188">
        <v>5420</v>
      </c>
      <c r="G1188">
        <v>5000</v>
      </c>
      <c r="L1188">
        <v>120</v>
      </c>
    </row>
    <row r="1189" spans="1:13" hidden="1" x14ac:dyDescent="0.3">
      <c r="A1189" t="s">
        <v>106</v>
      </c>
      <c r="B1189" t="s">
        <v>29</v>
      </c>
      <c r="C1189" t="s">
        <v>143</v>
      </c>
      <c r="D1189" t="s">
        <v>499</v>
      </c>
      <c r="E1189" t="s">
        <v>136</v>
      </c>
      <c r="F1189">
        <v>70000</v>
      </c>
      <c r="G1189">
        <v>70000</v>
      </c>
      <c r="H1189" t="s">
        <v>157</v>
      </c>
      <c r="L1189">
        <v>4100</v>
      </c>
    </row>
    <row r="1190" spans="1:13" hidden="1" x14ac:dyDescent="0.3">
      <c r="A1190" t="s">
        <v>106</v>
      </c>
      <c r="B1190" t="s">
        <v>29</v>
      </c>
      <c r="C1190" t="s">
        <v>160</v>
      </c>
      <c r="D1190" t="s">
        <v>499</v>
      </c>
      <c r="E1190" t="s">
        <v>136</v>
      </c>
      <c r="F1190">
        <v>20000</v>
      </c>
      <c r="G1190">
        <v>20000</v>
      </c>
      <c r="H1190" t="s">
        <v>157</v>
      </c>
      <c r="L1190">
        <v>5000</v>
      </c>
    </row>
    <row r="1191" spans="1:13" hidden="1" x14ac:dyDescent="0.3">
      <c r="A1191" t="s">
        <v>106</v>
      </c>
      <c r="B1191" t="s">
        <v>29</v>
      </c>
      <c r="C1191" t="s">
        <v>252</v>
      </c>
      <c r="D1191" t="s">
        <v>499</v>
      </c>
      <c r="E1191" t="s">
        <v>136</v>
      </c>
      <c r="F1191">
        <v>8670</v>
      </c>
      <c r="G1191">
        <v>8000</v>
      </c>
      <c r="L1191">
        <v>430</v>
      </c>
    </row>
    <row r="1192" spans="1:13" x14ac:dyDescent="0.3">
      <c r="A1192" t="s">
        <v>106</v>
      </c>
      <c r="B1192" t="s">
        <v>29</v>
      </c>
      <c r="C1192" t="s">
        <v>152</v>
      </c>
      <c r="D1192" t="s">
        <v>499</v>
      </c>
      <c r="E1192" t="s">
        <v>136</v>
      </c>
      <c r="F1192" s="3">
        <v>104000</v>
      </c>
      <c r="G1192" s="3">
        <v>100000</v>
      </c>
      <c r="L1192">
        <v>18000</v>
      </c>
      <c r="M1192" t="s">
        <v>391</v>
      </c>
    </row>
    <row r="1193" spans="1:13" hidden="1" x14ac:dyDescent="0.3">
      <c r="A1193" t="s">
        <v>106</v>
      </c>
      <c r="B1193" t="s">
        <v>501</v>
      </c>
      <c r="C1193" t="s">
        <v>134</v>
      </c>
      <c r="D1193" t="s">
        <v>43</v>
      </c>
      <c r="E1193" t="s">
        <v>154</v>
      </c>
      <c r="F1193">
        <v>100</v>
      </c>
      <c r="G1193">
        <v>100</v>
      </c>
      <c r="H1193" t="s">
        <v>502</v>
      </c>
      <c r="L1193">
        <v>25000</v>
      </c>
    </row>
    <row r="1194" spans="1:13" hidden="1" x14ac:dyDescent="0.3">
      <c r="A1194" t="s">
        <v>106</v>
      </c>
      <c r="B1194" t="s">
        <v>501</v>
      </c>
      <c r="C1194" t="s">
        <v>142</v>
      </c>
      <c r="D1194" t="s">
        <v>43</v>
      </c>
      <c r="E1194" t="s">
        <v>154</v>
      </c>
      <c r="F1194">
        <v>53</v>
      </c>
      <c r="G1194">
        <v>60</v>
      </c>
      <c r="L1194">
        <v>6600</v>
      </c>
    </row>
    <row r="1195" spans="1:13" hidden="1" x14ac:dyDescent="0.3">
      <c r="A1195" t="s">
        <v>106</v>
      </c>
      <c r="B1195" t="s">
        <v>501</v>
      </c>
      <c r="C1195" t="s">
        <v>213</v>
      </c>
      <c r="D1195" t="s">
        <v>43</v>
      </c>
      <c r="E1195" t="s">
        <v>154</v>
      </c>
      <c r="F1195">
        <v>10</v>
      </c>
      <c r="G1195">
        <v>10</v>
      </c>
      <c r="H1195" t="s">
        <v>157</v>
      </c>
      <c r="M1195" t="s">
        <v>169</v>
      </c>
    </row>
    <row r="1196" spans="1:13" hidden="1" x14ac:dyDescent="0.3">
      <c r="A1196" t="s">
        <v>106</v>
      </c>
      <c r="B1196" t="s">
        <v>501</v>
      </c>
      <c r="C1196" t="s">
        <v>143</v>
      </c>
      <c r="D1196" t="s">
        <v>43</v>
      </c>
      <c r="E1196" t="s">
        <v>154</v>
      </c>
      <c r="F1196">
        <v>33</v>
      </c>
      <c r="G1196">
        <v>30</v>
      </c>
      <c r="H1196" t="s">
        <v>157</v>
      </c>
      <c r="L1196">
        <v>2900</v>
      </c>
    </row>
    <row r="1197" spans="1:13" hidden="1" x14ac:dyDescent="0.3">
      <c r="A1197" t="s">
        <v>106</v>
      </c>
      <c r="B1197" t="s">
        <v>501</v>
      </c>
      <c r="C1197" t="s">
        <v>146</v>
      </c>
      <c r="D1197" t="s">
        <v>43</v>
      </c>
      <c r="E1197" t="s">
        <v>154</v>
      </c>
      <c r="F1197">
        <v>2</v>
      </c>
      <c r="G1197">
        <v>2</v>
      </c>
      <c r="L1197">
        <v>1600</v>
      </c>
    </row>
    <row r="1198" spans="1:13" hidden="1" x14ac:dyDescent="0.3">
      <c r="A1198" t="s">
        <v>106</v>
      </c>
      <c r="B1198" t="s">
        <v>501</v>
      </c>
      <c r="C1198" t="s">
        <v>160</v>
      </c>
      <c r="D1198" t="s">
        <v>43</v>
      </c>
      <c r="E1198" t="s">
        <v>154</v>
      </c>
      <c r="F1198">
        <v>29</v>
      </c>
      <c r="G1198">
        <v>30</v>
      </c>
      <c r="H1198" t="s">
        <v>157</v>
      </c>
      <c r="M1198" t="s">
        <v>169</v>
      </c>
    </row>
    <row r="1199" spans="1:13" hidden="1" x14ac:dyDescent="0.3">
      <c r="A1199" t="s">
        <v>106</v>
      </c>
      <c r="B1199" t="s">
        <v>501</v>
      </c>
      <c r="C1199" t="s">
        <v>252</v>
      </c>
      <c r="D1199" t="s">
        <v>43</v>
      </c>
      <c r="E1199" t="s">
        <v>154</v>
      </c>
      <c r="F1199">
        <v>170</v>
      </c>
      <c r="G1199">
        <v>170</v>
      </c>
      <c r="L1199">
        <v>14000</v>
      </c>
    </row>
    <row r="1200" spans="1:13" hidden="1" x14ac:dyDescent="0.3">
      <c r="A1200" t="s">
        <v>106</v>
      </c>
      <c r="B1200" t="s">
        <v>501</v>
      </c>
      <c r="C1200" t="s">
        <v>176</v>
      </c>
      <c r="D1200" t="s">
        <v>43</v>
      </c>
      <c r="E1200" t="s">
        <v>154</v>
      </c>
      <c r="F1200">
        <v>11</v>
      </c>
      <c r="G1200">
        <v>10</v>
      </c>
      <c r="L1200">
        <v>11000</v>
      </c>
    </row>
    <row r="1201" spans="1:13" hidden="1" x14ac:dyDescent="0.3">
      <c r="A1201" t="s">
        <v>106</v>
      </c>
      <c r="B1201" t="s">
        <v>501</v>
      </c>
      <c r="C1201" t="s">
        <v>211</v>
      </c>
      <c r="D1201" t="s">
        <v>43</v>
      </c>
      <c r="E1201" t="s">
        <v>154</v>
      </c>
      <c r="F1201">
        <v>23</v>
      </c>
      <c r="G1201">
        <v>20</v>
      </c>
      <c r="H1201" t="s">
        <v>157</v>
      </c>
      <c r="M1201" t="s">
        <v>169</v>
      </c>
    </row>
    <row r="1202" spans="1:13" hidden="1" x14ac:dyDescent="0.3">
      <c r="A1202" t="s">
        <v>106</v>
      </c>
      <c r="B1202" t="s">
        <v>501</v>
      </c>
      <c r="C1202" t="s">
        <v>253</v>
      </c>
      <c r="D1202" t="s">
        <v>43</v>
      </c>
      <c r="E1202" t="s">
        <v>154</v>
      </c>
      <c r="F1202">
        <v>28</v>
      </c>
      <c r="G1202">
        <v>30</v>
      </c>
      <c r="M1202" t="s">
        <v>169</v>
      </c>
    </row>
    <row r="1203" spans="1:13" x14ac:dyDescent="0.3">
      <c r="A1203" t="s">
        <v>106</v>
      </c>
      <c r="B1203" t="s">
        <v>501</v>
      </c>
      <c r="C1203" t="s">
        <v>152</v>
      </c>
      <c r="D1203" t="s">
        <v>43</v>
      </c>
      <c r="E1203" t="s">
        <v>154</v>
      </c>
      <c r="F1203" s="3">
        <v>458</v>
      </c>
      <c r="G1203" s="3">
        <v>460</v>
      </c>
      <c r="M1203" t="s">
        <v>169</v>
      </c>
    </row>
    <row r="1204" spans="1:13" hidden="1" x14ac:dyDescent="0.3">
      <c r="A1204" t="s">
        <v>106</v>
      </c>
      <c r="B1204" t="s">
        <v>503</v>
      </c>
      <c r="C1204" t="s">
        <v>134</v>
      </c>
      <c r="D1204" t="s">
        <v>43</v>
      </c>
      <c r="E1204" t="s">
        <v>136</v>
      </c>
      <c r="H1204" t="s">
        <v>190</v>
      </c>
    </row>
    <row r="1205" spans="1:13" hidden="1" x14ac:dyDescent="0.3">
      <c r="A1205" t="s">
        <v>106</v>
      </c>
      <c r="B1205" t="s">
        <v>503</v>
      </c>
      <c r="C1205" t="s">
        <v>156</v>
      </c>
      <c r="D1205" t="s">
        <v>43</v>
      </c>
      <c r="E1205" t="s">
        <v>136</v>
      </c>
      <c r="F1205">
        <v>20000</v>
      </c>
      <c r="G1205">
        <v>20000</v>
      </c>
    </row>
    <row r="1206" spans="1:13" hidden="1" x14ac:dyDescent="0.3">
      <c r="A1206" t="s">
        <v>106</v>
      </c>
      <c r="B1206" t="s">
        <v>503</v>
      </c>
      <c r="C1206" t="s">
        <v>143</v>
      </c>
      <c r="D1206" t="s">
        <v>43</v>
      </c>
      <c r="E1206" t="s">
        <v>136</v>
      </c>
      <c r="F1206">
        <v>770000</v>
      </c>
      <c r="G1206">
        <v>800000</v>
      </c>
    </row>
    <row r="1207" spans="1:13" hidden="1" x14ac:dyDescent="0.3">
      <c r="A1207" t="s">
        <v>106</v>
      </c>
      <c r="B1207" t="s">
        <v>503</v>
      </c>
      <c r="C1207" t="s">
        <v>251</v>
      </c>
      <c r="D1207" t="s">
        <v>43</v>
      </c>
      <c r="E1207" t="s">
        <v>136</v>
      </c>
      <c r="F1207">
        <v>10000</v>
      </c>
      <c r="G1207">
        <v>10000</v>
      </c>
    </row>
    <row r="1208" spans="1:13" hidden="1" x14ac:dyDescent="0.3">
      <c r="A1208" t="s">
        <v>106</v>
      </c>
      <c r="B1208" t="s">
        <v>503</v>
      </c>
      <c r="C1208" t="s">
        <v>146</v>
      </c>
      <c r="D1208" t="s">
        <v>43</v>
      </c>
      <c r="E1208" t="s">
        <v>136</v>
      </c>
      <c r="F1208">
        <v>115000</v>
      </c>
      <c r="G1208">
        <v>120000</v>
      </c>
    </row>
    <row r="1209" spans="1:13" hidden="1" x14ac:dyDescent="0.3">
      <c r="A1209" t="s">
        <v>106</v>
      </c>
      <c r="B1209" t="s">
        <v>503</v>
      </c>
      <c r="C1209" t="s">
        <v>148</v>
      </c>
      <c r="D1209" t="s">
        <v>43</v>
      </c>
      <c r="E1209" t="s">
        <v>136</v>
      </c>
      <c r="F1209">
        <v>89200</v>
      </c>
      <c r="G1209">
        <v>95000</v>
      </c>
    </row>
    <row r="1210" spans="1:13" hidden="1" x14ac:dyDescent="0.3">
      <c r="A1210" t="s">
        <v>106</v>
      </c>
      <c r="B1210" t="s">
        <v>503</v>
      </c>
      <c r="C1210" t="s">
        <v>151</v>
      </c>
      <c r="D1210" t="s">
        <v>43</v>
      </c>
      <c r="E1210" t="s">
        <v>136</v>
      </c>
      <c r="F1210">
        <v>10000</v>
      </c>
      <c r="G1210">
        <v>10000</v>
      </c>
    </row>
    <row r="1211" spans="1:13" x14ac:dyDescent="0.3">
      <c r="A1211" t="s">
        <v>106</v>
      </c>
      <c r="B1211" t="s">
        <v>503</v>
      </c>
      <c r="C1211" t="s">
        <v>152</v>
      </c>
      <c r="D1211" t="s">
        <v>43</v>
      </c>
      <c r="E1211" t="s">
        <v>136</v>
      </c>
      <c r="F1211" s="3">
        <v>1010000</v>
      </c>
      <c r="G1211" s="3">
        <v>1100000</v>
      </c>
    </row>
    <row r="1212" spans="1:13" hidden="1" x14ac:dyDescent="0.3">
      <c r="A1212" t="s">
        <v>106</v>
      </c>
      <c r="B1212" t="s">
        <v>504</v>
      </c>
      <c r="C1212" t="s">
        <v>134</v>
      </c>
      <c r="D1212" t="s">
        <v>43</v>
      </c>
      <c r="E1212" t="s">
        <v>136</v>
      </c>
      <c r="F1212">
        <v>78000</v>
      </c>
      <c r="G1212">
        <v>81000</v>
      </c>
      <c r="H1212" t="s">
        <v>157</v>
      </c>
    </row>
    <row r="1213" spans="1:13" hidden="1" x14ac:dyDescent="0.3">
      <c r="A1213" t="s">
        <v>106</v>
      </c>
      <c r="B1213" t="s">
        <v>504</v>
      </c>
      <c r="C1213" t="s">
        <v>221</v>
      </c>
      <c r="D1213" t="s">
        <v>43</v>
      </c>
      <c r="E1213" t="s">
        <v>136</v>
      </c>
      <c r="F1213">
        <v>500</v>
      </c>
      <c r="G1213">
        <v>500</v>
      </c>
    </row>
    <row r="1214" spans="1:13" hidden="1" x14ac:dyDescent="0.3">
      <c r="A1214" t="s">
        <v>106</v>
      </c>
      <c r="B1214" t="s">
        <v>504</v>
      </c>
      <c r="C1214" t="s">
        <v>143</v>
      </c>
      <c r="D1214" t="s">
        <v>43</v>
      </c>
      <c r="E1214" t="s">
        <v>136</v>
      </c>
      <c r="F1214">
        <v>150000</v>
      </c>
      <c r="G1214">
        <v>150000</v>
      </c>
      <c r="H1214" t="s">
        <v>157</v>
      </c>
    </row>
    <row r="1215" spans="1:13" hidden="1" x14ac:dyDescent="0.3">
      <c r="A1215" t="s">
        <v>106</v>
      </c>
      <c r="B1215" t="s">
        <v>504</v>
      </c>
      <c r="C1215" t="s">
        <v>270</v>
      </c>
      <c r="D1215" t="s">
        <v>43</v>
      </c>
      <c r="E1215" t="s">
        <v>136</v>
      </c>
      <c r="F1215">
        <v>78000</v>
      </c>
      <c r="G1215">
        <v>78000</v>
      </c>
      <c r="H1215" t="s">
        <v>157</v>
      </c>
    </row>
    <row r="1216" spans="1:13" hidden="1" x14ac:dyDescent="0.3">
      <c r="A1216" t="s">
        <v>106</v>
      </c>
      <c r="B1216" t="s">
        <v>504</v>
      </c>
      <c r="C1216" t="s">
        <v>413</v>
      </c>
      <c r="D1216" t="s">
        <v>43</v>
      </c>
      <c r="E1216" t="s">
        <v>136</v>
      </c>
      <c r="F1216">
        <v>3600</v>
      </c>
      <c r="G1216">
        <v>5000</v>
      </c>
    </row>
    <row r="1217" spans="1:13" hidden="1" x14ac:dyDescent="0.3">
      <c r="A1217" t="s">
        <v>106</v>
      </c>
      <c r="B1217" t="s">
        <v>504</v>
      </c>
      <c r="C1217" t="s">
        <v>414</v>
      </c>
      <c r="D1217" t="s">
        <v>43</v>
      </c>
      <c r="E1217" t="s">
        <v>136</v>
      </c>
      <c r="F1217">
        <v>32000</v>
      </c>
      <c r="G1217">
        <v>35000</v>
      </c>
      <c r="H1217" t="s">
        <v>157</v>
      </c>
    </row>
    <row r="1218" spans="1:13" hidden="1" x14ac:dyDescent="0.3">
      <c r="A1218" t="s">
        <v>106</v>
      </c>
      <c r="B1218" t="s">
        <v>504</v>
      </c>
      <c r="C1218" t="s">
        <v>198</v>
      </c>
      <c r="D1218" t="s">
        <v>43</v>
      </c>
      <c r="E1218" t="s">
        <v>136</v>
      </c>
      <c r="F1218">
        <v>120000</v>
      </c>
      <c r="G1218">
        <v>120000</v>
      </c>
      <c r="H1218" t="s">
        <v>157</v>
      </c>
    </row>
    <row r="1219" spans="1:13" hidden="1" x14ac:dyDescent="0.3">
      <c r="A1219" t="s">
        <v>106</v>
      </c>
      <c r="B1219" t="s">
        <v>504</v>
      </c>
      <c r="C1219" t="s">
        <v>234</v>
      </c>
      <c r="D1219" t="s">
        <v>43</v>
      </c>
      <c r="E1219" t="s">
        <v>136</v>
      </c>
      <c r="F1219">
        <v>1000</v>
      </c>
      <c r="G1219">
        <v>1000</v>
      </c>
      <c r="H1219" t="s">
        <v>157</v>
      </c>
    </row>
    <row r="1220" spans="1:13" hidden="1" x14ac:dyDescent="0.3">
      <c r="A1220" t="s">
        <v>106</v>
      </c>
      <c r="B1220" t="s">
        <v>504</v>
      </c>
      <c r="C1220" t="s">
        <v>214</v>
      </c>
      <c r="D1220" t="s">
        <v>43</v>
      </c>
      <c r="E1220" t="s">
        <v>136</v>
      </c>
      <c r="F1220">
        <v>178000</v>
      </c>
      <c r="G1220">
        <v>130000</v>
      </c>
    </row>
    <row r="1221" spans="1:13" hidden="1" x14ac:dyDescent="0.3">
      <c r="A1221" t="s">
        <v>106</v>
      </c>
      <c r="B1221" t="s">
        <v>504</v>
      </c>
      <c r="C1221" t="s">
        <v>416</v>
      </c>
      <c r="D1221" t="s">
        <v>43</v>
      </c>
      <c r="E1221" t="s">
        <v>136</v>
      </c>
      <c r="F1221">
        <v>100000</v>
      </c>
      <c r="G1221">
        <v>100000</v>
      </c>
      <c r="H1221" t="s">
        <v>157</v>
      </c>
    </row>
    <row r="1222" spans="1:13" hidden="1" x14ac:dyDescent="0.3">
      <c r="A1222" t="s">
        <v>106</v>
      </c>
      <c r="B1222" t="s">
        <v>504</v>
      </c>
      <c r="C1222" t="s">
        <v>273</v>
      </c>
      <c r="D1222" t="s">
        <v>43</v>
      </c>
      <c r="E1222" t="s">
        <v>136</v>
      </c>
      <c r="F1222">
        <v>3260</v>
      </c>
      <c r="G1222">
        <v>7100</v>
      </c>
    </row>
    <row r="1223" spans="1:13" hidden="1" x14ac:dyDescent="0.3">
      <c r="A1223" t="s">
        <v>106</v>
      </c>
      <c r="B1223" t="s">
        <v>504</v>
      </c>
      <c r="C1223" t="s">
        <v>160</v>
      </c>
      <c r="D1223" t="s">
        <v>43</v>
      </c>
      <c r="E1223" t="s">
        <v>136</v>
      </c>
      <c r="F1223">
        <v>35000</v>
      </c>
      <c r="G1223">
        <v>35000</v>
      </c>
      <c r="H1223" t="s">
        <v>157</v>
      </c>
    </row>
    <row r="1224" spans="1:13" hidden="1" x14ac:dyDescent="0.3">
      <c r="A1224" t="s">
        <v>106</v>
      </c>
      <c r="B1224" t="s">
        <v>504</v>
      </c>
      <c r="C1224" t="s">
        <v>371</v>
      </c>
      <c r="D1224" t="s">
        <v>43</v>
      </c>
      <c r="E1224" t="s">
        <v>136</v>
      </c>
      <c r="F1224">
        <v>207000</v>
      </c>
      <c r="G1224">
        <v>220000</v>
      </c>
    </row>
    <row r="1225" spans="1:13" hidden="1" x14ac:dyDescent="0.3">
      <c r="A1225" t="s">
        <v>106</v>
      </c>
      <c r="B1225" t="s">
        <v>504</v>
      </c>
      <c r="C1225" t="s">
        <v>176</v>
      </c>
      <c r="D1225" t="s">
        <v>43</v>
      </c>
      <c r="E1225" t="s">
        <v>136</v>
      </c>
      <c r="F1225">
        <v>71700</v>
      </c>
      <c r="G1225">
        <v>70000</v>
      </c>
    </row>
    <row r="1226" spans="1:13" x14ac:dyDescent="0.3">
      <c r="A1226" t="s">
        <v>106</v>
      </c>
      <c r="B1226" t="s">
        <v>504</v>
      </c>
      <c r="C1226" t="s">
        <v>152</v>
      </c>
      <c r="D1226" t="s">
        <v>43</v>
      </c>
      <c r="E1226" t="s">
        <v>136</v>
      </c>
      <c r="F1226" s="3">
        <v>1060000</v>
      </c>
      <c r="G1226" s="3">
        <v>1000000</v>
      </c>
    </row>
    <row r="1227" spans="1:13" hidden="1" x14ac:dyDescent="0.3">
      <c r="A1227" t="s">
        <v>106</v>
      </c>
      <c r="B1227" t="s">
        <v>30</v>
      </c>
      <c r="C1227" t="s">
        <v>134</v>
      </c>
      <c r="D1227" t="s">
        <v>505</v>
      </c>
      <c r="E1227" t="s">
        <v>154</v>
      </c>
      <c r="F1227">
        <v>767</v>
      </c>
      <c r="G1227">
        <v>750</v>
      </c>
      <c r="L1227">
        <v>9200</v>
      </c>
    </row>
    <row r="1228" spans="1:13" hidden="1" x14ac:dyDescent="0.3">
      <c r="A1228" t="s">
        <v>106</v>
      </c>
      <c r="B1228" t="s">
        <v>30</v>
      </c>
      <c r="C1228" t="s">
        <v>140</v>
      </c>
      <c r="D1228" t="s">
        <v>505</v>
      </c>
      <c r="E1228" t="s">
        <v>154</v>
      </c>
      <c r="F1228">
        <v>1090</v>
      </c>
      <c r="G1228">
        <v>1100</v>
      </c>
      <c r="L1228">
        <v>64000</v>
      </c>
    </row>
    <row r="1229" spans="1:13" hidden="1" x14ac:dyDescent="0.3">
      <c r="A1229" t="s">
        <v>106</v>
      </c>
      <c r="B1229" t="s">
        <v>30</v>
      </c>
      <c r="C1229" t="s">
        <v>166</v>
      </c>
      <c r="D1229" t="s">
        <v>505</v>
      </c>
      <c r="E1229" t="s">
        <v>154</v>
      </c>
      <c r="F1229">
        <v>492</v>
      </c>
      <c r="G1229">
        <v>510</v>
      </c>
      <c r="M1229" t="s">
        <v>169</v>
      </c>
    </row>
    <row r="1230" spans="1:13" hidden="1" x14ac:dyDescent="0.3">
      <c r="A1230" t="s">
        <v>106</v>
      </c>
      <c r="B1230" t="s">
        <v>30</v>
      </c>
      <c r="C1230" t="s">
        <v>143</v>
      </c>
      <c r="D1230" t="s">
        <v>505</v>
      </c>
      <c r="E1230" t="s">
        <v>154</v>
      </c>
      <c r="F1230">
        <v>4060</v>
      </c>
      <c r="G1230">
        <v>4000</v>
      </c>
      <c r="L1230">
        <v>46000</v>
      </c>
    </row>
    <row r="1231" spans="1:13" hidden="1" x14ac:dyDescent="0.3">
      <c r="A1231" t="s">
        <v>106</v>
      </c>
      <c r="B1231" t="s">
        <v>30</v>
      </c>
      <c r="C1231" t="s">
        <v>146</v>
      </c>
      <c r="D1231" t="s">
        <v>505</v>
      </c>
      <c r="E1231" t="s">
        <v>154</v>
      </c>
      <c r="F1231">
        <v>854</v>
      </c>
      <c r="G1231">
        <v>860</v>
      </c>
      <c r="H1231" t="s">
        <v>157</v>
      </c>
      <c r="L1231">
        <v>9800</v>
      </c>
    </row>
    <row r="1232" spans="1:13" hidden="1" x14ac:dyDescent="0.3">
      <c r="A1232" t="s">
        <v>106</v>
      </c>
      <c r="B1232" t="s">
        <v>30</v>
      </c>
      <c r="C1232" t="s">
        <v>171</v>
      </c>
      <c r="D1232" t="s">
        <v>505</v>
      </c>
      <c r="E1232" t="s">
        <v>154</v>
      </c>
      <c r="F1232">
        <v>340</v>
      </c>
      <c r="G1232">
        <v>370</v>
      </c>
      <c r="L1232">
        <v>7600</v>
      </c>
    </row>
    <row r="1233" spans="1:13" hidden="1" x14ac:dyDescent="0.3">
      <c r="A1233" t="s">
        <v>106</v>
      </c>
      <c r="B1233" t="s">
        <v>30</v>
      </c>
      <c r="C1233" t="s">
        <v>148</v>
      </c>
      <c r="D1233" t="s">
        <v>505</v>
      </c>
      <c r="E1233" t="s">
        <v>154</v>
      </c>
      <c r="F1233">
        <v>584</v>
      </c>
      <c r="G1233">
        <v>700</v>
      </c>
      <c r="L1233">
        <v>14000</v>
      </c>
    </row>
    <row r="1234" spans="1:13" hidden="1" x14ac:dyDescent="0.3">
      <c r="A1234" t="s">
        <v>106</v>
      </c>
      <c r="B1234" t="s">
        <v>30</v>
      </c>
      <c r="C1234" t="s">
        <v>182</v>
      </c>
      <c r="D1234" t="s">
        <v>505</v>
      </c>
      <c r="E1234" t="s">
        <v>154</v>
      </c>
      <c r="F1234">
        <v>1470</v>
      </c>
      <c r="G1234">
        <v>1300</v>
      </c>
      <c r="L1234">
        <v>20000</v>
      </c>
    </row>
    <row r="1235" spans="1:13" hidden="1" x14ac:dyDescent="0.3">
      <c r="A1235" t="s">
        <v>106</v>
      </c>
      <c r="B1235" t="s">
        <v>30</v>
      </c>
      <c r="C1235" t="s">
        <v>160</v>
      </c>
      <c r="D1235" t="s">
        <v>505</v>
      </c>
      <c r="E1235" t="s">
        <v>154</v>
      </c>
      <c r="F1235">
        <v>300</v>
      </c>
      <c r="G1235">
        <v>310</v>
      </c>
      <c r="H1235" t="s">
        <v>157</v>
      </c>
      <c r="L1235">
        <v>29000</v>
      </c>
    </row>
    <row r="1236" spans="1:13" hidden="1" x14ac:dyDescent="0.3">
      <c r="A1236" t="s">
        <v>106</v>
      </c>
      <c r="B1236" t="s">
        <v>30</v>
      </c>
      <c r="C1236" t="s">
        <v>252</v>
      </c>
      <c r="D1236" t="s">
        <v>505</v>
      </c>
      <c r="E1236" t="s">
        <v>154</v>
      </c>
      <c r="F1236">
        <v>198</v>
      </c>
      <c r="G1236">
        <v>120</v>
      </c>
      <c r="L1236">
        <v>5900</v>
      </c>
    </row>
    <row r="1237" spans="1:13" hidden="1" x14ac:dyDescent="0.3">
      <c r="A1237" t="s">
        <v>106</v>
      </c>
      <c r="B1237" t="s">
        <v>30</v>
      </c>
      <c r="C1237" t="s">
        <v>341</v>
      </c>
      <c r="D1237" t="s">
        <v>505</v>
      </c>
      <c r="E1237" t="s">
        <v>154</v>
      </c>
      <c r="F1237">
        <v>218</v>
      </c>
      <c r="G1237">
        <v>240</v>
      </c>
      <c r="L1237">
        <v>3900</v>
      </c>
    </row>
    <row r="1238" spans="1:13" hidden="1" x14ac:dyDescent="0.3">
      <c r="A1238" t="s">
        <v>106</v>
      </c>
      <c r="B1238" t="s">
        <v>30</v>
      </c>
      <c r="C1238" t="s">
        <v>151</v>
      </c>
      <c r="D1238" t="s">
        <v>505</v>
      </c>
      <c r="E1238" t="s">
        <v>154</v>
      </c>
      <c r="F1238">
        <v>1690</v>
      </c>
      <c r="G1238">
        <v>1700</v>
      </c>
      <c r="L1238">
        <v>25000</v>
      </c>
    </row>
    <row r="1239" spans="1:13" x14ac:dyDescent="0.3">
      <c r="A1239" t="s">
        <v>106</v>
      </c>
      <c r="B1239" t="s">
        <v>30</v>
      </c>
      <c r="C1239" t="s">
        <v>152</v>
      </c>
      <c r="D1239" t="s">
        <v>505</v>
      </c>
      <c r="E1239" t="s">
        <v>154</v>
      </c>
      <c r="F1239" s="3">
        <v>12100</v>
      </c>
      <c r="G1239" s="3">
        <v>12000</v>
      </c>
      <c r="L1239">
        <v>230000</v>
      </c>
    </row>
    <row r="1240" spans="1:13" hidden="1" x14ac:dyDescent="0.3">
      <c r="A1240" t="s">
        <v>106</v>
      </c>
      <c r="B1240" t="s">
        <v>506</v>
      </c>
      <c r="C1240" t="s">
        <v>134</v>
      </c>
      <c r="D1240" t="s">
        <v>507</v>
      </c>
      <c r="E1240" t="s">
        <v>154</v>
      </c>
      <c r="F1240">
        <v>100</v>
      </c>
      <c r="G1240">
        <v>100</v>
      </c>
      <c r="H1240" t="s">
        <v>508</v>
      </c>
      <c r="L1240">
        <v>500</v>
      </c>
      <c r="M1240" t="s">
        <v>509</v>
      </c>
    </row>
    <row r="1241" spans="1:13" hidden="1" x14ac:dyDescent="0.3">
      <c r="A1241" t="s">
        <v>106</v>
      </c>
      <c r="B1241" t="s">
        <v>506</v>
      </c>
      <c r="C1241" t="s">
        <v>140</v>
      </c>
      <c r="D1241" t="s">
        <v>507</v>
      </c>
      <c r="E1241" t="s">
        <v>154</v>
      </c>
      <c r="F1241">
        <v>500</v>
      </c>
      <c r="G1241">
        <v>500</v>
      </c>
      <c r="L1241">
        <v>55000</v>
      </c>
      <c r="M1241" t="s">
        <v>510</v>
      </c>
    </row>
    <row r="1242" spans="1:13" hidden="1" x14ac:dyDescent="0.3">
      <c r="A1242" t="s">
        <v>106</v>
      </c>
      <c r="B1242" t="s">
        <v>506</v>
      </c>
      <c r="C1242" t="s">
        <v>143</v>
      </c>
      <c r="D1242" t="s">
        <v>507</v>
      </c>
      <c r="E1242" t="s">
        <v>154</v>
      </c>
      <c r="F1242">
        <v>100</v>
      </c>
      <c r="G1242">
        <v>100</v>
      </c>
      <c r="L1242">
        <v>72</v>
      </c>
      <c r="M1242" t="s">
        <v>509</v>
      </c>
    </row>
    <row r="1243" spans="1:13" hidden="1" x14ac:dyDescent="0.3">
      <c r="A1243" t="s">
        <v>106</v>
      </c>
      <c r="B1243" t="s">
        <v>506</v>
      </c>
      <c r="C1243" t="s">
        <v>198</v>
      </c>
      <c r="D1243" t="s">
        <v>507</v>
      </c>
      <c r="E1243" t="s">
        <v>154</v>
      </c>
      <c r="F1243">
        <v>95</v>
      </c>
      <c r="G1243">
        <v>95</v>
      </c>
      <c r="M1243" t="s">
        <v>509</v>
      </c>
    </row>
    <row r="1244" spans="1:13" hidden="1" x14ac:dyDescent="0.3">
      <c r="A1244" t="s">
        <v>106</v>
      </c>
      <c r="B1244" t="s">
        <v>506</v>
      </c>
      <c r="C1244" t="s">
        <v>458</v>
      </c>
      <c r="D1244" t="s">
        <v>507</v>
      </c>
      <c r="E1244" t="s">
        <v>154</v>
      </c>
      <c r="F1244">
        <v>20</v>
      </c>
      <c r="G1244">
        <v>20</v>
      </c>
      <c r="H1244" t="s">
        <v>215</v>
      </c>
      <c r="L1244">
        <v>5</v>
      </c>
      <c r="M1244" t="s">
        <v>509</v>
      </c>
    </row>
    <row r="1245" spans="1:13" hidden="1" x14ac:dyDescent="0.3">
      <c r="A1245" t="s">
        <v>106</v>
      </c>
      <c r="B1245" t="s">
        <v>506</v>
      </c>
      <c r="C1245" t="s">
        <v>208</v>
      </c>
      <c r="D1245" t="s">
        <v>507</v>
      </c>
      <c r="E1245" t="s">
        <v>154</v>
      </c>
      <c r="F1245">
        <v>34</v>
      </c>
      <c r="G1245">
        <v>30</v>
      </c>
      <c r="L1245">
        <v>2100</v>
      </c>
      <c r="M1245" t="s">
        <v>509</v>
      </c>
    </row>
    <row r="1246" spans="1:13" hidden="1" x14ac:dyDescent="0.3">
      <c r="A1246" t="s">
        <v>106</v>
      </c>
      <c r="B1246" t="s">
        <v>506</v>
      </c>
      <c r="C1246" t="s">
        <v>209</v>
      </c>
      <c r="D1246" t="s">
        <v>507</v>
      </c>
      <c r="E1246" t="s">
        <v>154</v>
      </c>
      <c r="F1246">
        <v>144</v>
      </c>
      <c r="G1246">
        <v>160</v>
      </c>
      <c r="H1246" t="s">
        <v>215</v>
      </c>
      <c r="L1246">
        <v>1500</v>
      </c>
      <c r="M1246" t="s">
        <v>509</v>
      </c>
    </row>
    <row r="1247" spans="1:13" hidden="1" x14ac:dyDescent="0.3">
      <c r="A1247" t="s">
        <v>106</v>
      </c>
      <c r="B1247" t="s">
        <v>506</v>
      </c>
      <c r="C1247" t="s">
        <v>261</v>
      </c>
      <c r="D1247" t="s">
        <v>507</v>
      </c>
      <c r="E1247" t="s">
        <v>154</v>
      </c>
      <c r="F1247">
        <v>48</v>
      </c>
      <c r="G1247">
        <v>60</v>
      </c>
      <c r="H1247" t="s">
        <v>215</v>
      </c>
      <c r="L1247">
        <v>2600</v>
      </c>
      <c r="M1247" t="s">
        <v>509</v>
      </c>
    </row>
    <row r="1248" spans="1:13" hidden="1" x14ac:dyDescent="0.3">
      <c r="A1248" t="s">
        <v>106</v>
      </c>
      <c r="B1248" t="s">
        <v>506</v>
      </c>
      <c r="C1248" t="s">
        <v>303</v>
      </c>
      <c r="D1248" t="s">
        <v>507</v>
      </c>
      <c r="E1248" t="s">
        <v>154</v>
      </c>
      <c r="F1248">
        <v>28</v>
      </c>
      <c r="G1248">
        <v>20</v>
      </c>
      <c r="H1248" t="s">
        <v>215</v>
      </c>
      <c r="L1248">
        <v>290</v>
      </c>
      <c r="M1248" t="s">
        <v>509</v>
      </c>
    </row>
    <row r="1249" spans="1:13" hidden="1" x14ac:dyDescent="0.3">
      <c r="A1249" t="s">
        <v>106</v>
      </c>
      <c r="B1249" t="s">
        <v>506</v>
      </c>
      <c r="C1249" t="s">
        <v>252</v>
      </c>
      <c r="D1249" t="s">
        <v>507</v>
      </c>
      <c r="E1249" t="s">
        <v>154</v>
      </c>
      <c r="F1249">
        <v>289</v>
      </c>
      <c r="G1249">
        <v>300</v>
      </c>
      <c r="H1249" t="s">
        <v>215</v>
      </c>
      <c r="L1249">
        <v>5300</v>
      </c>
      <c r="M1249" t="s">
        <v>509</v>
      </c>
    </row>
    <row r="1250" spans="1:13" hidden="1" x14ac:dyDescent="0.3">
      <c r="A1250" t="s">
        <v>106</v>
      </c>
      <c r="B1250" t="s">
        <v>506</v>
      </c>
      <c r="C1250" t="s">
        <v>151</v>
      </c>
      <c r="D1250" t="s">
        <v>507</v>
      </c>
      <c r="E1250" t="s">
        <v>154</v>
      </c>
      <c r="F1250">
        <v>86</v>
      </c>
      <c r="G1250">
        <v>110</v>
      </c>
      <c r="L1250">
        <v>5700</v>
      </c>
      <c r="M1250" t="s">
        <v>509</v>
      </c>
    </row>
    <row r="1251" spans="1:13" x14ac:dyDescent="0.3">
      <c r="A1251" t="s">
        <v>106</v>
      </c>
      <c r="B1251" t="s">
        <v>506</v>
      </c>
      <c r="C1251" t="s">
        <v>152</v>
      </c>
      <c r="D1251" t="s">
        <v>507</v>
      </c>
      <c r="E1251" t="s">
        <v>154</v>
      </c>
      <c r="F1251" s="3">
        <v>1440</v>
      </c>
      <c r="G1251" s="3">
        <v>1500</v>
      </c>
      <c r="L1251">
        <v>70000</v>
      </c>
      <c r="M1251" t="s">
        <v>509</v>
      </c>
    </row>
  </sheetData>
  <autoFilter ref="A1:M1251" xr:uid="{EC01A297-A588-4097-A4DD-B8C2541A41DC}">
    <filterColumn colId="2">
      <filters>
        <filter val="World total"/>
        <filter val="World total (ilmenite and rutile, rounded)"/>
        <filter val="World total (ilmenite, rounded)"/>
        <filter val="World total (rounded)"/>
        <filter val="World total (rounded) 10"/>
        <filter val="World total (rounded), natural"/>
        <filter val="World total (rounded), synthetic"/>
        <filter val="World total (rutile, rounded)"/>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63E8-2861-4B4B-8BAF-2075D38834A8}">
  <dimension ref="A1:H68"/>
  <sheetViews>
    <sheetView workbookViewId="0">
      <selection activeCell="F5" sqref="F5"/>
    </sheetView>
  </sheetViews>
  <sheetFormatPr defaultRowHeight="14.4" x14ac:dyDescent="0.3"/>
  <cols>
    <col min="1" max="1" width="13.44140625" bestFit="1" customWidth="1"/>
    <col min="2" max="2" width="21.88671875" bestFit="1" customWidth="1"/>
    <col min="3" max="3" width="4.5546875" bestFit="1" customWidth="1"/>
    <col min="4" max="8" width="13.6640625" bestFit="1" customWidth="1"/>
  </cols>
  <sheetData>
    <row r="1" spans="1:8" x14ac:dyDescent="0.3">
      <c r="A1" s="21" t="s">
        <v>672</v>
      </c>
      <c r="B1" s="21" t="s">
        <v>673</v>
      </c>
      <c r="C1" s="21" t="s">
        <v>674</v>
      </c>
      <c r="D1" s="22" t="s">
        <v>675</v>
      </c>
      <c r="E1" s="22" t="s">
        <v>676</v>
      </c>
      <c r="F1" s="22" t="s">
        <v>677</v>
      </c>
      <c r="G1" s="22" t="s">
        <v>678</v>
      </c>
      <c r="H1" s="22" t="s">
        <v>679</v>
      </c>
    </row>
    <row r="2" spans="1:8" x14ac:dyDescent="0.3">
      <c r="A2" s="23" t="s">
        <v>1</v>
      </c>
      <c r="B2" s="24" t="s">
        <v>680</v>
      </c>
      <c r="C2" s="23" t="s">
        <v>69</v>
      </c>
      <c r="D2" s="25">
        <v>64443051</v>
      </c>
      <c r="E2" s="25">
        <v>63230201</v>
      </c>
      <c r="F2" s="25">
        <v>65404146</v>
      </c>
      <c r="G2" s="25">
        <v>67049920</v>
      </c>
      <c r="H2" s="25">
        <v>68825618</v>
      </c>
    </row>
    <row r="3" spans="1:8" x14ac:dyDescent="0.3">
      <c r="A3" s="23" t="s">
        <v>162</v>
      </c>
      <c r="B3" s="24" t="s">
        <v>680</v>
      </c>
      <c r="C3" s="23" t="s">
        <v>69</v>
      </c>
      <c r="D3" s="25">
        <v>145002</v>
      </c>
      <c r="E3" s="25">
        <v>134659</v>
      </c>
      <c r="F3" s="25">
        <v>119911</v>
      </c>
      <c r="G3" s="25">
        <v>91920</v>
      </c>
      <c r="H3" s="25">
        <v>83031</v>
      </c>
    </row>
    <row r="4" spans="1:8" x14ac:dyDescent="0.3">
      <c r="A4" s="23" t="s">
        <v>2</v>
      </c>
      <c r="B4" s="24" t="s">
        <v>680</v>
      </c>
      <c r="C4" s="23" t="s">
        <v>69</v>
      </c>
      <c r="D4" s="25">
        <v>51737</v>
      </c>
      <c r="E4" s="25">
        <v>55243</v>
      </c>
      <c r="F4" s="25">
        <v>52298</v>
      </c>
      <c r="G4" s="25">
        <v>54695</v>
      </c>
      <c r="H4" s="25">
        <v>56404</v>
      </c>
    </row>
    <row r="5" spans="1:8" x14ac:dyDescent="0.3">
      <c r="A5" s="23" t="s">
        <v>183</v>
      </c>
      <c r="B5" s="24" t="s">
        <v>681</v>
      </c>
      <c r="C5" s="23" t="s">
        <v>69</v>
      </c>
      <c r="D5" s="25">
        <v>1237256</v>
      </c>
      <c r="E5" s="25">
        <v>1137505</v>
      </c>
      <c r="F5" s="25">
        <v>1132268</v>
      </c>
      <c r="G5" s="25">
        <v>1302356</v>
      </c>
      <c r="H5" s="25">
        <v>1258065</v>
      </c>
    </row>
    <row r="6" spans="1:8" x14ac:dyDescent="0.3">
      <c r="A6" s="23" t="s">
        <v>682</v>
      </c>
      <c r="B6" s="24" t="s">
        <v>681</v>
      </c>
      <c r="C6" s="23" t="s">
        <v>69</v>
      </c>
      <c r="D6" s="25">
        <v>9627288</v>
      </c>
      <c r="E6" s="25">
        <v>9510043</v>
      </c>
      <c r="F6" s="25">
        <v>7841612</v>
      </c>
      <c r="G6" s="25">
        <v>8358423</v>
      </c>
      <c r="H6" s="25">
        <v>8278342</v>
      </c>
    </row>
    <row r="7" spans="1:8" x14ac:dyDescent="0.3">
      <c r="A7" s="23" t="s">
        <v>193</v>
      </c>
      <c r="B7" s="24" t="s">
        <v>680</v>
      </c>
      <c r="C7" s="23" t="s">
        <v>69</v>
      </c>
      <c r="D7" s="25">
        <v>337381921</v>
      </c>
      <c r="E7" s="25">
        <v>363687031</v>
      </c>
      <c r="F7" s="25">
        <v>379030232</v>
      </c>
      <c r="G7" s="25">
        <v>379388070</v>
      </c>
      <c r="H7" s="25">
        <v>396753970</v>
      </c>
    </row>
    <row r="8" spans="1:8" x14ac:dyDescent="0.3">
      <c r="A8" s="23" t="s">
        <v>683</v>
      </c>
      <c r="B8" s="24" t="s">
        <v>681</v>
      </c>
      <c r="C8" s="23" t="s">
        <v>69</v>
      </c>
      <c r="D8" s="25">
        <v>21816554</v>
      </c>
      <c r="E8" s="25">
        <v>21808546</v>
      </c>
      <c r="F8" s="25">
        <v>18924776</v>
      </c>
      <c r="G8" s="25">
        <v>18831902</v>
      </c>
      <c r="H8" s="25">
        <v>18643439</v>
      </c>
    </row>
    <row r="9" spans="1:8" x14ac:dyDescent="0.3">
      <c r="A9" s="23" t="s">
        <v>684</v>
      </c>
      <c r="B9" s="24" t="s">
        <v>680</v>
      </c>
      <c r="C9" s="23" t="s">
        <v>69</v>
      </c>
      <c r="D9" s="25">
        <v>6111</v>
      </c>
      <c r="E9" s="25">
        <v>5927</v>
      </c>
      <c r="F9" s="25">
        <v>6240</v>
      </c>
      <c r="G9" s="25">
        <v>6561</v>
      </c>
      <c r="H9" s="25">
        <v>6803</v>
      </c>
    </row>
    <row r="10" spans="1:8" x14ac:dyDescent="0.3">
      <c r="A10" s="23" t="s">
        <v>212</v>
      </c>
      <c r="B10" s="24" t="s">
        <v>680</v>
      </c>
      <c r="C10" s="23" t="s">
        <v>69</v>
      </c>
      <c r="D10" s="25">
        <v>10886</v>
      </c>
      <c r="E10" s="25">
        <v>9033</v>
      </c>
      <c r="F10" s="25">
        <v>9513</v>
      </c>
      <c r="G10" s="25">
        <v>11117</v>
      </c>
      <c r="H10" s="25">
        <v>10276</v>
      </c>
    </row>
    <row r="11" spans="1:8" x14ac:dyDescent="0.3">
      <c r="A11" s="23" t="s">
        <v>3</v>
      </c>
      <c r="B11" s="24" t="s">
        <v>681</v>
      </c>
      <c r="C11" s="23" t="s">
        <v>69</v>
      </c>
      <c r="D11" s="25">
        <v>4492429</v>
      </c>
      <c r="E11" s="25">
        <v>4293276</v>
      </c>
      <c r="F11" s="25">
        <v>3601490</v>
      </c>
      <c r="G11" s="25">
        <v>4922770</v>
      </c>
      <c r="H11" s="25">
        <v>5346091</v>
      </c>
    </row>
    <row r="12" spans="1:8" x14ac:dyDescent="0.3">
      <c r="A12" s="23" t="s">
        <v>4</v>
      </c>
      <c r="B12" s="24" t="s">
        <v>680</v>
      </c>
      <c r="C12" s="23" t="s">
        <v>69</v>
      </c>
      <c r="D12" s="25">
        <v>27173</v>
      </c>
      <c r="E12" s="25">
        <v>25089</v>
      </c>
      <c r="F12" s="25">
        <v>25564</v>
      </c>
      <c r="G12" s="25">
        <v>25529</v>
      </c>
      <c r="H12" s="25">
        <v>23003</v>
      </c>
    </row>
    <row r="13" spans="1:8" x14ac:dyDescent="0.3">
      <c r="A13" s="23" t="s">
        <v>5</v>
      </c>
      <c r="B13" s="23" t="s">
        <v>685</v>
      </c>
      <c r="C13" s="23" t="s">
        <v>69</v>
      </c>
      <c r="D13" s="25">
        <v>15188744</v>
      </c>
      <c r="E13" s="25">
        <v>15779216</v>
      </c>
      <c r="F13" s="25">
        <v>11969552</v>
      </c>
      <c r="G13" s="25">
        <v>14721408</v>
      </c>
      <c r="H13" s="25">
        <v>15259786</v>
      </c>
    </row>
    <row r="14" spans="1:8" x14ac:dyDescent="0.3">
      <c r="A14" s="23" t="s">
        <v>686</v>
      </c>
      <c r="B14" s="24" t="s">
        <v>687</v>
      </c>
      <c r="C14" s="23" t="s">
        <v>69</v>
      </c>
      <c r="D14" s="25">
        <v>7677580901</v>
      </c>
      <c r="E14" s="25">
        <v>7750729560</v>
      </c>
      <c r="F14" s="25">
        <v>7400847591</v>
      </c>
      <c r="G14" s="25">
        <v>7790500774</v>
      </c>
      <c r="H14" s="25">
        <v>8378765584</v>
      </c>
    </row>
    <row r="15" spans="1:8" x14ac:dyDescent="0.3">
      <c r="A15" s="23" t="s">
        <v>6</v>
      </c>
      <c r="B15" s="23" t="s">
        <v>685</v>
      </c>
      <c r="C15" s="23" t="s">
        <v>69</v>
      </c>
      <c r="D15" s="25">
        <v>158317</v>
      </c>
      <c r="E15" s="25">
        <v>124425</v>
      </c>
      <c r="F15" s="25">
        <v>129651</v>
      </c>
      <c r="G15" s="25">
        <v>134692</v>
      </c>
      <c r="H15" s="25">
        <v>166030</v>
      </c>
    </row>
    <row r="16" spans="1:8" x14ac:dyDescent="0.3">
      <c r="A16" s="23" t="s">
        <v>688</v>
      </c>
      <c r="B16" s="24" t="s">
        <v>687</v>
      </c>
      <c r="C16" s="23" t="s">
        <v>69</v>
      </c>
      <c r="D16" s="25">
        <v>1037804421</v>
      </c>
      <c r="E16" s="25">
        <v>1057048996</v>
      </c>
      <c r="F16" s="25">
        <v>1034445363</v>
      </c>
      <c r="G16" s="25">
        <v>1035138629</v>
      </c>
      <c r="H16" s="25">
        <v>1041883724</v>
      </c>
    </row>
    <row r="17" spans="1:8" x14ac:dyDescent="0.3">
      <c r="A17" s="23" t="s">
        <v>7</v>
      </c>
      <c r="B17" s="24" t="s">
        <v>680</v>
      </c>
      <c r="C17" s="23" t="s">
        <v>69</v>
      </c>
      <c r="D17" s="25">
        <v>20675762</v>
      </c>
      <c r="E17" s="25">
        <v>20633412</v>
      </c>
      <c r="F17" s="25">
        <v>21074917</v>
      </c>
      <c r="G17" s="25">
        <v>21447064</v>
      </c>
      <c r="H17" s="25">
        <v>22225410</v>
      </c>
    </row>
    <row r="18" spans="1:8" x14ac:dyDescent="0.3">
      <c r="A18" s="23" t="s">
        <v>689</v>
      </c>
      <c r="B18" s="24" t="s">
        <v>681</v>
      </c>
      <c r="C18" s="23" t="s">
        <v>69</v>
      </c>
      <c r="D18" s="25">
        <v>83476428</v>
      </c>
      <c r="E18" s="25">
        <v>79229838</v>
      </c>
      <c r="F18" s="25">
        <v>62236568</v>
      </c>
      <c r="G18" s="25">
        <v>74591091</v>
      </c>
      <c r="H18" s="25">
        <v>79406684</v>
      </c>
    </row>
    <row r="19" spans="1:8" x14ac:dyDescent="0.3">
      <c r="A19" s="23" t="s">
        <v>690</v>
      </c>
      <c r="B19" s="24" t="s">
        <v>681</v>
      </c>
      <c r="C19" s="23" t="s">
        <v>69</v>
      </c>
      <c r="D19" s="25">
        <v>63943594</v>
      </c>
      <c r="E19" s="25">
        <v>57116250</v>
      </c>
      <c r="F19" s="25">
        <v>45274222</v>
      </c>
      <c r="G19" s="25">
        <v>43169910</v>
      </c>
      <c r="H19" s="25">
        <v>43544788</v>
      </c>
    </row>
    <row r="20" spans="1:8" x14ac:dyDescent="0.3">
      <c r="A20" s="23" t="s">
        <v>281</v>
      </c>
      <c r="B20" s="24" t="s">
        <v>681</v>
      </c>
      <c r="C20" s="23" t="s">
        <v>69</v>
      </c>
      <c r="D20" s="25">
        <v>2310207</v>
      </c>
      <c r="E20" s="25">
        <v>2299083</v>
      </c>
      <c r="F20" s="25">
        <v>2198777</v>
      </c>
      <c r="G20" s="25">
        <v>2496243</v>
      </c>
      <c r="H20" s="25">
        <v>2495769</v>
      </c>
    </row>
    <row r="21" spans="1:8" x14ac:dyDescent="0.3">
      <c r="A21" s="23" t="s">
        <v>283</v>
      </c>
      <c r="B21" s="24" t="s">
        <v>681</v>
      </c>
      <c r="C21" s="23" t="s">
        <v>69</v>
      </c>
      <c r="D21" s="25">
        <v>35049802</v>
      </c>
      <c r="E21" s="25">
        <v>31001138</v>
      </c>
      <c r="F21" s="25">
        <v>29786115</v>
      </c>
      <c r="G21" s="25">
        <v>36028557</v>
      </c>
      <c r="H21" s="25">
        <v>39519883</v>
      </c>
    </row>
    <row r="22" spans="1:8" x14ac:dyDescent="0.3">
      <c r="A22" s="23" t="s">
        <v>288</v>
      </c>
      <c r="B22" s="24" t="s">
        <v>681</v>
      </c>
      <c r="C22" s="23" t="s">
        <v>69</v>
      </c>
      <c r="D22" s="25">
        <v>6952064</v>
      </c>
      <c r="E22" s="25">
        <v>7704798</v>
      </c>
      <c r="F22" s="25">
        <v>7802895</v>
      </c>
      <c r="G22" s="25">
        <v>8445583</v>
      </c>
      <c r="H22" s="25">
        <v>9236417</v>
      </c>
    </row>
    <row r="23" spans="1:8" x14ac:dyDescent="0.3">
      <c r="A23" s="23" t="s">
        <v>11</v>
      </c>
      <c r="B23" s="24" t="s">
        <v>680</v>
      </c>
      <c r="C23" s="23" t="s">
        <v>69</v>
      </c>
      <c r="D23" s="25">
        <v>323</v>
      </c>
      <c r="E23" s="25">
        <v>374</v>
      </c>
      <c r="F23" s="25">
        <v>304</v>
      </c>
      <c r="G23" s="25">
        <v>431</v>
      </c>
      <c r="H23" s="25">
        <v>616</v>
      </c>
    </row>
    <row r="24" spans="1:8" x14ac:dyDescent="0.3">
      <c r="A24" s="23" t="s">
        <v>691</v>
      </c>
      <c r="B24" s="24" t="s">
        <v>680</v>
      </c>
      <c r="C24" s="23" t="s">
        <v>69</v>
      </c>
      <c r="D24" s="25">
        <v>106</v>
      </c>
      <c r="E24" s="25">
        <v>95</v>
      </c>
      <c r="F24" s="25">
        <v>96</v>
      </c>
      <c r="G24" s="25">
        <v>142</v>
      </c>
      <c r="H24" s="25">
        <v>139</v>
      </c>
    </row>
    <row r="25" spans="1:8" x14ac:dyDescent="0.3">
      <c r="A25" s="23" t="s">
        <v>692</v>
      </c>
      <c r="B25" s="24" t="s">
        <v>693</v>
      </c>
      <c r="C25" s="23" t="s">
        <v>69</v>
      </c>
      <c r="D25" s="25">
        <v>3366881</v>
      </c>
      <c r="E25" s="25">
        <v>3313010</v>
      </c>
      <c r="F25" s="25">
        <v>3202464</v>
      </c>
      <c r="G25" s="25">
        <v>3214975</v>
      </c>
      <c r="H25" s="25">
        <v>3323144</v>
      </c>
    </row>
    <row r="26" spans="1:8" x14ac:dyDescent="0.3">
      <c r="A26" s="23" t="s">
        <v>12</v>
      </c>
      <c r="B26" s="24" t="s">
        <v>681</v>
      </c>
      <c r="C26" s="23" t="s">
        <v>69</v>
      </c>
      <c r="D26" s="25">
        <v>1562542</v>
      </c>
      <c r="E26" s="25">
        <v>1605838</v>
      </c>
      <c r="F26" s="25">
        <v>1388356</v>
      </c>
      <c r="G26" s="25">
        <v>1662844</v>
      </c>
      <c r="H26" s="25">
        <v>1727486</v>
      </c>
    </row>
    <row r="27" spans="1:8" x14ac:dyDescent="0.3">
      <c r="A27" s="23" t="s">
        <v>316</v>
      </c>
      <c r="B27" s="24" t="s">
        <v>681</v>
      </c>
      <c r="C27" s="23" t="s">
        <v>69</v>
      </c>
      <c r="D27" s="25">
        <v>167914389</v>
      </c>
      <c r="E27" s="25">
        <v>160425685</v>
      </c>
      <c r="F27" s="25">
        <v>166592509</v>
      </c>
      <c r="G27" s="25">
        <v>175565537</v>
      </c>
      <c r="H27" s="25">
        <v>176988399</v>
      </c>
    </row>
    <row r="28" spans="1:8" x14ac:dyDescent="0.3">
      <c r="A28" s="23" t="s">
        <v>694</v>
      </c>
      <c r="B28" s="24" t="s">
        <v>687</v>
      </c>
      <c r="C28" s="23" t="s">
        <v>69</v>
      </c>
      <c r="D28" s="25">
        <v>6877098630</v>
      </c>
      <c r="E28" s="25">
        <v>7016240599</v>
      </c>
      <c r="F28" s="25">
        <v>6763520451</v>
      </c>
      <c r="G28" s="25">
        <v>7105707459</v>
      </c>
      <c r="H28" s="25">
        <v>7662374986</v>
      </c>
    </row>
    <row r="29" spans="1:8" x14ac:dyDescent="0.3">
      <c r="A29" s="23" t="s">
        <v>13</v>
      </c>
      <c r="B29" s="24" t="s">
        <v>680</v>
      </c>
      <c r="C29" s="23" t="s">
        <v>69</v>
      </c>
      <c r="D29" s="25">
        <v>831</v>
      </c>
      <c r="E29" s="25">
        <v>918</v>
      </c>
      <c r="F29" s="25">
        <v>943</v>
      </c>
      <c r="G29" s="25">
        <v>916</v>
      </c>
      <c r="H29" s="25">
        <v>1008</v>
      </c>
    </row>
    <row r="30" spans="1:8" x14ac:dyDescent="0.3">
      <c r="A30" s="23" t="s">
        <v>695</v>
      </c>
      <c r="B30" s="23" t="s">
        <v>685</v>
      </c>
      <c r="C30" s="23" t="s">
        <v>69</v>
      </c>
      <c r="D30" s="25">
        <v>1524626218</v>
      </c>
      <c r="E30" s="25">
        <v>1552451620</v>
      </c>
      <c r="F30" s="25">
        <v>1524700263</v>
      </c>
      <c r="G30" s="25">
        <v>1591934663</v>
      </c>
      <c r="H30" s="25">
        <v>1547952593</v>
      </c>
    </row>
    <row r="31" spans="1:8" x14ac:dyDescent="0.3">
      <c r="A31" s="23" t="s">
        <v>696</v>
      </c>
      <c r="B31" s="24" t="s">
        <v>681</v>
      </c>
      <c r="C31" s="23" t="s">
        <v>69</v>
      </c>
      <c r="D31" s="25">
        <v>45412692</v>
      </c>
      <c r="E31" s="25">
        <v>44272825</v>
      </c>
      <c r="F31" s="25">
        <v>42703696</v>
      </c>
      <c r="G31" s="25">
        <v>44395375</v>
      </c>
      <c r="H31" s="25">
        <v>45102316</v>
      </c>
    </row>
    <row r="32" spans="1:8" x14ac:dyDescent="0.3">
      <c r="A32" s="23" t="s">
        <v>15</v>
      </c>
      <c r="B32" s="24" t="s">
        <v>680</v>
      </c>
      <c r="C32" s="23" t="s">
        <v>69</v>
      </c>
      <c r="D32" s="25">
        <v>4623263</v>
      </c>
      <c r="E32" s="25">
        <v>4906459</v>
      </c>
      <c r="F32" s="25">
        <v>4727874</v>
      </c>
      <c r="G32" s="25">
        <v>4600155</v>
      </c>
      <c r="H32" s="25">
        <v>4693950</v>
      </c>
    </row>
    <row r="33" spans="1:8" x14ac:dyDescent="0.3">
      <c r="A33" s="23" t="s">
        <v>697</v>
      </c>
      <c r="B33" s="24" t="s">
        <v>687</v>
      </c>
      <c r="C33" s="23" t="s">
        <v>69</v>
      </c>
      <c r="D33" s="25">
        <v>800482271</v>
      </c>
      <c r="E33" s="25">
        <v>734488961</v>
      </c>
      <c r="F33" s="25">
        <v>637327140</v>
      </c>
      <c r="G33" s="25">
        <v>684793315</v>
      </c>
      <c r="H33" s="25">
        <v>716390598</v>
      </c>
    </row>
    <row r="34" spans="1:8" x14ac:dyDescent="0.3">
      <c r="A34" s="23" t="s">
        <v>16</v>
      </c>
      <c r="B34" s="24" t="s">
        <v>680</v>
      </c>
      <c r="C34" s="23" t="s">
        <v>69</v>
      </c>
      <c r="D34" s="25">
        <v>198967</v>
      </c>
      <c r="E34" s="25">
        <v>192108</v>
      </c>
      <c r="F34" s="25">
        <v>187000</v>
      </c>
      <c r="G34" s="25">
        <v>232576</v>
      </c>
      <c r="H34" s="25">
        <v>345829</v>
      </c>
    </row>
    <row r="35" spans="1:8" x14ac:dyDescent="0.3">
      <c r="A35" s="23" t="s">
        <v>698</v>
      </c>
      <c r="B35" s="24" t="s">
        <v>681</v>
      </c>
      <c r="C35" s="23" t="s">
        <v>69</v>
      </c>
      <c r="D35" s="25">
        <v>28946437</v>
      </c>
      <c r="E35" s="25">
        <v>27338804</v>
      </c>
      <c r="F35" s="25">
        <v>28254847</v>
      </c>
      <c r="G35" s="25">
        <v>28053958</v>
      </c>
      <c r="H35" s="25">
        <v>26695729</v>
      </c>
    </row>
    <row r="36" spans="1:8" x14ac:dyDescent="0.3">
      <c r="A36" s="23" t="s">
        <v>17</v>
      </c>
      <c r="B36" s="23" t="s">
        <v>685</v>
      </c>
      <c r="C36" s="23" t="s">
        <v>69</v>
      </c>
      <c r="D36" s="25">
        <v>19609756</v>
      </c>
      <c r="E36" s="25">
        <v>21164890</v>
      </c>
      <c r="F36" s="25">
        <v>19618004</v>
      </c>
      <c r="G36" s="25">
        <v>20513388</v>
      </c>
      <c r="H36" s="25">
        <v>20284488</v>
      </c>
    </row>
    <row r="37" spans="1:8" x14ac:dyDescent="0.3">
      <c r="A37" s="23" t="s">
        <v>380</v>
      </c>
      <c r="B37" s="24" t="s">
        <v>680</v>
      </c>
      <c r="C37" s="23" t="s">
        <v>69</v>
      </c>
      <c r="D37" s="25">
        <v>2864</v>
      </c>
      <c r="E37" s="25">
        <v>2324</v>
      </c>
      <c r="F37" s="25">
        <v>2308</v>
      </c>
      <c r="G37" s="25">
        <v>1810</v>
      </c>
      <c r="H37" s="25">
        <v>1015</v>
      </c>
    </row>
    <row r="38" spans="1:8" x14ac:dyDescent="0.3">
      <c r="A38" s="23" t="s">
        <v>18</v>
      </c>
      <c r="B38" s="23" t="s">
        <v>685</v>
      </c>
      <c r="C38" s="23" t="s">
        <v>69</v>
      </c>
      <c r="D38" s="25">
        <v>270100</v>
      </c>
      <c r="E38" s="25">
        <v>277180</v>
      </c>
      <c r="F38" s="25">
        <v>284890</v>
      </c>
      <c r="G38" s="25">
        <v>271138</v>
      </c>
      <c r="H38" s="25">
        <v>265460</v>
      </c>
    </row>
    <row r="39" spans="1:8" x14ac:dyDescent="0.3">
      <c r="A39" s="23" t="s">
        <v>699</v>
      </c>
      <c r="B39" s="24" t="s">
        <v>687</v>
      </c>
      <c r="C39" s="23" t="s">
        <v>69</v>
      </c>
      <c r="D39" s="25">
        <v>3950300</v>
      </c>
      <c r="E39" s="25">
        <v>4076243</v>
      </c>
      <c r="F39" s="25">
        <v>3960928</v>
      </c>
      <c r="G39" s="25">
        <v>4125716</v>
      </c>
      <c r="H39" s="25">
        <v>4158384</v>
      </c>
    </row>
    <row r="40" spans="1:8" x14ac:dyDescent="0.3">
      <c r="A40" s="23" t="s">
        <v>20</v>
      </c>
      <c r="B40" s="23" t="s">
        <v>685</v>
      </c>
      <c r="C40" s="23" t="s">
        <v>69</v>
      </c>
      <c r="D40" s="25">
        <v>2377719</v>
      </c>
      <c r="E40" s="25">
        <v>2690477</v>
      </c>
      <c r="F40" s="25">
        <v>2490804</v>
      </c>
      <c r="G40" s="25">
        <v>2852212</v>
      </c>
      <c r="H40" s="25">
        <v>3248896</v>
      </c>
    </row>
    <row r="41" spans="1:8" x14ac:dyDescent="0.3">
      <c r="A41" s="23" t="s">
        <v>398</v>
      </c>
      <c r="B41" s="23" t="s">
        <v>685</v>
      </c>
      <c r="C41" s="23" t="s">
        <v>69</v>
      </c>
      <c r="D41" s="25">
        <v>109023</v>
      </c>
      <c r="E41" s="25">
        <v>134961</v>
      </c>
      <c r="F41" s="25">
        <v>93508</v>
      </c>
      <c r="G41" s="25">
        <v>121909</v>
      </c>
      <c r="H41" s="25">
        <v>118209</v>
      </c>
    </row>
    <row r="42" spans="1:8" x14ac:dyDescent="0.3">
      <c r="A42" s="23" t="s">
        <v>700</v>
      </c>
      <c r="B42" s="24" t="s">
        <v>687</v>
      </c>
      <c r="C42" s="23" t="s">
        <v>69</v>
      </c>
      <c r="D42" s="25">
        <v>176864600</v>
      </c>
      <c r="E42" s="25">
        <v>176766200</v>
      </c>
      <c r="F42" s="25">
        <v>167943300</v>
      </c>
      <c r="G42" s="25">
        <v>182022400</v>
      </c>
      <c r="H42" s="25">
        <v>197386500</v>
      </c>
    </row>
    <row r="43" spans="1:8" x14ac:dyDescent="0.3">
      <c r="A43" s="23" t="s">
        <v>701</v>
      </c>
      <c r="B43" s="24" t="s">
        <v>687</v>
      </c>
      <c r="C43" s="23" t="s">
        <v>69</v>
      </c>
      <c r="D43" s="25">
        <v>22794380</v>
      </c>
      <c r="E43" s="25">
        <v>16628394</v>
      </c>
      <c r="F43" s="25">
        <v>13054894</v>
      </c>
      <c r="G43" s="25">
        <v>12674826</v>
      </c>
      <c r="H43" s="25">
        <v>14700441</v>
      </c>
    </row>
    <row r="44" spans="1:8" x14ac:dyDescent="0.3">
      <c r="A44" s="23" t="s">
        <v>702</v>
      </c>
      <c r="B44" s="24" t="s">
        <v>693</v>
      </c>
      <c r="C44" s="23" t="s">
        <v>69</v>
      </c>
      <c r="D44" s="25">
        <v>223387</v>
      </c>
      <c r="E44" s="25">
        <v>224007</v>
      </c>
      <c r="F44" s="25">
        <v>189369</v>
      </c>
      <c r="G44" s="25">
        <v>212773</v>
      </c>
      <c r="H44" s="25">
        <v>202012</v>
      </c>
    </row>
    <row r="45" spans="1:8" x14ac:dyDescent="0.3">
      <c r="A45" s="23" t="s">
        <v>411</v>
      </c>
      <c r="B45" s="24" t="s">
        <v>681</v>
      </c>
      <c r="C45" s="23" t="s">
        <v>69</v>
      </c>
      <c r="D45" s="25">
        <v>2720771</v>
      </c>
      <c r="E45" s="25">
        <v>2831336</v>
      </c>
      <c r="F45" s="25">
        <v>3156181</v>
      </c>
      <c r="G45" s="25">
        <v>3839560</v>
      </c>
      <c r="H45" s="25">
        <v>3161142</v>
      </c>
    </row>
    <row r="46" spans="1:8" x14ac:dyDescent="0.3">
      <c r="A46" s="23" t="s">
        <v>703</v>
      </c>
      <c r="B46" s="24" t="s">
        <v>687</v>
      </c>
      <c r="C46" s="23" t="s">
        <v>69</v>
      </c>
      <c r="D46" s="25">
        <v>4494932415</v>
      </c>
      <c r="E46" s="25">
        <v>4488661293</v>
      </c>
      <c r="F46" s="25">
        <v>4195749466</v>
      </c>
      <c r="G46" s="25">
        <v>4245699284</v>
      </c>
      <c r="H46" s="25">
        <v>4429901061</v>
      </c>
    </row>
    <row r="47" spans="1:8" x14ac:dyDescent="0.3">
      <c r="A47" s="23" t="s">
        <v>704</v>
      </c>
      <c r="B47" s="24" t="s">
        <v>681</v>
      </c>
      <c r="C47" s="23" t="s">
        <v>69</v>
      </c>
      <c r="D47" s="25">
        <v>68816090</v>
      </c>
      <c r="E47" s="25">
        <v>68617150</v>
      </c>
      <c r="F47" s="25">
        <v>67491740</v>
      </c>
      <c r="G47" s="25">
        <v>72449210</v>
      </c>
      <c r="H47" s="25">
        <v>70787780</v>
      </c>
    </row>
    <row r="48" spans="1:8" x14ac:dyDescent="0.3">
      <c r="A48" s="23" t="s">
        <v>21</v>
      </c>
      <c r="B48" s="24" t="s">
        <v>693</v>
      </c>
      <c r="C48" s="23" t="s">
        <v>69</v>
      </c>
      <c r="D48" s="25">
        <v>189221</v>
      </c>
      <c r="E48" s="25">
        <v>186805</v>
      </c>
      <c r="F48" s="25">
        <v>162783</v>
      </c>
      <c r="G48" s="25">
        <v>189389</v>
      </c>
      <c r="H48" s="25">
        <v>183022</v>
      </c>
    </row>
    <row r="49" spans="1:8" x14ac:dyDescent="0.3">
      <c r="A49" s="23" t="s">
        <v>705</v>
      </c>
      <c r="B49" s="24" t="s">
        <v>681</v>
      </c>
      <c r="C49" s="23" t="s">
        <v>69</v>
      </c>
      <c r="D49" s="25">
        <v>43443845</v>
      </c>
      <c r="E49" s="25">
        <v>42215857</v>
      </c>
      <c r="F49" s="25">
        <v>44739197</v>
      </c>
      <c r="G49" s="25">
        <v>46333692</v>
      </c>
      <c r="H49" s="25">
        <v>41957518</v>
      </c>
    </row>
    <row r="50" spans="1:8" x14ac:dyDescent="0.3">
      <c r="A50" s="23" t="s">
        <v>706</v>
      </c>
      <c r="B50" s="24" t="s">
        <v>680</v>
      </c>
      <c r="C50" s="23" t="s">
        <v>69</v>
      </c>
      <c r="D50" s="25">
        <v>182193</v>
      </c>
      <c r="E50" s="25">
        <v>203365</v>
      </c>
      <c r="F50" s="25">
        <v>229162</v>
      </c>
      <c r="G50" s="25">
        <v>269003</v>
      </c>
      <c r="H50" s="25">
        <v>296837</v>
      </c>
    </row>
    <row r="51" spans="1:8" x14ac:dyDescent="0.3">
      <c r="A51" s="23" t="s">
        <v>444</v>
      </c>
      <c r="B51" s="24" t="s">
        <v>680</v>
      </c>
      <c r="C51" s="23" t="s">
        <v>69</v>
      </c>
      <c r="D51" s="25">
        <v>47</v>
      </c>
      <c r="E51" s="25">
        <v>44</v>
      </c>
      <c r="F51" s="25">
        <v>38</v>
      </c>
      <c r="G51" s="25">
        <v>42</v>
      </c>
      <c r="H51" s="25">
        <v>54</v>
      </c>
    </row>
    <row r="52" spans="1:8" x14ac:dyDescent="0.3">
      <c r="A52" s="23" t="s">
        <v>707</v>
      </c>
      <c r="B52" s="24" t="s">
        <v>693</v>
      </c>
      <c r="C52" s="23" t="s">
        <v>69</v>
      </c>
      <c r="D52" s="25">
        <v>22938</v>
      </c>
      <c r="E52" s="25">
        <v>23734</v>
      </c>
      <c r="F52" s="25">
        <v>20640</v>
      </c>
      <c r="G52" s="25">
        <v>24409</v>
      </c>
      <c r="H52" s="25">
        <v>22731</v>
      </c>
    </row>
    <row r="53" spans="1:8" x14ac:dyDescent="0.3">
      <c r="A53" s="23" t="s">
        <v>708</v>
      </c>
      <c r="B53" s="24" t="s">
        <v>681</v>
      </c>
      <c r="C53" s="23" t="s">
        <v>69</v>
      </c>
      <c r="D53" s="25">
        <v>289866124</v>
      </c>
      <c r="E53" s="25">
        <v>291324072</v>
      </c>
      <c r="F53" s="25">
        <v>267348730</v>
      </c>
      <c r="G53" s="25">
        <v>269444228</v>
      </c>
      <c r="H53" s="25">
        <v>271885414</v>
      </c>
    </row>
    <row r="54" spans="1:8" x14ac:dyDescent="0.3">
      <c r="A54" s="23" t="s">
        <v>23</v>
      </c>
      <c r="B54" s="24" t="s">
        <v>680</v>
      </c>
      <c r="C54" s="23" t="s">
        <v>69</v>
      </c>
      <c r="D54" s="25">
        <v>3196</v>
      </c>
      <c r="E54" s="25">
        <v>3533</v>
      </c>
      <c r="F54" s="25">
        <v>3279</v>
      </c>
      <c r="G54" s="25">
        <v>3733</v>
      </c>
      <c r="H54" s="25">
        <v>3735</v>
      </c>
    </row>
    <row r="55" spans="1:8" x14ac:dyDescent="0.3">
      <c r="A55" s="23" t="s">
        <v>25</v>
      </c>
      <c r="B55" s="24" t="s">
        <v>693</v>
      </c>
      <c r="C55" s="23" t="s">
        <v>69</v>
      </c>
      <c r="D55" s="25">
        <v>27677375</v>
      </c>
      <c r="E55" s="25">
        <v>28101057</v>
      </c>
      <c r="F55" s="25">
        <v>26517217</v>
      </c>
      <c r="G55" s="25">
        <v>26609813</v>
      </c>
      <c r="H55" s="25">
        <v>26584338</v>
      </c>
    </row>
    <row r="56" spans="1:8" x14ac:dyDescent="0.3">
      <c r="A56" s="23" t="s">
        <v>709</v>
      </c>
      <c r="B56" s="24" t="s">
        <v>687</v>
      </c>
      <c r="C56" s="23" t="s">
        <v>69</v>
      </c>
      <c r="D56" s="25">
        <v>5839294209</v>
      </c>
      <c r="E56" s="25">
        <v>5959191603</v>
      </c>
      <c r="F56" s="25">
        <v>5729075088</v>
      </c>
      <c r="G56" s="25">
        <v>6070568830</v>
      </c>
      <c r="H56" s="25">
        <v>6620491262</v>
      </c>
    </row>
    <row r="57" spans="1:8" x14ac:dyDescent="0.3">
      <c r="A57" s="23" t="s">
        <v>465</v>
      </c>
      <c r="B57" s="24" t="s">
        <v>681</v>
      </c>
      <c r="C57" s="23" t="s">
        <v>69</v>
      </c>
      <c r="D57" s="25">
        <v>81705154</v>
      </c>
      <c r="E57" s="25">
        <v>81485409</v>
      </c>
      <c r="F57" s="25">
        <v>78799437</v>
      </c>
      <c r="G57" s="25">
        <v>77998083</v>
      </c>
      <c r="H57" s="25">
        <v>82768889</v>
      </c>
    </row>
    <row r="58" spans="1:8" x14ac:dyDescent="0.3">
      <c r="A58" s="23" t="s">
        <v>710</v>
      </c>
      <c r="B58" s="24" t="s">
        <v>681</v>
      </c>
      <c r="C58" s="23" t="s">
        <v>69</v>
      </c>
      <c r="D58" s="25">
        <v>8328009</v>
      </c>
      <c r="E58" s="25">
        <v>7797170</v>
      </c>
      <c r="F58" s="25">
        <v>6856317</v>
      </c>
      <c r="G58" s="25">
        <v>7809434</v>
      </c>
      <c r="H58" s="25">
        <v>7800585</v>
      </c>
    </row>
    <row r="59" spans="1:8" x14ac:dyDescent="0.3">
      <c r="A59" s="23" t="s">
        <v>478</v>
      </c>
      <c r="B59" s="23" t="s">
        <v>685</v>
      </c>
      <c r="C59" s="23" t="s">
        <v>69</v>
      </c>
      <c r="D59" s="25">
        <v>2037</v>
      </c>
      <c r="E59" s="25">
        <v>1645</v>
      </c>
      <c r="F59" s="25">
        <v>1705</v>
      </c>
      <c r="G59" s="25">
        <v>1760</v>
      </c>
      <c r="H59" s="25">
        <v>1726</v>
      </c>
    </row>
    <row r="60" spans="1:8" x14ac:dyDescent="0.3">
      <c r="A60" s="23" t="s">
        <v>26</v>
      </c>
      <c r="B60" s="24" t="s">
        <v>680</v>
      </c>
      <c r="C60" s="23" t="s">
        <v>69</v>
      </c>
      <c r="D60" s="25">
        <v>649</v>
      </c>
      <c r="E60" s="25">
        <v>529</v>
      </c>
      <c r="F60" s="25">
        <v>459</v>
      </c>
      <c r="G60" s="25">
        <v>742</v>
      </c>
      <c r="H60" s="25">
        <v>681</v>
      </c>
    </row>
    <row r="61" spans="1:8" x14ac:dyDescent="0.3">
      <c r="A61" s="23" t="s">
        <v>28</v>
      </c>
      <c r="B61" s="24" t="s">
        <v>680</v>
      </c>
      <c r="C61" s="23" t="s">
        <v>69</v>
      </c>
      <c r="D61" s="25">
        <v>316929</v>
      </c>
      <c r="E61" s="25">
        <v>294333</v>
      </c>
      <c r="F61" s="25">
        <v>277997</v>
      </c>
      <c r="G61" s="25">
        <v>263576</v>
      </c>
      <c r="H61" s="25">
        <v>292351</v>
      </c>
    </row>
    <row r="62" spans="1:8" x14ac:dyDescent="0.3">
      <c r="A62" s="23" t="s">
        <v>711</v>
      </c>
      <c r="B62" s="23" t="s">
        <v>685</v>
      </c>
      <c r="C62" s="23" t="s">
        <v>69</v>
      </c>
      <c r="D62" s="25">
        <v>7461118</v>
      </c>
      <c r="E62" s="25">
        <v>7994529</v>
      </c>
      <c r="F62" s="25">
        <v>8504299</v>
      </c>
      <c r="G62" s="25">
        <v>8564701</v>
      </c>
      <c r="H62" s="25">
        <v>8942994</v>
      </c>
    </row>
    <row r="63" spans="1:8" x14ac:dyDescent="0.3">
      <c r="A63" s="23" t="s">
        <v>712</v>
      </c>
      <c r="B63" s="23" t="s">
        <v>685</v>
      </c>
      <c r="C63" s="23" t="s">
        <v>69</v>
      </c>
      <c r="D63" s="25">
        <v>84090</v>
      </c>
      <c r="E63" s="25">
        <v>88859</v>
      </c>
      <c r="F63" s="25">
        <v>85051</v>
      </c>
      <c r="G63" s="25">
        <v>88794</v>
      </c>
      <c r="H63" s="25">
        <v>85926</v>
      </c>
    </row>
    <row r="64" spans="1:8" x14ac:dyDescent="0.3">
      <c r="A64" s="23" t="s">
        <v>713</v>
      </c>
      <c r="B64" s="24" t="s">
        <v>687</v>
      </c>
      <c r="C64" s="23" t="s">
        <v>69</v>
      </c>
      <c r="D64" s="25">
        <v>64083</v>
      </c>
      <c r="E64" s="25">
        <v>64278</v>
      </c>
      <c r="F64" s="25">
        <v>55718</v>
      </c>
      <c r="G64" s="25">
        <v>55981</v>
      </c>
      <c r="H64" s="25">
        <v>55972</v>
      </c>
    </row>
    <row r="65" spans="1:8" x14ac:dyDescent="0.3">
      <c r="A65" s="23" t="s">
        <v>29</v>
      </c>
      <c r="B65" s="23" t="s">
        <v>685</v>
      </c>
      <c r="C65" s="23" t="s">
        <v>69</v>
      </c>
      <c r="D65" s="25">
        <v>84947</v>
      </c>
      <c r="E65" s="25">
        <v>98723</v>
      </c>
      <c r="F65" s="25">
        <v>105776</v>
      </c>
      <c r="G65" s="25">
        <v>110269</v>
      </c>
      <c r="H65" s="25">
        <v>115271</v>
      </c>
    </row>
    <row r="66" spans="1:8" x14ac:dyDescent="0.3">
      <c r="A66" s="23" t="s">
        <v>501</v>
      </c>
      <c r="B66" s="24" t="s">
        <v>681</v>
      </c>
      <c r="C66" s="23" t="s">
        <v>69</v>
      </c>
      <c r="D66" s="25">
        <v>438951</v>
      </c>
      <c r="E66" s="25">
        <v>424421</v>
      </c>
      <c r="F66" s="25">
        <v>416638</v>
      </c>
      <c r="G66" s="25">
        <v>456936</v>
      </c>
      <c r="H66" s="25">
        <v>502825</v>
      </c>
    </row>
    <row r="67" spans="1:8" x14ac:dyDescent="0.3">
      <c r="A67" s="23" t="s">
        <v>30</v>
      </c>
      <c r="B67" s="24" t="s">
        <v>680</v>
      </c>
      <c r="C67" s="23" t="s">
        <v>69</v>
      </c>
      <c r="D67" s="25">
        <v>12252248</v>
      </c>
      <c r="E67" s="25">
        <v>12988998</v>
      </c>
      <c r="F67" s="25">
        <v>12669413</v>
      </c>
      <c r="G67" s="25">
        <v>12843283</v>
      </c>
      <c r="H67" s="25">
        <v>12762076</v>
      </c>
    </row>
    <row r="68" spans="1:8" x14ac:dyDescent="0.3">
      <c r="A68" s="23" t="s">
        <v>714</v>
      </c>
      <c r="B68" s="24" t="s">
        <v>681</v>
      </c>
      <c r="C68" s="23" t="s">
        <v>69</v>
      </c>
      <c r="D68" s="25">
        <v>1607468</v>
      </c>
      <c r="E68" s="25">
        <v>1417320</v>
      </c>
      <c r="F68" s="25">
        <v>1249168</v>
      </c>
      <c r="G68" s="25">
        <v>1457826</v>
      </c>
      <c r="H68" s="25">
        <v>1385984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E7E9-2B5D-442B-A190-8E8AACA574AF}">
  <sheetPr>
    <tabColor theme="7" tint="0.79998168889431442"/>
  </sheetPr>
  <dimension ref="A1:G41"/>
  <sheetViews>
    <sheetView workbookViewId="0">
      <selection activeCell="E28" sqref="E28"/>
    </sheetView>
  </sheetViews>
  <sheetFormatPr defaultRowHeight="14.4" x14ac:dyDescent="0.3"/>
  <cols>
    <col min="1" max="1" width="10.109375" bestFit="1" customWidth="1"/>
    <col min="2" max="2" width="14.33203125" bestFit="1" customWidth="1"/>
    <col min="3" max="3" width="11.44140625" bestFit="1" customWidth="1"/>
    <col min="4" max="4" width="7.5546875" bestFit="1" customWidth="1"/>
    <col min="5" max="5" width="80.88671875" bestFit="1" customWidth="1"/>
    <col min="6" max="6" width="7.44140625" bestFit="1" customWidth="1"/>
    <col min="7" max="7" width="8.88671875" bestFit="1" customWidth="1"/>
  </cols>
  <sheetData>
    <row r="1" spans="1:7" s="1" customFormat="1" x14ac:dyDescent="0.3">
      <c r="A1" s="1" t="s">
        <v>89</v>
      </c>
      <c r="B1" s="1" t="s">
        <v>98</v>
      </c>
      <c r="C1" s="1" t="s">
        <v>105</v>
      </c>
      <c r="D1" s="1" t="s">
        <v>99</v>
      </c>
      <c r="E1" s="1" t="s">
        <v>97</v>
      </c>
      <c r="F1" s="1" t="s">
        <v>100</v>
      </c>
      <c r="G1" s="1" t="s">
        <v>101</v>
      </c>
    </row>
    <row r="2" spans="1:7" x14ac:dyDescent="0.3">
      <c r="A2" t="s">
        <v>122</v>
      </c>
      <c r="B2" t="s">
        <v>96</v>
      </c>
      <c r="C2" t="s">
        <v>118</v>
      </c>
      <c r="D2">
        <v>2020</v>
      </c>
      <c r="E2" t="s">
        <v>107</v>
      </c>
      <c r="F2" t="s">
        <v>120</v>
      </c>
      <c r="G2" s="3">
        <v>65100</v>
      </c>
    </row>
    <row r="3" spans="1:7" x14ac:dyDescent="0.3">
      <c r="A3" t="s">
        <v>115</v>
      </c>
      <c r="B3" t="s">
        <v>96</v>
      </c>
      <c r="C3" t="s">
        <v>118</v>
      </c>
      <c r="D3">
        <v>2021</v>
      </c>
      <c r="E3" t="s">
        <v>107</v>
      </c>
      <c r="F3" t="s">
        <v>120</v>
      </c>
      <c r="G3" s="3">
        <v>67500</v>
      </c>
    </row>
    <row r="4" spans="1:7" x14ac:dyDescent="0.3">
      <c r="A4" t="s">
        <v>123</v>
      </c>
      <c r="B4" t="s">
        <v>96</v>
      </c>
      <c r="C4" t="s">
        <v>118</v>
      </c>
      <c r="D4">
        <v>2022</v>
      </c>
      <c r="E4" t="s">
        <v>107</v>
      </c>
      <c r="F4" t="s">
        <v>120</v>
      </c>
      <c r="G4" s="3">
        <v>68400</v>
      </c>
    </row>
    <row r="5" spans="1:7" x14ac:dyDescent="0.3">
      <c r="A5" t="s">
        <v>106</v>
      </c>
      <c r="B5" t="s">
        <v>96</v>
      </c>
      <c r="C5" t="s">
        <v>118</v>
      </c>
      <c r="D5">
        <v>2023</v>
      </c>
      <c r="E5" t="s">
        <v>107</v>
      </c>
      <c r="F5" t="s">
        <v>120</v>
      </c>
      <c r="G5" s="3">
        <v>70000</v>
      </c>
    </row>
    <row r="6" spans="1:7" x14ac:dyDescent="0.3">
      <c r="A6" t="s">
        <v>106</v>
      </c>
      <c r="B6" t="s">
        <v>96</v>
      </c>
      <c r="C6" t="s">
        <v>118</v>
      </c>
      <c r="D6">
        <v>2024</v>
      </c>
      <c r="E6" t="s">
        <v>107</v>
      </c>
      <c r="F6" t="s">
        <v>120</v>
      </c>
      <c r="G6" s="3">
        <v>72000</v>
      </c>
    </row>
    <row r="7" spans="1:7" x14ac:dyDescent="0.3">
      <c r="A7" t="s">
        <v>122</v>
      </c>
      <c r="B7" t="s">
        <v>108</v>
      </c>
      <c r="C7" t="s">
        <v>118</v>
      </c>
      <c r="D7">
        <v>2020</v>
      </c>
      <c r="E7" t="s">
        <v>109</v>
      </c>
      <c r="F7" t="s">
        <v>120</v>
      </c>
      <c r="G7" s="3">
        <v>20600</v>
      </c>
    </row>
    <row r="8" spans="1:7" x14ac:dyDescent="0.3">
      <c r="A8" t="s">
        <v>115</v>
      </c>
      <c r="B8" t="s">
        <v>108</v>
      </c>
      <c r="C8" t="s">
        <v>118</v>
      </c>
      <c r="D8">
        <v>2021</v>
      </c>
      <c r="E8" t="s">
        <v>109</v>
      </c>
      <c r="F8" t="s">
        <v>120</v>
      </c>
      <c r="G8" s="3">
        <v>21200</v>
      </c>
    </row>
    <row r="9" spans="1:7" x14ac:dyDescent="0.3">
      <c r="A9" t="s">
        <v>123</v>
      </c>
      <c r="B9" t="s">
        <v>108</v>
      </c>
      <c r="C9" t="s">
        <v>118</v>
      </c>
      <c r="D9">
        <v>2022</v>
      </c>
      <c r="E9" t="s">
        <v>109</v>
      </c>
      <c r="F9" t="s">
        <v>120</v>
      </c>
      <c r="G9" s="3">
        <v>21900</v>
      </c>
    </row>
    <row r="10" spans="1:7" x14ac:dyDescent="0.3">
      <c r="A10" t="s">
        <v>106</v>
      </c>
      <c r="B10" t="s">
        <v>108</v>
      </c>
      <c r="C10" t="s">
        <v>118</v>
      </c>
      <c r="D10">
        <v>2023</v>
      </c>
      <c r="E10" t="s">
        <v>109</v>
      </c>
      <c r="F10" t="s">
        <v>120</v>
      </c>
      <c r="G10" s="3">
        <v>22600</v>
      </c>
    </row>
    <row r="11" spans="1:7" x14ac:dyDescent="0.3">
      <c r="A11" t="s">
        <v>106</v>
      </c>
      <c r="B11" t="s">
        <v>108</v>
      </c>
      <c r="C11" t="s">
        <v>118</v>
      </c>
      <c r="D11">
        <v>2024</v>
      </c>
      <c r="E11" t="s">
        <v>109</v>
      </c>
      <c r="F11" t="s">
        <v>120</v>
      </c>
      <c r="G11" s="3">
        <v>23000</v>
      </c>
    </row>
    <row r="12" spans="1:7" x14ac:dyDescent="0.3">
      <c r="A12" t="s">
        <v>122</v>
      </c>
      <c r="B12" t="s">
        <v>108</v>
      </c>
      <c r="C12" t="s">
        <v>118</v>
      </c>
      <c r="D12">
        <v>2020</v>
      </c>
      <c r="E12" t="s">
        <v>110</v>
      </c>
      <c r="F12" t="s">
        <v>120</v>
      </c>
      <c r="G12" s="3">
        <v>25300</v>
      </c>
    </row>
    <row r="13" spans="1:7" x14ac:dyDescent="0.3">
      <c r="A13" t="s">
        <v>115</v>
      </c>
      <c r="B13" t="s">
        <v>108</v>
      </c>
      <c r="C13" t="s">
        <v>118</v>
      </c>
      <c r="D13">
        <v>2021</v>
      </c>
      <c r="E13" t="s">
        <v>110</v>
      </c>
      <c r="F13" t="s">
        <v>120</v>
      </c>
      <c r="G13" s="3">
        <v>25300</v>
      </c>
    </row>
    <row r="14" spans="1:7" x14ac:dyDescent="0.3">
      <c r="A14" t="s">
        <v>123</v>
      </c>
      <c r="B14" t="s">
        <v>108</v>
      </c>
      <c r="C14" t="s">
        <v>118</v>
      </c>
      <c r="D14">
        <v>2022</v>
      </c>
      <c r="E14" t="s">
        <v>110</v>
      </c>
      <c r="F14" t="s">
        <v>120</v>
      </c>
      <c r="G14" s="3">
        <v>25900</v>
      </c>
    </row>
    <row r="15" spans="1:7" x14ac:dyDescent="0.3">
      <c r="A15" t="s">
        <v>106</v>
      </c>
      <c r="B15" t="s">
        <v>108</v>
      </c>
      <c r="C15" t="s">
        <v>118</v>
      </c>
      <c r="D15">
        <v>2023</v>
      </c>
      <c r="E15" t="s">
        <v>110</v>
      </c>
      <c r="F15" t="s">
        <v>120</v>
      </c>
      <c r="G15" s="3">
        <v>27000</v>
      </c>
    </row>
    <row r="16" spans="1:7" x14ac:dyDescent="0.3">
      <c r="A16" t="s">
        <v>106</v>
      </c>
      <c r="B16" t="s">
        <v>108</v>
      </c>
      <c r="C16" t="s">
        <v>118</v>
      </c>
      <c r="D16">
        <v>2024</v>
      </c>
      <c r="E16" t="s">
        <v>110</v>
      </c>
      <c r="F16" t="s">
        <v>120</v>
      </c>
      <c r="G16" s="3">
        <v>27000</v>
      </c>
    </row>
    <row r="17" spans="1:7" x14ac:dyDescent="0.3">
      <c r="A17" t="s">
        <v>122</v>
      </c>
      <c r="B17" t="s">
        <v>12</v>
      </c>
      <c r="C17" t="s">
        <v>118</v>
      </c>
      <c r="D17">
        <v>2020</v>
      </c>
      <c r="E17" t="s">
        <v>43</v>
      </c>
      <c r="F17" t="s">
        <v>121</v>
      </c>
      <c r="G17" s="3">
        <v>966000</v>
      </c>
    </row>
    <row r="18" spans="1:7" x14ac:dyDescent="0.3">
      <c r="A18" t="s">
        <v>115</v>
      </c>
      <c r="B18" t="s">
        <v>12</v>
      </c>
      <c r="C18" t="s">
        <v>118</v>
      </c>
      <c r="D18">
        <v>2021</v>
      </c>
      <c r="E18" t="s">
        <v>43</v>
      </c>
      <c r="F18" t="s">
        <v>121</v>
      </c>
      <c r="G18" s="3">
        <v>1130000</v>
      </c>
    </row>
    <row r="19" spans="1:7" x14ac:dyDescent="0.3">
      <c r="A19" t="s">
        <v>123</v>
      </c>
      <c r="B19" t="s">
        <v>12</v>
      </c>
      <c r="C19" t="s">
        <v>118</v>
      </c>
      <c r="D19">
        <v>2022</v>
      </c>
      <c r="E19" t="s">
        <v>43</v>
      </c>
      <c r="F19" t="s">
        <v>121</v>
      </c>
      <c r="G19" s="3">
        <v>1680000</v>
      </c>
    </row>
    <row r="20" spans="1:7" x14ac:dyDescent="0.3">
      <c r="A20" t="s">
        <v>106</v>
      </c>
      <c r="B20" t="s">
        <v>12</v>
      </c>
      <c r="C20" t="s">
        <v>118</v>
      </c>
      <c r="D20">
        <v>2023</v>
      </c>
      <c r="E20" t="s">
        <v>43</v>
      </c>
      <c r="F20" t="s">
        <v>121</v>
      </c>
      <c r="G20" s="3">
        <v>1530000</v>
      </c>
    </row>
    <row r="21" spans="1:7" x14ac:dyDescent="0.3">
      <c r="A21" t="s">
        <v>106</v>
      </c>
      <c r="B21" t="s">
        <v>12</v>
      </c>
      <c r="C21" t="s">
        <v>118</v>
      </c>
      <c r="D21">
        <v>2024</v>
      </c>
      <c r="E21" t="s">
        <v>43</v>
      </c>
      <c r="F21" t="s">
        <v>121</v>
      </c>
      <c r="G21" s="3">
        <v>1600000</v>
      </c>
    </row>
    <row r="22" spans="1:7" x14ac:dyDescent="0.3">
      <c r="A22" t="s">
        <v>122</v>
      </c>
      <c r="B22" t="s">
        <v>20</v>
      </c>
      <c r="C22" t="s">
        <v>118</v>
      </c>
      <c r="D22">
        <v>2020</v>
      </c>
      <c r="E22" t="s">
        <v>111</v>
      </c>
      <c r="F22" t="s">
        <v>121</v>
      </c>
      <c r="G22" s="3">
        <v>2510000</v>
      </c>
    </row>
    <row r="23" spans="1:7" x14ac:dyDescent="0.3">
      <c r="A23" t="s">
        <v>115</v>
      </c>
      <c r="B23" t="s">
        <v>20</v>
      </c>
      <c r="C23" t="s">
        <v>118</v>
      </c>
      <c r="D23">
        <v>2021</v>
      </c>
      <c r="E23" t="s">
        <v>111</v>
      </c>
      <c r="F23" t="s">
        <v>121</v>
      </c>
      <c r="G23" s="3">
        <v>2730000</v>
      </c>
    </row>
    <row r="24" spans="1:7" x14ac:dyDescent="0.3">
      <c r="A24" t="s">
        <v>123</v>
      </c>
      <c r="B24" t="s">
        <v>20</v>
      </c>
      <c r="C24" t="s">
        <v>118</v>
      </c>
      <c r="D24">
        <v>2022</v>
      </c>
      <c r="E24" t="s">
        <v>111</v>
      </c>
      <c r="F24" t="s">
        <v>121</v>
      </c>
      <c r="G24" s="3">
        <v>3270000</v>
      </c>
    </row>
    <row r="25" spans="1:7" x14ac:dyDescent="0.3">
      <c r="A25" t="s">
        <v>106</v>
      </c>
      <c r="B25" t="s">
        <v>20</v>
      </c>
      <c r="C25" t="s">
        <v>118</v>
      </c>
      <c r="D25">
        <v>2023</v>
      </c>
      <c r="E25" t="s">
        <v>111</v>
      </c>
      <c r="F25" t="s">
        <v>121</v>
      </c>
      <c r="G25" s="3">
        <v>3750000</v>
      </c>
    </row>
    <row r="26" spans="1:7" x14ac:dyDescent="0.3">
      <c r="A26" t="s">
        <v>106</v>
      </c>
      <c r="B26" t="s">
        <v>20</v>
      </c>
      <c r="C26" t="s">
        <v>118</v>
      </c>
      <c r="D26">
        <v>2024</v>
      </c>
      <c r="E26" t="s">
        <v>111</v>
      </c>
      <c r="F26" t="s">
        <v>121</v>
      </c>
      <c r="G26" s="3">
        <v>3700000</v>
      </c>
    </row>
    <row r="27" spans="1:7" x14ac:dyDescent="0.3">
      <c r="A27" t="s">
        <v>122</v>
      </c>
      <c r="B27" t="s">
        <v>24</v>
      </c>
      <c r="C27" t="s">
        <v>118</v>
      </c>
      <c r="D27">
        <v>2020</v>
      </c>
      <c r="E27" t="s">
        <v>112</v>
      </c>
      <c r="F27" t="s">
        <v>120</v>
      </c>
      <c r="G27" s="3"/>
    </row>
    <row r="28" spans="1:7" x14ac:dyDescent="0.3">
      <c r="A28" t="s">
        <v>115</v>
      </c>
      <c r="B28" t="s">
        <v>24</v>
      </c>
      <c r="C28" t="s">
        <v>118</v>
      </c>
      <c r="D28">
        <v>2021</v>
      </c>
      <c r="E28" t="s">
        <v>112</v>
      </c>
      <c r="F28" t="s">
        <v>120</v>
      </c>
      <c r="G28" s="3" t="s">
        <v>41</v>
      </c>
    </row>
    <row r="29" spans="1:7" x14ac:dyDescent="0.3">
      <c r="A29" t="s">
        <v>123</v>
      </c>
      <c r="B29" t="s">
        <v>24</v>
      </c>
      <c r="C29" t="s">
        <v>118</v>
      </c>
      <c r="D29">
        <v>2022</v>
      </c>
      <c r="E29" t="s">
        <v>112</v>
      </c>
      <c r="F29" t="s">
        <v>120</v>
      </c>
      <c r="G29" s="3">
        <v>5440</v>
      </c>
    </row>
    <row r="30" spans="1:7" x14ac:dyDescent="0.3">
      <c r="A30" t="s">
        <v>106</v>
      </c>
      <c r="B30" t="s">
        <v>24</v>
      </c>
      <c r="C30" t="s">
        <v>118</v>
      </c>
      <c r="D30">
        <v>2023</v>
      </c>
      <c r="E30" t="s">
        <v>112</v>
      </c>
      <c r="F30" t="s">
        <v>120</v>
      </c>
      <c r="G30" s="3">
        <v>5190</v>
      </c>
    </row>
    <row r="31" spans="1:7" x14ac:dyDescent="0.3">
      <c r="A31" t="s">
        <v>106</v>
      </c>
      <c r="B31" t="s">
        <v>24</v>
      </c>
      <c r="C31" t="s">
        <v>118</v>
      </c>
      <c r="D31">
        <v>2024</v>
      </c>
      <c r="E31" t="s">
        <v>112</v>
      </c>
      <c r="F31" t="s">
        <v>120</v>
      </c>
      <c r="G31" s="3">
        <v>5100</v>
      </c>
    </row>
    <row r="32" spans="1:7" x14ac:dyDescent="0.3">
      <c r="A32" t="s">
        <v>122</v>
      </c>
      <c r="B32" t="s">
        <v>24</v>
      </c>
      <c r="C32" t="s">
        <v>118</v>
      </c>
      <c r="D32">
        <v>2020</v>
      </c>
      <c r="E32" t="s">
        <v>113</v>
      </c>
      <c r="F32" t="s">
        <v>120</v>
      </c>
      <c r="G32" s="3"/>
    </row>
    <row r="33" spans="1:7" x14ac:dyDescent="0.3">
      <c r="A33" t="s">
        <v>115</v>
      </c>
      <c r="B33" t="s">
        <v>24</v>
      </c>
      <c r="C33" t="s">
        <v>118</v>
      </c>
      <c r="D33">
        <v>2021</v>
      </c>
      <c r="E33" t="s">
        <v>113</v>
      </c>
      <c r="F33" t="s">
        <v>120</v>
      </c>
      <c r="G33" s="3" t="s">
        <v>41</v>
      </c>
    </row>
    <row r="34" spans="1:7" x14ac:dyDescent="0.3">
      <c r="A34" t="s">
        <v>123</v>
      </c>
      <c r="B34" t="s">
        <v>24</v>
      </c>
      <c r="C34" t="s">
        <v>118</v>
      </c>
      <c r="D34">
        <v>2022</v>
      </c>
      <c r="E34" t="s">
        <v>113</v>
      </c>
      <c r="F34" t="s">
        <v>120</v>
      </c>
      <c r="G34" s="3">
        <v>3670</v>
      </c>
    </row>
    <row r="35" spans="1:7" x14ac:dyDescent="0.3">
      <c r="A35" t="s">
        <v>106</v>
      </c>
      <c r="B35" t="s">
        <v>24</v>
      </c>
      <c r="C35" t="s">
        <v>118</v>
      </c>
      <c r="D35">
        <v>2023</v>
      </c>
      <c r="E35" t="s">
        <v>113</v>
      </c>
      <c r="F35" t="s">
        <v>120</v>
      </c>
      <c r="G35" s="3">
        <v>4280</v>
      </c>
    </row>
    <row r="36" spans="1:7" x14ac:dyDescent="0.3">
      <c r="A36" t="s">
        <v>106</v>
      </c>
      <c r="B36" t="s">
        <v>24</v>
      </c>
      <c r="C36" t="s">
        <v>118</v>
      </c>
      <c r="D36">
        <v>2024</v>
      </c>
      <c r="E36" t="s">
        <v>113</v>
      </c>
      <c r="F36" t="s">
        <v>120</v>
      </c>
      <c r="G36" s="3">
        <v>4600</v>
      </c>
    </row>
    <row r="37" spans="1:7" x14ac:dyDescent="0.3">
      <c r="A37" t="s">
        <v>122</v>
      </c>
      <c r="B37" t="s">
        <v>24</v>
      </c>
      <c r="C37" t="s">
        <v>118</v>
      </c>
      <c r="D37">
        <v>2020</v>
      </c>
      <c r="E37" t="s">
        <v>114</v>
      </c>
      <c r="F37" t="s">
        <v>120</v>
      </c>
      <c r="G37" s="3">
        <v>8120</v>
      </c>
    </row>
    <row r="38" spans="1:7" x14ac:dyDescent="0.3">
      <c r="A38" t="s">
        <v>115</v>
      </c>
      <c r="B38" t="s">
        <v>24</v>
      </c>
      <c r="C38" t="s">
        <v>118</v>
      </c>
      <c r="D38">
        <v>2021</v>
      </c>
      <c r="E38" t="s">
        <v>114</v>
      </c>
      <c r="F38" t="s">
        <v>120</v>
      </c>
      <c r="G38" s="3">
        <v>9150</v>
      </c>
    </row>
    <row r="39" spans="1:7" x14ac:dyDescent="0.3">
      <c r="A39" t="s">
        <v>123</v>
      </c>
      <c r="B39" t="s">
        <v>24</v>
      </c>
      <c r="C39" t="s">
        <v>118</v>
      </c>
      <c r="D39">
        <v>2022</v>
      </c>
      <c r="E39" t="s">
        <v>114</v>
      </c>
      <c r="F39" t="s">
        <v>120</v>
      </c>
      <c r="G39" s="3"/>
    </row>
    <row r="40" spans="1:7" x14ac:dyDescent="0.3">
      <c r="A40" t="s">
        <v>106</v>
      </c>
      <c r="B40" t="s">
        <v>24</v>
      </c>
      <c r="C40" t="s">
        <v>118</v>
      </c>
      <c r="D40">
        <v>2023</v>
      </c>
      <c r="E40" t="s">
        <v>114</v>
      </c>
      <c r="F40" t="s">
        <v>120</v>
      </c>
      <c r="G40" s="3"/>
    </row>
    <row r="41" spans="1:7" x14ac:dyDescent="0.3">
      <c r="A41" t="s">
        <v>106</v>
      </c>
      <c r="B41" t="s">
        <v>24</v>
      </c>
      <c r="C41" t="s">
        <v>118</v>
      </c>
      <c r="D41">
        <v>2024</v>
      </c>
      <c r="E41" t="s">
        <v>114</v>
      </c>
      <c r="F41" t="s">
        <v>120</v>
      </c>
      <c r="G41" s="3"/>
    </row>
  </sheetData>
  <autoFilter ref="A1:G41" xr:uid="{279AE7E9-2B5D-442B-A190-8E8AACA574AF}"/>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8DDFF-E564-4E19-81AD-A67E9DEEE51B}">
  <dimension ref="A1:F44"/>
  <sheetViews>
    <sheetView topLeftCell="A19" workbookViewId="0">
      <selection activeCell="D34" sqref="D34"/>
    </sheetView>
  </sheetViews>
  <sheetFormatPr defaultRowHeight="14.4" x14ac:dyDescent="0.3"/>
  <cols>
    <col min="1" max="1" width="11.6640625" bestFit="1" customWidth="1"/>
    <col min="2" max="2" width="9.88671875" bestFit="1" customWidth="1"/>
  </cols>
  <sheetData>
    <row r="1" spans="1:2" x14ac:dyDescent="0.3">
      <c r="A1" s="44" t="s">
        <v>977</v>
      </c>
      <c r="B1" s="45">
        <v>2020</v>
      </c>
    </row>
    <row r="2" spans="1:2" x14ac:dyDescent="0.3">
      <c r="A2" s="46" t="s">
        <v>1</v>
      </c>
      <c r="B2" s="47">
        <v>65100000</v>
      </c>
    </row>
    <row r="3" spans="1:2" x14ac:dyDescent="0.3">
      <c r="A3" s="48" t="s">
        <v>162</v>
      </c>
      <c r="B3" s="47">
        <v>111000</v>
      </c>
    </row>
    <row r="4" spans="1:2" x14ac:dyDescent="0.3">
      <c r="A4" s="48" t="s">
        <v>4</v>
      </c>
      <c r="B4" s="47">
        <v>24000</v>
      </c>
    </row>
    <row r="5" spans="1:2" x14ac:dyDescent="0.3">
      <c r="A5" s="48" t="s">
        <v>5</v>
      </c>
      <c r="B5" s="47">
        <v>37000000</v>
      </c>
    </row>
    <row r="6" spans="1:2" x14ac:dyDescent="0.3">
      <c r="A6" s="48" t="s">
        <v>6</v>
      </c>
      <c r="B6" s="47">
        <v>142000</v>
      </c>
    </row>
    <row r="7" spans="1:2" x14ac:dyDescent="0.3">
      <c r="A7" s="48" t="s">
        <v>7</v>
      </c>
      <c r="B7" s="47">
        <v>20600000</v>
      </c>
    </row>
    <row r="8" spans="1:2" x14ac:dyDescent="0.3">
      <c r="A8" s="48" t="s">
        <v>11</v>
      </c>
      <c r="B8" s="47">
        <v>327</v>
      </c>
    </row>
    <row r="9" spans="1:2" x14ac:dyDescent="0.3">
      <c r="A9" s="48" t="s">
        <v>691</v>
      </c>
      <c r="B9" s="47">
        <v>140</v>
      </c>
    </row>
    <row r="10" spans="1:2" x14ac:dyDescent="0.3">
      <c r="A10" s="48" t="s">
        <v>13</v>
      </c>
      <c r="B10" s="47">
        <v>960</v>
      </c>
    </row>
    <row r="11" spans="1:2" x14ac:dyDescent="0.3">
      <c r="A11" s="48" t="s">
        <v>16</v>
      </c>
      <c r="B11" s="47">
        <v>82500</v>
      </c>
    </row>
    <row r="12" spans="1:2" x14ac:dyDescent="0.3">
      <c r="A12" s="46" t="s">
        <v>17</v>
      </c>
      <c r="B12" s="47">
        <v>18900000</v>
      </c>
    </row>
    <row r="13" spans="1:2" x14ac:dyDescent="0.3">
      <c r="A13" s="46" t="s">
        <v>18</v>
      </c>
      <c r="B13" s="47">
        <v>298000</v>
      </c>
    </row>
    <row r="14" spans="1:2" x14ac:dyDescent="0.3">
      <c r="A14" s="48" t="s">
        <v>20</v>
      </c>
      <c r="B14" s="47">
        <v>2510000</v>
      </c>
    </row>
    <row r="15" spans="1:2" x14ac:dyDescent="0.3">
      <c r="A15" s="48" t="s">
        <v>23</v>
      </c>
      <c r="B15" s="47">
        <v>3120</v>
      </c>
    </row>
    <row r="16" spans="1:2" x14ac:dyDescent="0.3">
      <c r="A16" s="48" t="s">
        <v>25</v>
      </c>
      <c r="B16" s="47">
        <v>23500</v>
      </c>
    </row>
    <row r="17" spans="1:6" x14ac:dyDescent="0.3">
      <c r="A17" s="48" t="s">
        <v>26</v>
      </c>
      <c r="B17" s="47">
        <v>562</v>
      </c>
    </row>
    <row r="18" spans="1:6" x14ac:dyDescent="0.3">
      <c r="A18" s="46" t="s">
        <v>711</v>
      </c>
      <c r="B18" s="47">
        <v>5154336.012821476</v>
      </c>
    </row>
    <row r="19" spans="1:6" x14ac:dyDescent="0.3">
      <c r="A19" s="48" t="s">
        <v>29</v>
      </c>
      <c r="B19" s="47">
        <v>105000</v>
      </c>
      <c r="F19" s="2" t="s">
        <v>1105</v>
      </c>
    </row>
    <row r="20" spans="1:6" x14ac:dyDescent="0.3">
      <c r="A20" s="48" t="s">
        <v>30</v>
      </c>
      <c r="B20" s="47">
        <v>12000000</v>
      </c>
    </row>
    <row r="21" spans="1:6" x14ac:dyDescent="0.3">
      <c r="A21" s="46" t="s">
        <v>31</v>
      </c>
      <c r="B21" s="47">
        <v>595238.48788326385</v>
      </c>
    </row>
    <row r="22" spans="1:6" x14ac:dyDescent="0.3">
      <c r="A22" s="49" t="s">
        <v>978</v>
      </c>
      <c r="B22" s="3">
        <f>SUM(B23:B28)</f>
        <v>430.43700000000001</v>
      </c>
      <c r="C22" s="50">
        <f>SUM(C23:C28)</f>
        <v>1</v>
      </c>
    </row>
    <row r="23" spans="1:6" x14ac:dyDescent="0.3">
      <c r="A23" s="51" t="s">
        <v>539</v>
      </c>
      <c r="B23" s="47">
        <v>169.613</v>
      </c>
      <c r="C23" s="50">
        <f>B23/$B$22</f>
        <v>0.39404837409423443</v>
      </c>
    </row>
    <row r="24" spans="1:6" x14ac:dyDescent="0.3">
      <c r="A24" s="51" t="s">
        <v>979</v>
      </c>
      <c r="B24" s="47">
        <v>207.441</v>
      </c>
      <c r="C24" s="50">
        <f t="shared" ref="C24:C28" si="0">B24/$B$22</f>
        <v>0.48193115368799616</v>
      </c>
    </row>
    <row r="25" spans="1:6" x14ac:dyDescent="0.3">
      <c r="A25" s="51" t="s">
        <v>980</v>
      </c>
      <c r="B25" s="47">
        <v>17.626627262726274</v>
      </c>
      <c r="C25" s="50">
        <f t="shared" si="0"/>
        <v>4.0950539249010362E-2</v>
      </c>
    </row>
    <row r="26" spans="1:6" x14ac:dyDescent="0.3">
      <c r="A26" s="51" t="s">
        <v>981</v>
      </c>
      <c r="B26" s="47">
        <v>24.369099909991</v>
      </c>
      <c r="C26" s="50">
        <f t="shared" si="0"/>
        <v>5.6614788947025929E-2</v>
      </c>
    </row>
    <row r="27" spans="1:6" x14ac:dyDescent="0.3">
      <c r="A27" s="51" t="s">
        <v>533</v>
      </c>
      <c r="B27" s="47">
        <v>6.1539657965796577</v>
      </c>
      <c r="C27" s="50">
        <f t="shared" si="0"/>
        <v>1.4297018603372055E-2</v>
      </c>
    </row>
    <row r="28" spans="1:6" x14ac:dyDescent="0.3">
      <c r="A28" s="51" t="s">
        <v>982</v>
      </c>
      <c r="B28" s="47">
        <v>5.2333070307030702</v>
      </c>
      <c r="C28" s="50">
        <f t="shared" si="0"/>
        <v>1.2158125418361037E-2</v>
      </c>
    </row>
    <row r="29" spans="1:6" x14ac:dyDescent="0.3">
      <c r="A29" s="52" t="s">
        <v>560</v>
      </c>
      <c r="B29" s="53">
        <f>SUM(B30:B44)</f>
        <v>202783.49763744307</v>
      </c>
      <c r="C29" s="54">
        <f>B29/$B$29</f>
        <v>1</v>
      </c>
    </row>
    <row r="30" spans="1:6" x14ac:dyDescent="0.3">
      <c r="A30" s="55" t="s">
        <v>983</v>
      </c>
      <c r="B30" s="56">
        <v>53682.004708007888</v>
      </c>
      <c r="C30" s="54">
        <f t="shared" ref="C30:C44" si="1">B30/$B$29</f>
        <v>0.26472570664495604</v>
      </c>
    </row>
    <row r="31" spans="1:6" x14ac:dyDescent="0.3">
      <c r="A31" s="55" t="s">
        <v>984</v>
      </c>
      <c r="B31" s="56">
        <v>89656.747362867973</v>
      </c>
      <c r="C31" s="54">
        <f t="shared" si="1"/>
        <v>0.4421303923022642</v>
      </c>
    </row>
    <row r="32" spans="1:6" x14ac:dyDescent="0.3">
      <c r="A32" s="55" t="s">
        <v>540</v>
      </c>
      <c r="B32" s="56">
        <v>10438.959702059632</v>
      </c>
      <c r="C32" s="54">
        <f t="shared" si="1"/>
        <v>5.1478349193500271E-2</v>
      </c>
    </row>
    <row r="33" spans="1:3" x14ac:dyDescent="0.3">
      <c r="A33" s="55" t="s">
        <v>537</v>
      </c>
      <c r="B33" s="56">
        <v>34074.892048375819</v>
      </c>
      <c r="C33" s="54">
        <f t="shared" si="1"/>
        <v>0.16803582365118472</v>
      </c>
    </row>
    <row r="34" spans="1:3" x14ac:dyDescent="0.3">
      <c r="A34" s="55" t="s">
        <v>985</v>
      </c>
      <c r="B34" s="56">
        <v>2716.5145725115585</v>
      </c>
      <c r="C34" s="54">
        <f t="shared" si="1"/>
        <v>1.339613234883846E-2</v>
      </c>
    </row>
    <row r="35" spans="1:3" x14ac:dyDescent="0.3">
      <c r="A35" s="55" t="s">
        <v>986</v>
      </c>
      <c r="B35" s="56">
        <v>466.46155157647433</v>
      </c>
      <c r="C35" s="54">
        <f t="shared" si="1"/>
        <v>2.3002934509516238E-3</v>
      </c>
    </row>
    <row r="36" spans="1:3" x14ac:dyDescent="0.3">
      <c r="A36" s="55" t="s">
        <v>987</v>
      </c>
      <c r="B36" s="56">
        <v>2166.8895706435628</v>
      </c>
      <c r="C36" s="54">
        <f t="shared" si="1"/>
        <v>1.0685729341337963E-2</v>
      </c>
    </row>
    <row r="37" spans="1:3" x14ac:dyDescent="0.3">
      <c r="A37" s="55" t="s">
        <v>543</v>
      </c>
      <c r="B37" s="56">
        <v>313.81338159351134</v>
      </c>
      <c r="C37" s="54">
        <f t="shared" si="1"/>
        <v>1.5475291887635688E-3</v>
      </c>
    </row>
    <row r="38" spans="1:3" x14ac:dyDescent="0.3">
      <c r="A38" s="55" t="s">
        <v>530</v>
      </c>
      <c r="B38" s="56">
        <v>1121.4732403534388</v>
      </c>
      <c r="C38" s="54">
        <f t="shared" si="1"/>
        <v>5.5303969673041273E-3</v>
      </c>
    </row>
    <row r="39" spans="1:3" x14ac:dyDescent="0.3">
      <c r="A39" s="55" t="s">
        <v>988</v>
      </c>
      <c r="B39" s="56">
        <v>322.47629939265147</v>
      </c>
      <c r="C39" s="54">
        <f t="shared" si="1"/>
        <v>1.5902492221985802E-3</v>
      </c>
    </row>
    <row r="40" spans="1:3" x14ac:dyDescent="0.3">
      <c r="A40" s="55" t="s">
        <v>989</v>
      </c>
      <c r="B40" s="56">
        <v>630.09153337819419</v>
      </c>
      <c r="C40" s="54">
        <f t="shared" si="1"/>
        <v>3.1072130657531895E-3</v>
      </c>
    </row>
    <row r="41" spans="1:3" x14ac:dyDescent="0.3">
      <c r="A41" s="55" t="s">
        <v>990</v>
      </c>
      <c r="B41" s="56">
        <v>154.28236732164083</v>
      </c>
      <c r="C41" s="54">
        <f t="shared" si="1"/>
        <v>7.6082309023726633E-4</v>
      </c>
    </row>
    <row r="42" spans="1:3" x14ac:dyDescent="0.3">
      <c r="A42" s="55" t="s">
        <v>991</v>
      </c>
      <c r="B42" s="56">
        <v>461.84608029573837</v>
      </c>
      <c r="C42" s="54">
        <f t="shared" si="1"/>
        <v>2.2775328647377099E-3</v>
      </c>
    </row>
    <row r="43" spans="1:3" x14ac:dyDescent="0.3">
      <c r="A43" s="55" t="s">
        <v>992</v>
      </c>
      <c r="B43" s="56">
        <v>153.58388464165506</v>
      </c>
      <c r="C43" s="54">
        <f t="shared" si="1"/>
        <v>7.5737861527690935E-4</v>
      </c>
    </row>
    <row r="44" spans="1:3" x14ac:dyDescent="0.3">
      <c r="A44" s="55" t="s">
        <v>993</v>
      </c>
      <c r="B44" s="56">
        <v>6423.4613344233348</v>
      </c>
      <c r="C44" s="54">
        <f t="shared" si="1"/>
        <v>3.1676450052695371E-2</v>
      </c>
    </row>
  </sheetData>
  <hyperlinks>
    <hyperlink ref="F19" r:id="rId1" xr:uid="{2346C5B2-A184-4CFA-B209-AD4430DD06A1}"/>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9DD9-016B-451C-8EF6-3F75C6D63D35}">
  <dimension ref="A1:AY62"/>
  <sheetViews>
    <sheetView topLeftCell="A16" workbookViewId="0">
      <selection activeCell="C40" sqref="C40"/>
    </sheetView>
  </sheetViews>
  <sheetFormatPr defaultColWidth="11.5546875" defaultRowHeight="14.4" x14ac:dyDescent="0.3"/>
  <cols>
    <col min="4" max="4" width="14.88671875" bestFit="1" customWidth="1"/>
    <col min="5" max="5" width="197.6640625" bestFit="1" customWidth="1"/>
    <col min="6" max="10" width="4" bestFit="1" customWidth="1"/>
    <col min="11" max="11" width="6.44140625" bestFit="1" customWidth="1"/>
    <col min="12" max="12" width="5" bestFit="1" customWidth="1"/>
    <col min="13" max="13" width="7.21875" bestFit="1" customWidth="1"/>
    <col min="14" max="14" width="4.5546875" bestFit="1" customWidth="1"/>
    <col min="15" max="15" width="35.88671875" bestFit="1" customWidth="1"/>
    <col min="16" max="16" width="31.6640625" bestFit="1" customWidth="1"/>
    <col min="17" max="17" width="197.6640625" bestFit="1" customWidth="1"/>
    <col min="18" max="22" width="4" bestFit="1" customWidth="1"/>
    <col min="23" max="23" width="6.44140625" bestFit="1" customWidth="1"/>
    <col min="24" max="24" width="5" bestFit="1" customWidth="1"/>
    <col min="25" max="26" width="5.5546875" bestFit="1" customWidth="1"/>
    <col min="27" max="27" width="35.88671875" bestFit="1" customWidth="1"/>
    <col min="28" max="28" width="17.6640625" bestFit="1" customWidth="1"/>
    <col min="29" max="29" width="201.6640625" bestFit="1" customWidth="1"/>
    <col min="30" max="34" width="4" bestFit="1" customWidth="1"/>
    <col min="35" max="35" width="6.44140625" bestFit="1" customWidth="1"/>
    <col min="36" max="36" width="5" bestFit="1" customWidth="1"/>
    <col min="37" max="38" width="6.5546875" bestFit="1" customWidth="1"/>
    <col min="39" max="39" width="35.88671875" bestFit="1" customWidth="1"/>
    <col min="40" max="40" width="14" bestFit="1" customWidth="1"/>
    <col min="41" max="41" width="220.6640625" bestFit="1" customWidth="1"/>
    <col min="42" max="46" width="4" bestFit="1" customWidth="1"/>
    <col min="47" max="47" width="6.44140625" bestFit="1" customWidth="1"/>
    <col min="48" max="48" width="5" bestFit="1" customWidth="1"/>
    <col min="49" max="49" width="5.5546875" bestFit="1" customWidth="1"/>
    <col min="50" max="50" width="4.5546875" bestFit="1" customWidth="1"/>
    <col min="51" max="51" width="35.88671875" bestFit="1" customWidth="1"/>
  </cols>
  <sheetData>
    <row r="1" spans="1:51" x14ac:dyDescent="0.3">
      <c r="A1" s="1" t="s">
        <v>524</v>
      </c>
      <c r="B1" s="1" t="s">
        <v>525</v>
      </c>
      <c r="C1" s="1" t="s">
        <v>0</v>
      </c>
      <c r="D1" s="36" t="s">
        <v>724</v>
      </c>
      <c r="E1" s="37" t="s">
        <v>725</v>
      </c>
      <c r="F1" s="38" t="s">
        <v>726</v>
      </c>
      <c r="G1" s="38" t="s">
        <v>727</v>
      </c>
      <c r="H1" s="38" t="s">
        <v>728</v>
      </c>
      <c r="I1" s="38" t="s">
        <v>729</v>
      </c>
      <c r="J1" s="38" t="s">
        <v>730</v>
      </c>
      <c r="K1" s="4" t="s">
        <v>731</v>
      </c>
      <c r="L1" s="38" t="s">
        <v>732</v>
      </c>
      <c r="M1" s="5" t="s">
        <v>733</v>
      </c>
      <c r="N1" s="39" t="s">
        <v>734</v>
      </c>
      <c r="O1" s="38" t="s">
        <v>735</v>
      </c>
      <c r="P1" s="36" t="s">
        <v>736</v>
      </c>
      <c r="Q1" s="37" t="s">
        <v>725</v>
      </c>
      <c r="R1" s="38" t="s">
        <v>726</v>
      </c>
      <c r="S1" s="38" t="s">
        <v>727</v>
      </c>
      <c r="T1" s="38" t="s">
        <v>728</v>
      </c>
      <c r="U1" s="38" t="s">
        <v>729</v>
      </c>
      <c r="V1" s="38" t="s">
        <v>730</v>
      </c>
      <c r="W1" s="4" t="s">
        <v>731</v>
      </c>
      <c r="X1" s="38" t="s">
        <v>732</v>
      </c>
      <c r="Y1" s="37" t="s">
        <v>733</v>
      </c>
      <c r="Z1" s="38" t="s">
        <v>734</v>
      </c>
      <c r="AA1" s="38" t="s">
        <v>735</v>
      </c>
      <c r="AB1" s="36" t="s">
        <v>737</v>
      </c>
      <c r="AC1" s="37" t="s">
        <v>725</v>
      </c>
      <c r="AD1" s="38" t="s">
        <v>726</v>
      </c>
      <c r="AE1" s="38" t="s">
        <v>727</v>
      </c>
      <c r="AF1" s="38" t="s">
        <v>728</v>
      </c>
      <c r="AG1" s="38" t="s">
        <v>729</v>
      </c>
      <c r="AH1" s="38" t="s">
        <v>730</v>
      </c>
      <c r="AI1" s="4" t="s">
        <v>731</v>
      </c>
      <c r="AJ1" s="38" t="s">
        <v>732</v>
      </c>
      <c r="AK1" s="37" t="s">
        <v>733</v>
      </c>
      <c r="AL1" s="38" t="s">
        <v>734</v>
      </c>
      <c r="AM1" s="38" t="s">
        <v>735</v>
      </c>
      <c r="AN1" s="36" t="s">
        <v>738</v>
      </c>
      <c r="AO1" s="37" t="s">
        <v>725</v>
      </c>
      <c r="AP1" s="38" t="s">
        <v>726</v>
      </c>
      <c r="AQ1" s="38" t="s">
        <v>727</v>
      </c>
      <c r="AR1" s="38" t="s">
        <v>728</v>
      </c>
      <c r="AS1" s="38" t="s">
        <v>729</v>
      </c>
      <c r="AT1" s="38" t="s">
        <v>730</v>
      </c>
      <c r="AU1" s="4" t="s">
        <v>731</v>
      </c>
      <c r="AV1" s="38" t="s">
        <v>732</v>
      </c>
      <c r="AW1" s="37" t="s">
        <v>733</v>
      </c>
      <c r="AX1" s="38" t="s">
        <v>734</v>
      </c>
      <c r="AY1" s="38" t="s">
        <v>735</v>
      </c>
    </row>
    <row r="2" spans="1:51" x14ac:dyDescent="0.3">
      <c r="A2">
        <v>47</v>
      </c>
      <c r="B2" t="s">
        <v>553</v>
      </c>
      <c r="C2" t="s">
        <v>25</v>
      </c>
      <c r="D2" s="6">
        <v>0.8425655976676385</v>
      </c>
      <c r="E2" s="42" t="s">
        <v>880</v>
      </c>
      <c r="F2" s="7">
        <v>1</v>
      </c>
      <c r="G2" s="7">
        <v>4</v>
      </c>
      <c r="H2" s="7">
        <v>1</v>
      </c>
      <c r="I2" s="42">
        <v>2</v>
      </c>
      <c r="J2" s="42">
        <v>1</v>
      </c>
      <c r="K2" s="40">
        <v>1.1925122738235221</v>
      </c>
      <c r="L2" s="40">
        <v>1.0920221031753534</v>
      </c>
      <c r="M2" s="41">
        <v>51.95121542835394</v>
      </c>
      <c r="N2" s="41">
        <v>9.7071475194848187</v>
      </c>
      <c r="O2" s="41" t="s">
        <v>881</v>
      </c>
      <c r="P2" s="6">
        <v>0.91001697792869274</v>
      </c>
      <c r="Q2" s="42" t="s">
        <v>880</v>
      </c>
      <c r="R2" s="7">
        <v>1</v>
      </c>
      <c r="S2" s="42">
        <v>4</v>
      </c>
      <c r="T2" s="7">
        <v>1</v>
      </c>
      <c r="U2" s="7">
        <v>2</v>
      </c>
      <c r="V2" s="42">
        <v>1</v>
      </c>
      <c r="W2" s="40">
        <v>1.1925122738235221</v>
      </c>
      <c r="X2" s="40">
        <v>1.0920221031753534</v>
      </c>
      <c r="Y2" s="41">
        <v>34.289381847133761</v>
      </c>
      <c r="Z2" s="41">
        <v>3.3905545483173296</v>
      </c>
      <c r="AA2" s="41" t="s">
        <v>882</v>
      </c>
      <c r="AB2" s="6">
        <v>1</v>
      </c>
      <c r="AC2" s="42" t="s">
        <v>880</v>
      </c>
      <c r="AD2" s="7">
        <v>1</v>
      </c>
      <c r="AE2" s="7">
        <v>4</v>
      </c>
      <c r="AF2" s="7">
        <v>1</v>
      </c>
      <c r="AG2" s="42">
        <v>2</v>
      </c>
      <c r="AH2" s="42">
        <v>1</v>
      </c>
      <c r="AI2" s="40">
        <v>1.1925122738235221</v>
      </c>
      <c r="AJ2" s="40">
        <v>1.0920221031753534</v>
      </c>
      <c r="AK2" s="41">
        <v>-1</v>
      </c>
      <c r="AL2" s="41">
        <v>0</v>
      </c>
      <c r="AM2" s="41" t="s">
        <v>754</v>
      </c>
      <c r="AN2" s="6">
        <v>1</v>
      </c>
      <c r="AO2" s="42" t="s">
        <v>880</v>
      </c>
      <c r="AP2" s="7">
        <v>1</v>
      </c>
      <c r="AQ2" s="7">
        <v>4</v>
      </c>
      <c r="AR2" s="7">
        <v>1</v>
      </c>
      <c r="AS2" s="42">
        <v>2</v>
      </c>
      <c r="AT2" s="42">
        <v>1</v>
      </c>
      <c r="AU2" s="40">
        <v>1.1925122738235221</v>
      </c>
      <c r="AV2" s="40">
        <v>1.0920221031753534</v>
      </c>
      <c r="AW2" s="41">
        <v>-1</v>
      </c>
      <c r="AX2" s="41">
        <v>0</v>
      </c>
      <c r="AY2" s="41" t="s">
        <v>754</v>
      </c>
    </row>
    <row r="3" spans="1:51" x14ac:dyDescent="0.3">
      <c r="A3">
        <v>13</v>
      </c>
      <c r="B3" t="s">
        <v>526</v>
      </c>
      <c r="C3" t="s">
        <v>96</v>
      </c>
      <c r="D3" s="6">
        <v>0.87929656274979995</v>
      </c>
      <c r="E3" s="42" t="s">
        <v>765</v>
      </c>
      <c r="F3" s="7">
        <v>1</v>
      </c>
      <c r="G3" s="7">
        <v>2</v>
      </c>
      <c r="H3" s="7">
        <v>1</v>
      </c>
      <c r="I3" s="42">
        <v>2</v>
      </c>
      <c r="J3" s="42">
        <v>1</v>
      </c>
      <c r="K3" s="40">
        <v>1.1174816203765749</v>
      </c>
      <c r="L3" s="40">
        <v>1.0571100322939779</v>
      </c>
      <c r="M3" s="41">
        <v>113.57327852025585</v>
      </c>
      <c r="N3" s="41">
        <v>15.590513687780607</v>
      </c>
      <c r="O3" s="41" t="s">
        <v>766</v>
      </c>
      <c r="P3" s="6">
        <v>0.59090909090909094</v>
      </c>
      <c r="Q3" s="42" t="s">
        <v>765</v>
      </c>
      <c r="R3" s="7">
        <v>1</v>
      </c>
      <c r="S3" s="7">
        <v>2</v>
      </c>
      <c r="T3" s="7">
        <v>1</v>
      </c>
      <c r="U3" s="42">
        <v>2</v>
      </c>
      <c r="V3" s="42">
        <v>1</v>
      </c>
      <c r="W3" s="40">
        <v>1.1174816203765749</v>
      </c>
      <c r="X3" s="40">
        <v>1.0571100322939779</v>
      </c>
      <c r="Y3" s="41">
        <v>174.59386256910432</v>
      </c>
      <c r="Z3" s="41">
        <v>120.87267408630298</v>
      </c>
      <c r="AA3" s="41" t="s">
        <v>767</v>
      </c>
      <c r="AB3" s="8">
        <v>0.94650205761316875</v>
      </c>
      <c r="AC3" s="42" t="s">
        <v>765</v>
      </c>
      <c r="AD3" s="7">
        <v>1</v>
      </c>
      <c r="AE3" s="7">
        <v>2</v>
      </c>
      <c r="AF3" s="7">
        <v>1</v>
      </c>
      <c r="AG3" s="42">
        <v>2</v>
      </c>
      <c r="AH3" s="42">
        <v>1</v>
      </c>
      <c r="AI3" s="40">
        <v>1.1174816203765749</v>
      </c>
      <c r="AJ3" s="40">
        <v>1.0571100322939779</v>
      </c>
      <c r="AK3" s="41">
        <v>57.831576284369284</v>
      </c>
      <c r="AL3" s="41">
        <v>3.2687412682469579</v>
      </c>
      <c r="AM3" s="41" t="s">
        <v>768</v>
      </c>
      <c r="AN3" s="6">
        <v>0.97</v>
      </c>
      <c r="AO3" s="42" t="s">
        <v>765</v>
      </c>
      <c r="AP3" s="7">
        <v>1</v>
      </c>
      <c r="AQ3" s="7">
        <v>2</v>
      </c>
      <c r="AR3" s="7">
        <v>1</v>
      </c>
      <c r="AS3" s="42">
        <v>2</v>
      </c>
      <c r="AT3" s="42">
        <v>1</v>
      </c>
      <c r="AU3" s="40">
        <v>1.1174816203765749</v>
      </c>
      <c r="AV3" s="40">
        <v>1.0571100322939779</v>
      </c>
      <c r="AW3" s="41">
        <v>33.647834959002907</v>
      </c>
      <c r="AX3" s="41">
        <v>1.040654689453699</v>
      </c>
      <c r="AY3" s="41" t="s">
        <v>769</v>
      </c>
    </row>
    <row r="4" spans="1:51" x14ac:dyDescent="0.3">
      <c r="A4">
        <v>33</v>
      </c>
      <c r="B4" t="s">
        <v>550</v>
      </c>
      <c r="C4" t="s">
        <v>2</v>
      </c>
      <c r="D4" s="6">
        <v>8.4343116045257224E-2</v>
      </c>
      <c r="E4" s="7" t="s">
        <v>834</v>
      </c>
      <c r="F4" s="7">
        <v>1</v>
      </c>
      <c r="G4" s="7">
        <v>3</v>
      </c>
      <c r="H4" s="7">
        <v>2</v>
      </c>
      <c r="I4" s="42">
        <v>2</v>
      </c>
      <c r="J4" s="42">
        <v>2</v>
      </c>
      <c r="K4" s="40">
        <v>1.1711691055232991</v>
      </c>
      <c r="L4" s="40">
        <v>1.0822056669244065</v>
      </c>
      <c r="M4" s="41">
        <v>3.7712262932398102</v>
      </c>
      <c r="N4" s="41">
        <v>40.941685323829539</v>
      </c>
      <c r="O4" s="41" t="s">
        <v>835</v>
      </c>
      <c r="P4" s="6">
        <v>0.97856553998351192</v>
      </c>
      <c r="Q4" s="7" t="s">
        <v>836</v>
      </c>
      <c r="R4" s="7">
        <v>1</v>
      </c>
      <c r="S4" s="7">
        <v>3</v>
      </c>
      <c r="T4" s="7">
        <v>2</v>
      </c>
      <c r="U4" s="42">
        <v>2</v>
      </c>
      <c r="V4" s="42">
        <v>2</v>
      </c>
      <c r="W4" s="40">
        <v>1.1711691055232991</v>
      </c>
      <c r="X4" s="40">
        <v>1.0822056669244065</v>
      </c>
      <c r="Y4" s="41">
        <v>11.170667442118644</v>
      </c>
      <c r="Z4" s="41">
        <v>0.24468184793183251</v>
      </c>
      <c r="AA4" s="41" t="s">
        <v>837</v>
      </c>
      <c r="AB4" s="6">
        <v>0</v>
      </c>
      <c r="AC4" s="7" t="s">
        <v>838</v>
      </c>
      <c r="AD4" s="7">
        <v>1</v>
      </c>
      <c r="AE4" s="7">
        <v>1</v>
      </c>
      <c r="AF4" s="7">
        <v>1</v>
      </c>
      <c r="AG4" s="42">
        <v>1</v>
      </c>
      <c r="AH4" s="42">
        <v>1</v>
      </c>
      <c r="AI4" s="40">
        <v>1.05</v>
      </c>
      <c r="AJ4" s="40">
        <v>1.0246950765959599</v>
      </c>
      <c r="AK4" s="41">
        <v>0</v>
      </c>
      <c r="AL4" s="41">
        <v>-1</v>
      </c>
      <c r="AM4" s="41" t="s">
        <v>744</v>
      </c>
      <c r="AN4" s="6">
        <v>0</v>
      </c>
      <c r="AO4" s="7" t="s">
        <v>839</v>
      </c>
      <c r="AP4" s="7">
        <v>1</v>
      </c>
      <c r="AQ4" s="7">
        <v>1</v>
      </c>
      <c r="AR4" s="7">
        <v>1</v>
      </c>
      <c r="AS4" s="42">
        <v>1</v>
      </c>
      <c r="AT4" s="42">
        <v>1</v>
      </c>
      <c r="AU4" s="40">
        <v>1.05</v>
      </c>
      <c r="AV4" s="40">
        <v>1.0246950765959599</v>
      </c>
      <c r="AW4" s="41">
        <v>0</v>
      </c>
      <c r="AX4" s="41">
        <v>-1</v>
      </c>
      <c r="AY4" s="41" t="s">
        <v>744</v>
      </c>
    </row>
    <row r="5" spans="1:51" x14ac:dyDescent="0.3">
      <c r="A5">
        <v>79</v>
      </c>
      <c r="B5" t="s">
        <v>1025</v>
      </c>
      <c r="C5" t="s">
        <v>692</v>
      </c>
      <c r="D5" s="6">
        <v>0.73259375000000004</v>
      </c>
      <c r="E5" s="7" t="s">
        <v>960</v>
      </c>
      <c r="F5" s="7">
        <v>3</v>
      </c>
      <c r="G5" s="7">
        <v>1</v>
      </c>
      <c r="H5" s="7">
        <v>1</v>
      </c>
      <c r="I5" s="42">
        <v>2</v>
      </c>
      <c r="J5" s="42">
        <v>1</v>
      </c>
      <c r="K5" s="40">
        <v>1.2354522921220721</v>
      </c>
      <c r="L5" s="40">
        <v>1.1115090157628376</v>
      </c>
      <c r="M5" s="41">
        <v>45.435080649730537</v>
      </c>
      <c r="N5" s="41">
        <v>16.584395560284271</v>
      </c>
      <c r="O5" s="41" t="s">
        <v>961</v>
      </c>
      <c r="P5" s="6">
        <v>0.89571686701428566</v>
      </c>
      <c r="Q5" s="42" t="s">
        <v>962</v>
      </c>
      <c r="R5" s="7">
        <v>3</v>
      </c>
      <c r="S5" s="42">
        <v>1</v>
      </c>
      <c r="T5" s="7">
        <v>1</v>
      </c>
      <c r="U5" s="7">
        <v>3</v>
      </c>
      <c r="V5" s="42">
        <v>1</v>
      </c>
      <c r="W5" s="40">
        <v>1.3000688016831126</v>
      </c>
      <c r="X5" s="40">
        <v>1.1402055962339039</v>
      </c>
      <c r="Y5" s="41">
        <v>16.12919487108617</v>
      </c>
      <c r="Z5" s="41">
        <v>1.8778288493111013</v>
      </c>
      <c r="AA5" s="41" t="s">
        <v>963</v>
      </c>
      <c r="AB5" s="6">
        <v>0.9</v>
      </c>
      <c r="AC5" s="42" t="s">
        <v>962</v>
      </c>
      <c r="AD5" s="7">
        <v>3</v>
      </c>
      <c r="AE5" s="7">
        <v>1</v>
      </c>
      <c r="AF5" s="7">
        <v>1</v>
      </c>
      <c r="AG5" s="42">
        <v>3</v>
      </c>
      <c r="AH5" s="42">
        <v>1</v>
      </c>
      <c r="AI5" s="40">
        <v>1.3000688016831126</v>
      </c>
      <c r="AJ5" s="40">
        <v>1.1402055962339039</v>
      </c>
      <c r="AK5" s="41">
        <v>15.58216710645304</v>
      </c>
      <c r="AL5" s="41">
        <v>1.731351900717004</v>
      </c>
      <c r="AM5" s="41" t="s">
        <v>773</v>
      </c>
      <c r="AN5" s="6">
        <v>0.97592997811816196</v>
      </c>
      <c r="AO5" s="42" t="s">
        <v>962</v>
      </c>
      <c r="AP5" s="7">
        <v>3</v>
      </c>
      <c r="AQ5" s="7">
        <v>1</v>
      </c>
      <c r="AR5" s="7">
        <v>1</v>
      </c>
      <c r="AS5" s="42">
        <v>3</v>
      </c>
      <c r="AT5" s="42">
        <v>1</v>
      </c>
      <c r="AU5" s="40">
        <v>1.3000688016831126</v>
      </c>
      <c r="AV5" s="40">
        <v>1.1402055962339039</v>
      </c>
      <c r="AW5" s="41">
        <v>3.688978165112387</v>
      </c>
      <c r="AX5" s="41">
        <v>9.0983766404117053E-2</v>
      </c>
      <c r="AY5" s="41" t="s">
        <v>964</v>
      </c>
    </row>
    <row r="6" spans="1:51" x14ac:dyDescent="0.3">
      <c r="A6">
        <v>5</v>
      </c>
      <c r="B6" t="s">
        <v>548</v>
      </c>
      <c r="C6" t="s">
        <v>3</v>
      </c>
      <c r="D6" s="6">
        <v>0.77600000000000002</v>
      </c>
      <c r="E6" s="7" t="s">
        <v>755</v>
      </c>
      <c r="F6" s="7">
        <v>3</v>
      </c>
      <c r="G6" s="7">
        <v>3</v>
      </c>
      <c r="H6" s="7">
        <v>3</v>
      </c>
      <c r="I6" s="7">
        <v>2</v>
      </c>
      <c r="J6" s="7">
        <v>1</v>
      </c>
      <c r="K6" s="40">
        <v>1.2684630087984967</v>
      </c>
      <c r="L6" s="40">
        <v>1.1262606309369501</v>
      </c>
      <c r="M6" s="41">
        <v>33.069079748915236</v>
      </c>
      <c r="N6" s="41">
        <v>9.5457137419549127</v>
      </c>
      <c r="O6" s="41" t="s">
        <v>756</v>
      </c>
      <c r="P6" s="6">
        <v>0.95</v>
      </c>
      <c r="Q6" s="7" t="s">
        <v>745</v>
      </c>
      <c r="R6" s="7">
        <v>4</v>
      </c>
      <c r="S6" s="7">
        <v>1</v>
      </c>
      <c r="T6" s="7">
        <v>1</v>
      </c>
      <c r="U6" s="7">
        <v>3</v>
      </c>
      <c r="V6" s="7">
        <v>1</v>
      </c>
      <c r="W6" s="40">
        <v>1.4707782003422192</v>
      </c>
      <c r="X6" s="40">
        <v>1.212756447248259</v>
      </c>
      <c r="Y6" s="41">
        <v>3.037601467121025</v>
      </c>
      <c r="Z6" s="41">
        <v>0.15987376142742252</v>
      </c>
      <c r="AA6" s="41" t="s">
        <v>757</v>
      </c>
      <c r="AB6" s="6">
        <v>0</v>
      </c>
      <c r="AC6" s="7" t="s">
        <v>758</v>
      </c>
      <c r="AD6" s="7">
        <v>1</v>
      </c>
      <c r="AE6" s="7">
        <v>1</v>
      </c>
      <c r="AF6" s="7">
        <v>1</v>
      </c>
      <c r="AG6" s="7">
        <v>1</v>
      </c>
      <c r="AH6" s="7">
        <v>1</v>
      </c>
      <c r="AI6" s="40">
        <v>1.05</v>
      </c>
      <c r="AJ6" s="40">
        <v>1.0246950765959599</v>
      </c>
      <c r="AK6" s="41">
        <v>0</v>
      </c>
      <c r="AL6" s="41">
        <v>-1</v>
      </c>
      <c r="AM6" s="41" t="s">
        <v>744</v>
      </c>
      <c r="AN6" s="6">
        <v>0</v>
      </c>
      <c r="AO6" s="7" t="s">
        <v>759</v>
      </c>
      <c r="AP6" s="7">
        <v>1</v>
      </c>
      <c r="AQ6" s="7">
        <v>1</v>
      </c>
      <c r="AR6" s="7">
        <v>1</v>
      </c>
      <c r="AS6" s="7">
        <v>1</v>
      </c>
      <c r="AT6" s="7">
        <v>1</v>
      </c>
      <c r="AU6" s="40">
        <v>1.05</v>
      </c>
      <c r="AV6" s="40">
        <v>1.0246950765959599</v>
      </c>
      <c r="AW6" s="41">
        <v>0</v>
      </c>
      <c r="AX6" s="41">
        <v>-1</v>
      </c>
      <c r="AY6" s="41" t="s">
        <v>744</v>
      </c>
    </row>
    <row r="7" spans="1:51" x14ac:dyDescent="0.3">
      <c r="A7">
        <v>56</v>
      </c>
      <c r="B7" t="s">
        <v>1007</v>
      </c>
      <c r="C7" t="s">
        <v>1008</v>
      </c>
      <c r="D7" s="6">
        <v>0.8</v>
      </c>
      <c r="E7" s="7" t="s">
        <v>906</v>
      </c>
      <c r="F7" s="7">
        <v>3</v>
      </c>
      <c r="G7" s="7">
        <v>2</v>
      </c>
      <c r="H7" s="7">
        <v>1</v>
      </c>
      <c r="I7" s="42">
        <v>3</v>
      </c>
      <c r="J7" s="42">
        <v>1</v>
      </c>
      <c r="K7" s="40">
        <v>1.3022280723042765</v>
      </c>
      <c r="L7" s="40">
        <v>1.1411520811461882</v>
      </c>
      <c r="M7" s="41">
        <v>24.897767139793061</v>
      </c>
      <c r="N7" s="41">
        <v>6.2244417849482634</v>
      </c>
      <c r="O7" s="41" t="s">
        <v>907</v>
      </c>
      <c r="P7" s="6">
        <v>0.95</v>
      </c>
      <c r="Q7" s="7" t="s">
        <v>745</v>
      </c>
      <c r="R7" s="7">
        <v>3</v>
      </c>
      <c r="S7" s="42">
        <v>1</v>
      </c>
      <c r="T7" s="7">
        <v>1</v>
      </c>
      <c r="U7" s="7">
        <v>3</v>
      </c>
      <c r="V7" s="42">
        <v>1</v>
      </c>
      <c r="W7" s="40">
        <v>1.3000688016831126</v>
      </c>
      <c r="X7" s="40">
        <v>1.1402055962339039</v>
      </c>
      <c r="Y7" s="41">
        <v>8.2321949466505444</v>
      </c>
      <c r="Z7" s="41">
        <v>0.43327341824476595</v>
      </c>
      <c r="AA7" s="41" t="s">
        <v>757</v>
      </c>
      <c r="AB7" s="6">
        <v>0</v>
      </c>
      <c r="AC7" s="7" t="s">
        <v>908</v>
      </c>
      <c r="AD7" s="7">
        <v>1</v>
      </c>
      <c r="AE7" s="7">
        <v>1</v>
      </c>
      <c r="AF7" s="7">
        <v>1</v>
      </c>
      <c r="AG7" s="7">
        <v>1</v>
      </c>
      <c r="AH7" s="7">
        <v>1</v>
      </c>
      <c r="AI7" s="40">
        <v>1.05</v>
      </c>
      <c r="AJ7" s="40">
        <v>1.0246950765959599</v>
      </c>
      <c r="AK7" s="41">
        <v>0</v>
      </c>
      <c r="AL7" s="41">
        <v>-1</v>
      </c>
      <c r="AM7" s="41" t="s">
        <v>744</v>
      </c>
      <c r="AN7" s="6">
        <v>0</v>
      </c>
      <c r="AO7" s="7" t="s">
        <v>909</v>
      </c>
      <c r="AP7" s="7">
        <v>3</v>
      </c>
      <c r="AQ7" s="7">
        <v>1</v>
      </c>
      <c r="AR7" s="7">
        <v>1</v>
      </c>
      <c r="AS7" s="42">
        <v>1</v>
      </c>
      <c r="AT7" s="42">
        <v>1</v>
      </c>
      <c r="AU7" s="40">
        <v>1.207723199572867</v>
      </c>
      <c r="AV7" s="40">
        <v>1.098964603421269</v>
      </c>
      <c r="AW7" s="41">
        <v>0</v>
      </c>
      <c r="AX7" s="41">
        <v>-1</v>
      </c>
      <c r="AY7" s="41" t="s">
        <v>744</v>
      </c>
    </row>
    <row r="8" spans="1:51" x14ac:dyDescent="0.3">
      <c r="A8">
        <v>4</v>
      </c>
      <c r="B8" t="s">
        <v>994</v>
      </c>
      <c r="C8" t="s">
        <v>684</v>
      </c>
      <c r="D8" s="6">
        <v>0.87</v>
      </c>
      <c r="E8" s="42" t="s">
        <v>747</v>
      </c>
      <c r="F8" s="7">
        <v>2</v>
      </c>
      <c r="G8" s="42">
        <v>2</v>
      </c>
      <c r="H8" s="42">
        <v>3</v>
      </c>
      <c r="I8" s="42">
        <v>3</v>
      </c>
      <c r="J8" s="42">
        <v>1</v>
      </c>
      <c r="K8" s="40">
        <v>1.2547562988440768</v>
      </c>
      <c r="L8" s="40">
        <v>1.1201590506906047</v>
      </c>
      <c r="M8" s="41">
        <v>26.390189577836431</v>
      </c>
      <c r="N8" s="41">
        <v>3.9433616610560183</v>
      </c>
      <c r="O8" s="41" t="s">
        <v>748</v>
      </c>
      <c r="P8" s="6">
        <v>0.91666666666666663</v>
      </c>
      <c r="Q8" s="7" t="s">
        <v>749</v>
      </c>
      <c r="R8" s="7">
        <v>2</v>
      </c>
      <c r="S8" s="42">
        <v>4</v>
      </c>
      <c r="T8" s="42">
        <v>3</v>
      </c>
      <c r="U8" s="42">
        <v>1</v>
      </c>
      <c r="V8" s="42">
        <v>1</v>
      </c>
      <c r="W8" s="40">
        <v>1.211850043459044</v>
      </c>
      <c r="X8" s="40">
        <v>1.1008406076535531</v>
      </c>
      <c r="Y8" s="41">
        <v>26.627568362933744</v>
      </c>
      <c r="Z8" s="41">
        <v>2.4206880329939779</v>
      </c>
      <c r="AA8" s="41" t="s">
        <v>750</v>
      </c>
      <c r="AB8" s="6">
        <v>0.85699999999999998</v>
      </c>
      <c r="AC8" s="7" t="s">
        <v>751</v>
      </c>
      <c r="AD8" s="7">
        <v>2</v>
      </c>
      <c r="AE8" s="42">
        <v>4</v>
      </c>
      <c r="AF8" s="42">
        <v>3</v>
      </c>
      <c r="AG8" s="42">
        <v>1</v>
      </c>
      <c r="AH8" s="42">
        <v>1</v>
      </c>
      <c r="AI8" s="40">
        <v>1.211850043459044</v>
      </c>
      <c r="AJ8" s="40">
        <v>1.1008406076535531</v>
      </c>
      <c r="AK8" s="41">
        <v>40.456003005163637</v>
      </c>
      <c r="AL8" s="41">
        <v>6.7505349238487762</v>
      </c>
      <c r="AM8" s="41" t="s">
        <v>752</v>
      </c>
      <c r="AN8" s="6">
        <v>1</v>
      </c>
      <c r="AO8" s="7" t="s">
        <v>753</v>
      </c>
      <c r="AP8" s="7">
        <v>3</v>
      </c>
      <c r="AQ8" s="42">
        <v>1</v>
      </c>
      <c r="AR8" s="42">
        <v>1</v>
      </c>
      <c r="AS8" s="42">
        <v>3</v>
      </c>
      <c r="AT8" s="42">
        <v>1</v>
      </c>
      <c r="AU8" s="40">
        <v>1.3000688016831126</v>
      </c>
      <c r="AV8" s="40">
        <v>1.1402055962339039</v>
      </c>
      <c r="AW8" s="41">
        <v>-1</v>
      </c>
      <c r="AX8" s="41">
        <v>0</v>
      </c>
      <c r="AY8" s="41" t="s">
        <v>754</v>
      </c>
    </row>
    <row r="9" spans="1:51" x14ac:dyDescent="0.3">
      <c r="A9">
        <v>83</v>
      </c>
      <c r="B9" t="s">
        <v>1029</v>
      </c>
      <c r="C9" t="s">
        <v>212</v>
      </c>
      <c r="D9" s="6">
        <v>0.75</v>
      </c>
      <c r="E9" s="7" t="s">
        <v>974</v>
      </c>
      <c r="F9" s="7">
        <v>3</v>
      </c>
      <c r="G9" s="7">
        <v>2</v>
      </c>
      <c r="H9" s="7">
        <v>2</v>
      </c>
      <c r="I9" s="42">
        <v>2</v>
      </c>
      <c r="J9" s="42">
        <v>1</v>
      </c>
      <c r="K9" s="40">
        <v>1.2405189828102605</v>
      </c>
      <c r="L9" s="40">
        <v>1.1137858783492725</v>
      </c>
      <c r="M9" s="41">
        <v>42.695599477946566</v>
      </c>
      <c r="N9" s="41">
        <v>14.231866492648855</v>
      </c>
      <c r="O9" s="41" t="s">
        <v>975</v>
      </c>
      <c r="P9" s="6">
        <v>0.95</v>
      </c>
      <c r="Q9" s="7" t="s">
        <v>870</v>
      </c>
      <c r="R9" s="7">
        <v>3</v>
      </c>
      <c r="S9" s="42">
        <v>1</v>
      </c>
      <c r="T9" s="7">
        <v>1</v>
      </c>
      <c r="U9" s="7">
        <v>3</v>
      </c>
      <c r="V9" s="42">
        <v>1</v>
      </c>
      <c r="W9" s="40">
        <v>1.3000688016831126</v>
      </c>
      <c r="X9" s="40">
        <v>1.1402055962339039</v>
      </c>
      <c r="Y9" s="41">
        <v>8.2321949466505444</v>
      </c>
      <c r="Z9" s="41">
        <v>0.43327341824476595</v>
      </c>
      <c r="AA9" s="41" t="s">
        <v>757</v>
      </c>
      <c r="AB9" s="6">
        <v>0</v>
      </c>
      <c r="AC9" s="7" t="s">
        <v>758</v>
      </c>
      <c r="AD9" s="7">
        <v>1</v>
      </c>
      <c r="AE9" s="7">
        <v>1</v>
      </c>
      <c r="AF9" s="7">
        <v>1</v>
      </c>
      <c r="AG9" s="7">
        <v>1</v>
      </c>
      <c r="AH9" s="7">
        <v>1</v>
      </c>
      <c r="AI9" s="40">
        <v>1.05</v>
      </c>
      <c r="AJ9" s="40">
        <v>1.0246950765959599</v>
      </c>
      <c r="AK9" s="41">
        <v>0</v>
      </c>
      <c r="AL9" s="41">
        <v>-1</v>
      </c>
      <c r="AM9" s="41" t="s">
        <v>744</v>
      </c>
      <c r="AN9" s="6">
        <v>0</v>
      </c>
      <c r="AO9" s="7" t="s">
        <v>976</v>
      </c>
      <c r="AP9" s="7">
        <v>1</v>
      </c>
      <c r="AQ9" s="7">
        <v>1</v>
      </c>
      <c r="AR9" s="7">
        <v>1</v>
      </c>
      <c r="AS9" s="42">
        <v>1</v>
      </c>
      <c r="AT9" s="42">
        <v>1</v>
      </c>
      <c r="AU9" s="40">
        <v>1.05</v>
      </c>
      <c r="AV9" s="40">
        <v>1.0246950765959599</v>
      </c>
      <c r="AW9" s="41">
        <v>0</v>
      </c>
      <c r="AX9" s="41">
        <v>-1</v>
      </c>
      <c r="AY9" s="41" t="s">
        <v>744</v>
      </c>
    </row>
    <row r="10" spans="1:51" x14ac:dyDescent="0.3">
      <c r="A10">
        <v>48</v>
      </c>
      <c r="B10" t="s">
        <v>551</v>
      </c>
      <c r="C10" t="s">
        <v>4</v>
      </c>
      <c r="D10" s="6">
        <v>0.76275975333501123</v>
      </c>
      <c r="E10" s="7" t="s">
        <v>883</v>
      </c>
      <c r="F10" s="7">
        <v>2</v>
      </c>
      <c r="G10" s="7">
        <v>4</v>
      </c>
      <c r="H10" s="7">
        <v>3</v>
      </c>
      <c r="I10" s="42">
        <v>2</v>
      </c>
      <c r="J10" s="42">
        <v>1</v>
      </c>
      <c r="K10" s="40">
        <v>1.2392267911663479</v>
      </c>
      <c r="L10" s="40">
        <v>1.1132056374122203</v>
      </c>
      <c r="M10" s="41">
        <v>42.318439943559397</v>
      </c>
      <c r="N10" s="41">
        <v>13.162253365874749</v>
      </c>
      <c r="O10" s="41" t="s">
        <v>884</v>
      </c>
      <c r="P10" s="6">
        <v>0.998</v>
      </c>
      <c r="Q10" s="42" t="s">
        <v>885</v>
      </c>
      <c r="R10" s="7">
        <v>3</v>
      </c>
      <c r="S10" s="42">
        <v>1</v>
      </c>
      <c r="T10" s="7">
        <v>1</v>
      </c>
      <c r="U10" s="7">
        <v>1</v>
      </c>
      <c r="V10" s="42">
        <v>1</v>
      </c>
      <c r="W10" s="40">
        <v>1.207723199572867</v>
      </c>
      <c r="X10" s="40">
        <v>1.098964603421269</v>
      </c>
      <c r="Y10" s="41">
        <v>-0.18443680678612218</v>
      </c>
      <c r="Z10" s="41">
        <v>-3.6961283925074617E-4</v>
      </c>
      <c r="AA10" s="41" t="s">
        <v>886</v>
      </c>
      <c r="AB10" s="6">
        <v>0</v>
      </c>
      <c r="AC10" s="7" t="s">
        <v>743</v>
      </c>
      <c r="AD10" s="7">
        <v>1</v>
      </c>
      <c r="AE10" s="7">
        <v>1</v>
      </c>
      <c r="AF10" s="7">
        <v>1</v>
      </c>
      <c r="AG10" s="7">
        <v>1</v>
      </c>
      <c r="AH10" s="7">
        <v>1</v>
      </c>
      <c r="AI10" s="40">
        <v>1.05</v>
      </c>
      <c r="AJ10" s="40">
        <v>1.0246950765959599</v>
      </c>
      <c r="AK10" s="41">
        <v>0</v>
      </c>
      <c r="AL10" s="41">
        <v>-1</v>
      </c>
      <c r="AM10" s="41" t="s">
        <v>744</v>
      </c>
      <c r="AN10" s="6">
        <v>1</v>
      </c>
      <c r="AO10" s="7" t="s">
        <v>801</v>
      </c>
      <c r="AP10" s="7">
        <v>2</v>
      </c>
      <c r="AQ10" s="7">
        <v>1</v>
      </c>
      <c r="AR10" s="7">
        <v>1</v>
      </c>
      <c r="AS10" s="7">
        <v>1</v>
      </c>
      <c r="AT10" s="7">
        <v>1</v>
      </c>
      <c r="AU10" s="40">
        <v>1.1130148943987077</v>
      </c>
      <c r="AV10" s="40">
        <v>1.0549952106046301</v>
      </c>
      <c r="AW10" s="41">
        <v>-1</v>
      </c>
      <c r="AX10" s="41">
        <v>0</v>
      </c>
      <c r="AY10" s="41" t="s">
        <v>754</v>
      </c>
    </row>
    <row r="11" spans="1:51" x14ac:dyDescent="0.3">
      <c r="A11">
        <v>58</v>
      </c>
      <c r="B11" t="s">
        <v>984</v>
      </c>
      <c r="C11" t="s">
        <v>1010</v>
      </c>
      <c r="D11" s="6">
        <v>0.58151300579436283</v>
      </c>
      <c r="E11" s="7" t="s">
        <v>847</v>
      </c>
      <c r="F11" s="7">
        <v>3</v>
      </c>
      <c r="G11" s="7">
        <v>1</v>
      </c>
      <c r="H11" s="7">
        <v>1</v>
      </c>
      <c r="I11" s="7">
        <v>3</v>
      </c>
      <c r="J11" s="7">
        <v>3</v>
      </c>
      <c r="K11" s="40">
        <v>1.3713425173473328</v>
      </c>
      <c r="L11" s="40">
        <v>1.1710433456312934</v>
      </c>
      <c r="M11" s="41">
        <v>18.767038411249729</v>
      </c>
      <c r="N11" s="41">
        <v>13.505736615705061</v>
      </c>
      <c r="O11" s="41" t="s">
        <v>912</v>
      </c>
      <c r="P11" s="6">
        <v>0.8547854785478548</v>
      </c>
      <c r="Q11" s="7" t="s">
        <v>849</v>
      </c>
      <c r="R11" s="7">
        <v>1</v>
      </c>
      <c r="S11" s="7">
        <v>3</v>
      </c>
      <c r="T11" s="7">
        <v>1</v>
      </c>
      <c r="U11" s="7">
        <v>3</v>
      </c>
      <c r="V11" s="7">
        <v>2</v>
      </c>
      <c r="W11" s="40">
        <v>1.2456465205819256</v>
      </c>
      <c r="X11" s="40">
        <v>1.1160853554195242</v>
      </c>
      <c r="Y11" s="41">
        <v>30.639331747618421</v>
      </c>
      <c r="Z11" s="41">
        <v>5.2051374397498469</v>
      </c>
      <c r="AA11" s="41" t="s">
        <v>913</v>
      </c>
      <c r="AB11" s="6">
        <v>0</v>
      </c>
      <c r="AC11" s="7" t="s">
        <v>849</v>
      </c>
      <c r="AD11" s="7">
        <v>1</v>
      </c>
      <c r="AE11" s="7">
        <v>3</v>
      </c>
      <c r="AF11" s="7">
        <v>1</v>
      </c>
      <c r="AG11" s="7">
        <v>3</v>
      </c>
      <c r="AH11" s="7">
        <v>2</v>
      </c>
      <c r="AI11" s="40">
        <v>1.2456465205819256</v>
      </c>
      <c r="AJ11" s="40">
        <v>1.1160853554195242</v>
      </c>
      <c r="AK11" s="41">
        <v>0</v>
      </c>
      <c r="AL11" s="41">
        <v>-1</v>
      </c>
      <c r="AM11" s="41" t="s">
        <v>744</v>
      </c>
      <c r="AN11" s="6">
        <v>1</v>
      </c>
      <c r="AO11" s="42" t="s">
        <v>851</v>
      </c>
      <c r="AP11" s="7">
        <v>1</v>
      </c>
      <c r="AQ11" s="7">
        <v>1</v>
      </c>
      <c r="AR11" s="7">
        <v>1</v>
      </c>
      <c r="AS11" s="7">
        <v>1</v>
      </c>
      <c r="AT11" s="7">
        <v>1</v>
      </c>
      <c r="AU11" s="40">
        <v>1.05</v>
      </c>
      <c r="AV11" s="40">
        <v>1.0246950765959599</v>
      </c>
      <c r="AW11" s="41">
        <v>-1</v>
      </c>
      <c r="AX11" s="41">
        <v>0</v>
      </c>
      <c r="AY11" s="41" t="s">
        <v>754</v>
      </c>
    </row>
    <row r="12" spans="1:51" x14ac:dyDescent="0.3">
      <c r="A12">
        <v>27</v>
      </c>
      <c r="B12" t="s">
        <v>528</v>
      </c>
      <c r="C12" t="s">
        <v>6</v>
      </c>
      <c r="D12" s="6">
        <v>0.43934656568697839</v>
      </c>
      <c r="E12" s="42" t="s">
        <v>806</v>
      </c>
      <c r="F12" s="7">
        <v>1</v>
      </c>
      <c r="G12" s="7">
        <v>4</v>
      </c>
      <c r="H12" s="7">
        <v>1</v>
      </c>
      <c r="I12" s="42">
        <v>2</v>
      </c>
      <c r="J12" s="42">
        <v>1</v>
      </c>
      <c r="K12" s="40">
        <v>1.1925122738235221</v>
      </c>
      <c r="L12" s="40">
        <v>1.0920221031753534</v>
      </c>
      <c r="M12" s="41">
        <v>50.679923065789559</v>
      </c>
      <c r="N12" s="41">
        <v>64.673028394169108</v>
      </c>
      <c r="O12" s="41" t="s">
        <v>807</v>
      </c>
      <c r="P12" s="6">
        <v>0.94001342851084879</v>
      </c>
      <c r="Q12" s="42" t="s">
        <v>806</v>
      </c>
      <c r="R12" s="7">
        <v>1</v>
      </c>
      <c r="S12" s="42">
        <v>4</v>
      </c>
      <c r="T12" s="7">
        <v>1</v>
      </c>
      <c r="U12" s="7">
        <v>2</v>
      </c>
      <c r="V12" s="42">
        <v>1</v>
      </c>
      <c r="W12" s="40">
        <v>1.1925122738235221</v>
      </c>
      <c r="X12" s="40">
        <v>1.0920221031753534</v>
      </c>
      <c r="Y12" s="41">
        <v>24.097882949053627</v>
      </c>
      <c r="Z12" s="41">
        <v>1.5377965190886844</v>
      </c>
      <c r="AA12" s="41" t="s">
        <v>808</v>
      </c>
      <c r="AB12" s="6">
        <v>4.6833578792341679E-2</v>
      </c>
      <c r="AC12" s="42" t="s">
        <v>806</v>
      </c>
      <c r="AD12" s="7">
        <v>1</v>
      </c>
      <c r="AE12" s="7">
        <v>4</v>
      </c>
      <c r="AF12" s="7">
        <v>1</v>
      </c>
      <c r="AG12" s="42">
        <v>2</v>
      </c>
      <c r="AH12" s="42">
        <v>1</v>
      </c>
      <c r="AI12" s="40">
        <v>1.1925122738235221</v>
      </c>
      <c r="AJ12" s="40">
        <v>1.0920221031753534</v>
      </c>
      <c r="AK12" s="41">
        <v>0.94071645291148431</v>
      </c>
      <c r="AL12" s="41">
        <v>19.145650576236246</v>
      </c>
      <c r="AM12" s="41" t="s">
        <v>809</v>
      </c>
      <c r="AN12" s="6">
        <v>0.3087577707492638</v>
      </c>
      <c r="AO12" s="42" t="s">
        <v>806</v>
      </c>
      <c r="AP12" s="7">
        <v>1</v>
      </c>
      <c r="AQ12" s="7">
        <v>4</v>
      </c>
      <c r="AR12" s="7">
        <v>1</v>
      </c>
      <c r="AS12" s="42">
        <v>2</v>
      </c>
      <c r="AT12" s="42">
        <v>1</v>
      </c>
      <c r="AU12" s="40">
        <v>1.1925122738235221</v>
      </c>
      <c r="AV12" s="40">
        <v>1.0920221031753534</v>
      </c>
      <c r="AW12" s="41">
        <v>30.818562697751112</v>
      </c>
      <c r="AX12" s="41">
        <v>68.996132242439614</v>
      </c>
      <c r="AY12" s="41" t="s">
        <v>810</v>
      </c>
    </row>
    <row r="13" spans="1:51" x14ac:dyDescent="0.3">
      <c r="A13">
        <v>24</v>
      </c>
      <c r="B13" t="s">
        <v>527</v>
      </c>
      <c r="C13" t="s">
        <v>5</v>
      </c>
      <c r="D13" s="6">
        <v>0.75144508670520227</v>
      </c>
      <c r="E13" s="42" t="s">
        <v>788</v>
      </c>
      <c r="F13" s="7">
        <v>1</v>
      </c>
      <c r="G13" s="7">
        <v>4</v>
      </c>
      <c r="H13" s="7">
        <v>1</v>
      </c>
      <c r="I13" s="42">
        <v>2</v>
      </c>
      <c r="J13" s="42">
        <v>1</v>
      </c>
      <c r="K13" s="40">
        <v>1.1925122738235221</v>
      </c>
      <c r="L13" s="40">
        <v>1.0920221031753534</v>
      </c>
      <c r="M13" s="41">
        <v>65.54534970436913</v>
      </c>
      <c r="N13" s="41">
        <v>21.68038490221441</v>
      </c>
      <c r="O13" s="41" t="s">
        <v>789</v>
      </c>
      <c r="P13" s="6">
        <v>0.73451327433628322</v>
      </c>
      <c r="Q13" s="42" t="s">
        <v>788</v>
      </c>
      <c r="R13" s="7">
        <v>1</v>
      </c>
      <c r="S13" s="42">
        <v>4</v>
      </c>
      <c r="T13" s="7">
        <v>1</v>
      </c>
      <c r="U13" s="7">
        <v>2</v>
      </c>
      <c r="V13" s="42">
        <v>1</v>
      </c>
      <c r="W13" s="40">
        <v>1.1925122738235221</v>
      </c>
      <c r="X13" s="40">
        <v>1.0920221031753534</v>
      </c>
      <c r="Y13" s="41">
        <v>66.923274053289035</v>
      </c>
      <c r="Z13" s="41">
        <v>24.189135199983983</v>
      </c>
      <c r="AA13" s="41" t="s">
        <v>790</v>
      </c>
      <c r="AB13" s="6">
        <v>0.67682926829268297</v>
      </c>
      <c r="AC13" s="42" t="s">
        <v>791</v>
      </c>
      <c r="AD13" s="7">
        <v>1</v>
      </c>
      <c r="AE13" s="7">
        <v>4</v>
      </c>
      <c r="AF13" s="7">
        <v>1</v>
      </c>
      <c r="AG13" s="42">
        <v>2</v>
      </c>
      <c r="AH13" s="42">
        <v>1</v>
      </c>
      <c r="AI13" s="40">
        <v>1.1925122738235221</v>
      </c>
      <c r="AJ13" s="40">
        <v>1.0920221031753534</v>
      </c>
      <c r="AK13" s="41">
        <v>69.253563031311018</v>
      </c>
      <c r="AL13" s="41">
        <v>33.067016582517866</v>
      </c>
      <c r="AM13" s="41" t="s">
        <v>792</v>
      </c>
      <c r="AN13" s="6">
        <v>0.51707317073170733</v>
      </c>
      <c r="AO13" s="42" t="s">
        <v>793</v>
      </c>
      <c r="AP13" s="7">
        <v>3</v>
      </c>
      <c r="AQ13" s="7">
        <v>2</v>
      </c>
      <c r="AR13" s="7">
        <v>1</v>
      </c>
      <c r="AS13" s="42">
        <v>2</v>
      </c>
      <c r="AT13" s="42">
        <v>1</v>
      </c>
      <c r="AU13" s="40">
        <v>1.2379951868875012</v>
      </c>
      <c r="AV13" s="40">
        <v>1.1126523207577024</v>
      </c>
      <c r="AW13" s="41">
        <v>40.180175246958292</v>
      </c>
      <c r="AX13" s="41">
        <v>37.526767447630853</v>
      </c>
      <c r="AY13" s="41" t="s">
        <v>794</v>
      </c>
    </row>
    <row r="14" spans="1:51" x14ac:dyDescent="0.3">
      <c r="A14">
        <v>29</v>
      </c>
      <c r="B14" t="s">
        <v>529</v>
      </c>
      <c r="C14" t="s">
        <v>7</v>
      </c>
      <c r="D14" s="6">
        <v>0.8347457627118644</v>
      </c>
      <c r="E14" s="42" t="s">
        <v>815</v>
      </c>
      <c r="F14" s="7">
        <v>1</v>
      </c>
      <c r="G14" s="7">
        <v>3</v>
      </c>
      <c r="H14" s="7">
        <v>1</v>
      </c>
      <c r="I14" s="42">
        <v>2</v>
      </c>
      <c r="J14" s="42">
        <v>1</v>
      </c>
      <c r="K14" s="40">
        <v>1.1409505340208952</v>
      </c>
      <c r="L14" s="40">
        <v>1.0681528607932926</v>
      </c>
      <c r="M14" s="41">
        <v>98.328985712214077</v>
      </c>
      <c r="N14" s="41">
        <v>19.466144379575375</v>
      </c>
      <c r="O14" s="41" t="s">
        <v>816</v>
      </c>
      <c r="P14" s="6">
        <v>0.82411067193675891</v>
      </c>
      <c r="Q14" s="42" t="s">
        <v>815</v>
      </c>
      <c r="R14" s="7">
        <v>1</v>
      </c>
      <c r="S14" s="42">
        <v>3</v>
      </c>
      <c r="T14" s="7">
        <v>1</v>
      </c>
      <c r="U14" s="7">
        <v>2</v>
      </c>
      <c r="V14" s="42">
        <v>1</v>
      </c>
      <c r="W14" s="40">
        <v>1.1409505340208952</v>
      </c>
      <c r="X14" s="40">
        <v>1.0681528607932926</v>
      </c>
      <c r="Y14" s="41">
        <v>102.04911940449594</v>
      </c>
      <c r="Z14" s="41">
        <v>21.780267690647811</v>
      </c>
      <c r="AA14" s="41" t="s">
        <v>817</v>
      </c>
      <c r="AB14" s="6">
        <v>0.92307692307692313</v>
      </c>
      <c r="AC14" s="42" t="s">
        <v>815</v>
      </c>
      <c r="AD14" s="7">
        <v>1</v>
      </c>
      <c r="AE14" s="7">
        <v>3</v>
      </c>
      <c r="AF14" s="7">
        <v>1</v>
      </c>
      <c r="AG14" s="42">
        <v>2</v>
      </c>
      <c r="AH14" s="42">
        <v>1</v>
      </c>
      <c r="AI14" s="40">
        <v>1.1409505340208952</v>
      </c>
      <c r="AJ14" s="40">
        <v>1.0681528607932926</v>
      </c>
      <c r="AK14" s="41">
        <v>55.521762957159901</v>
      </c>
      <c r="AL14" s="41">
        <v>4.6268135797633221</v>
      </c>
      <c r="AM14" s="41" t="s">
        <v>818</v>
      </c>
      <c r="AN14" s="6">
        <v>1</v>
      </c>
      <c r="AO14" s="42" t="s">
        <v>815</v>
      </c>
      <c r="AP14" s="7">
        <v>1</v>
      </c>
      <c r="AQ14" s="7">
        <v>3</v>
      </c>
      <c r="AR14" s="7">
        <v>1</v>
      </c>
      <c r="AS14" s="42">
        <v>2</v>
      </c>
      <c r="AT14" s="42">
        <v>1</v>
      </c>
      <c r="AU14" s="40">
        <v>1.1409505340208952</v>
      </c>
      <c r="AV14" s="40">
        <v>1.0681528607932926</v>
      </c>
      <c r="AW14" s="41">
        <v>-1</v>
      </c>
      <c r="AX14" s="41">
        <v>0</v>
      </c>
      <c r="AY14" s="41" t="s">
        <v>754</v>
      </c>
    </row>
    <row r="15" spans="1:51" x14ac:dyDescent="0.3">
      <c r="A15">
        <v>66</v>
      </c>
      <c r="B15" t="s">
        <v>530</v>
      </c>
      <c r="C15" t="s">
        <v>8</v>
      </c>
      <c r="D15" s="6">
        <v>0.6621811901957797</v>
      </c>
      <c r="E15" s="7" t="s">
        <v>847</v>
      </c>
      <c r="F15" s="7">
        <v>3</v>
      </c>
      <c r="G15" s="7">
        <v>1</v>
      </c>
      <c r="H15" s="7">
        <v>1</v>
      </c>
      <c r="I15" s="7">
        <v>3</v>
      </c>
      <c r="J15" s="7">
        <v>3</v>
      </c>
      <c r="K15" s="40">
        <v>1.3713425173473328</v>
      </c>
      <c r="L15" s="40">
        <v>1.1710433456312934</v>
      </c>
      <c r="M15" s="41">
        <v>19.590621580155791</v>
      </c>
      <c r="N15" s="41">
        <v>9.9943649314116119</v>
      </c>
      <c r="O15" s="41" t="s">
        <v>931</v>
      </c>
      <c r="P15" s="6">
        <v>0.5625</v>
      </c>
      <c r="Q15" s="7" t="s">
        <v>849</v>
      </c>
      <c r="R15" s="7">
        <v>1</v>
      </c>
      <c r="S15" s="7">
        <v>3</v>
      </c>
      <c r="T15" s="7">
        <v>1</v>
      </c>
      <c r="U15" s="7">
        <v>3</v>
      </c>
      <c r="V15" s="7">
        <v>2</v>
      </c>
      <c r="W15" s="40">
        <v>1.2456465205819256</v>
      </c>
      <c r="X15" s="40">
        <v>1.1160853554195242</v>
      </c>
      <c r="Y15" s="41">
        <v>40.526751634223146</v>
      </c>
      <c r="Z15" s="41">
        <v>31.520806826617999</v>
      </c>
      <c r="AA15" s="41" t="s">
        <v>932</v>
      </c>
      <c r="AB15" s="6">
        <v>0.5714285714285714</v>
      </c>
      <c r="AC15" s="7" t="s">
        <v>849</v>
      </c>
      <c r="AD15" s="7">
        <v>3</v>
      </c>
      <c r="AE15" s="7">
        <v>3</v>
      </c>
      <c r="AF15" s="7">
        <v>1</v>
      </c>
      <c r="AG15" s="7">
        <v>3</v>
      </c>
      <c r="AH15" s="7">
        <v>2</v>
      </c>
      <c r="AI15" s="40">
        <v>1.3303783351797707</v>
      </c>
      <c r="AJ15" s="40">
        <v>1.1534202769068049</v>
      </c>
      <c r="AK15" s="41">
        <v>23.210199575273055</v>
      </c>
      <c r="AL15" s="41">
        <v>17.407649681454796</v>
      </c>
      <c r="AM15" s="41" t="s">
        <v>933</v>
      </c>
      <c r="AN15" s="6">
        <v>1</v>
      </c>
      <c r="AO15" s="42" t="s">
        <v>917</v>
      </c>
      <c r="AP15" s="7">
        <v>1</v>
      </c>
      <c r="AQ15" s="7">
        <v>1</v>
      </c>
      <c r="AR15" s="7">
        <v>1</v>
      </c>
      <c r="AS15" s="7">
        <v>1</v>
      </c>
      <c r="AT15" s="7">
        <v>1</v>
      </c>
      <c r="AU15" s="40">
        <v>1.05</v>
      </c>
      <c r="AV15" s="40">
        <v>1.0246950765959599</v>
      </c>
      <c r="AW15" s="41">
        <v>-1</v>
      </c>
      <c r="AX15" s="41">
        <v>0</v>
      </c>
      <c r="AY15" s="41" t="s">
        <v>754</v>
      </c>
    </row>
    <row r="16" spans="1:51" x14ac:dyDescent="0.3">
      <c r="A16">
        <v>68</v>
      </c>
      <c r="B16" t="s">
        <v>989</v>
      </c>
      <c r="C16" t="s">
        <v>1015</v>
      </c>
      <c r="D16" s="6">
        <v>0.66749104784218516</v>
      </c>
      <c r="E16" s="7" t="s">
        <v>847</v>
      </c>
      <c r="F16" s="7">
        <v>4</v>
      </c>
      <c r="G16" s="7">
        <v>1</v>
      </c>
      <c r="H16" s="7">
        <v>1</v>
      </c>
      <c r="I16" s="7">
        <v>3</v>
      </c>
      <c r="J16" s="7">
        <v>3</v>
      </c>
      <c r="K16" s="40">
        <v>1.5279171865856971</v>
      </c>
      <c r="L16" s="40">
        <v>1.2360894735356729</v>
      </c>
      <c r="M16" s="41">
        <v>9.9641664479370533</v>
      </c>
      <c r="N16" s="41">
        <v>4.9636239398868147</v>
      </c>
      <c r="O16" s="41" t="s">
        <v>938</v>
      </c>
      <c r="P16" s="6">
        <v>0.85</v>
      </c>
      <c r="Q16" s="7" t="s">
        <v>935</v>
      </c>
      <c r="R16" s="7">
        <v>3</v>
      </c>
      <c r="S16" s="7">
        <v>3</v>
      </c>
      <c r="T16" s="7">
        <v>1</v>
      </c>
      <c r="U16" s="7">
        <v>3</v>
      </c>
      <c r="V16" s="7">
        <v>3</v>
      </c>
      <c r="W16" s="40">
        <v>1.3840763218302521</v>
      </c>
      <c r="X16" s="40">
        <v>1.1764677308920344</v>
      </c>
      <c r="Y16" s="41">
        <v>13.070617457485042</v>
      </c>
      <c r="Z16" s="41">
        <v>2.3065795513208904</v>
      </c>
      <c r="AA16" s="41" t="s">
        <v>936</v>
      </c>
      <c r="AB16" s="6">
        <v>0</v>
      </c>
      <c r="AC16" s="42" t="s">
        <v>939</v>
      </c>
      <c r="AD16" s="7">
        <v>3</v>
      </c>
      <c r="AE16" s="7">
        <v>1</v>
      </c>
      <c r="AF16" s="7">
        <v>1</v>
      </c>
      <c r="AG16" s="7">
        <v>3</v>
      </c>
      <c r="AH16" s="7">
        <v>3</v>
      </c>
      <c r="AI16" s="40">
        <v>1.3713425173473328</v>
      </c>
      <c r="AJ16" s="40">
        <v>1.1710433456312934</v>
      </c>
      <c r="AK16" s="41">
        <v>0</v>
      </c>
      <c r="AL16" s="41">
        <v>-1</v>
      </c>
      <c r="AM16" s="41" t="s">
        <v>744</v>
      </c>
      <c r="AN16" s="6">
        <v>0</v>
      </c>
      <c r="AO16" s="42" t="s">
        <v>923</v>
      </c>
      <c r="AP16" s="7">
        <v>3</v>
      </c>
      <c r="AQ16" s="7">
        <v>1</v>
      </c>
      <c r="AR16" s="7">
        <v>1</v>
      </c>
      <c r="AS16" s="7">
        <v>3</v>
      </c>
      <c r="AT16" s="7">
        <v>3</v>
      </c>
      <c r="AU16" s="40">
        <v>1.3713425173473328</v>
      </c>
      <c r="AV16" s="40">
        <v>1.1710433456312934</v>
      </c>
      <c r="AW16" s="41">
        <v>0</v>
      </c>
      <c r="AX16" s="41">
        <v>-1</v>
      </c>
      <c r="AY16" s="41" t="s">
        <v>744</v>
      </c>
    </row>
    <row r="17" spans="1:51" x14ac:dyDescent="0.3">
      <c r="A17">
        <v>63</v>
      </c>
      <c r="B17" t="s">
        <v>986</v>
      </c>
      <c r="C17" t="s">
        <v>1012</v>
      </c>
      <c r="D17" s="6">
        <v>0.61816718448448926</v>
      </c>
      <c r="E17" s="7" t="s">
        <v>847</v>
      </c>
      <c r="F17" s="7">
        <v>3</v>
      </c>
      <c r="G17" s="7">
        <v>1</v>
      </c>
      <c r="H17" s="7">
        <v>1</v>
      </c>
      <c r="I17" s="7">
        <v>3</v>
      </c>
      <c r="J17" s="7">
        <v>3</v>
      </c>
      <c r="K17" s="40">
        <v>1.3713425173473328</v>
      </c>
      <c r="L17" s="40">
        <v>1.1710433456312934</v>
      </c>
      <c r="M17" s="41">
        <v>19.33136743805197</v>
      </c>
      <c r="N17" s="41">
        <v>11.940702518513353</v>
      </c>
      <c r="O17" s="41" t="s">
        <v>924</v>
      </c>
      <c r="P17" s="6">
        <v>0.8</v>
      </c>
      <c r="Q17" s="7" t="s">
        <v>849</v>
      </c>
      <c r="R17" s="7">
        <v>3</v>
      </c>
      <c r="S17" s="7">
        <v>3</v>
      </c>
      <c r="T17" s="7">
        <v>1</v>
      </c>
      <c r="U17" s="7">
        <v>3</v>
      </c>
      <c r="V17" s="7">
        <v>2</v>
      </c>
      <c r="W17" s="40">
        <v>1.3303783351797707</v>
      </c>
      <c r="X17" s="40">
        <v>1.1534202769068049</v>
      </c>
      <c r="Y17" s="41">
        <v>20.952262544849756</v>
      </c>
      <c r="Z17" s="41">
        <v>5.2380656362124371</v>
      </c>
      <c r="AA17" s="41" t="s">
        <v>925</v>
      </c>
      <c r="AB17" s="6">
        <v>0</v>
      </c>
      <c r="AC17" s="7" t="s">
        <v>849</v>
      </c>
      <c r="AD17" s="7">
        <v>1</v>
      </c>
      <c r="AE17" s="7">
        <v>3</v>
      </c>
      <c r="AF17" s="7">
        <v>1</v>
      </c>
      <c r="AG17" s="7">
        <v>3</v>
      </c>
      <c r="AH17" s="7">
        <v>2</v>
      </c>
      <c r="AI17" s="40">
        <v>1.2456465205819256</v>
      </c>
      <c r="AJ17" s="40">
        <v>1.1160853554195242</v>
      </c>
      <c r="AK17" s="41">
        <v>0</v>
      </c>
      <c r="AL17" s="41">
        <v>-1</v>
      </c>
      <c r="AM17" s="41" t="s">
        <v>744</v>
      </c>
      <c r="AN17" s="6">
        <v>1</v>
      </c>
      <c r="AO17" s="42" t="s">
        <v>926</v>
      </c>
      <c r="AP17" s="7">
        <v>1</v>
      </c>
      <c r="AQ17" s="7">
        <v>1</v>
      </c>
      <c r="AR17" s="7">
        <v>1</v>
      </c>
      <c r="AS17" s="7">
        <v>1</v>
      </c>
      <c r="AT17" s="7">
        <v>1</v>
      </c>
      <c r="AU17" s="40">
        <v>1.05</v>
      </c>
      <c r="AV17" s="40">
        <v>1.0246950765959599</v>
      </c>
      <c r="AW17" s="41">
        <v>-1</v>
      </c>
      <c r="AX17" s="41">
        <v>0</v>
      </c>
      <c r="AY17" s="41" t="s">
        <v>754</v>
      </c>
    </row>
    <row r="18" spans="1:51" x14ac:dyDescent="0.3">
      <c r="A18">
        <v>26</v>
      </c>
      <c r="B18" t="s">
        <v>1000</v>
      </c>
      <c r="C18" t="s">
        <v>695</v>
      </c>
      <c r="D18" s="6">
        <v>0.87408949011446413</v>
      </c>
      <c r="E18" s="42" t="s">
        <v>802</v>
      </c>
      <c r="F18" s="7">
        <v>1</v>
      </c>
      <c r="G18" s="7">
        <v>1</v>
      </c>
      <c r="H18" s="7">
        <v>1</v>
      </c>
      <c r="I18" s="42">
        <v>1</v>
      </c>
      <c r="J18" s="42">
        <v>1</v>
      </c>
      <c r="K18" s="40">
        <v>1.05</v>
      </c>
      <c r="L18" s="40">
        <v>1.0246950765959599</v>
      </c>
      <c r="M18" s="41">
        <v>630.10216489349875</v>
      </c>
      <c r="N18" s="41">
        <v>90.764716609658734</v>
      </c>
      <c r="O18" s="41" t="s">
        <v>803</v>
      </c>
      <c r="P18" s="6">
        <v>0.88809523809523805</v>
      </c>
      <c r="Q18" s="42" t="s">
        <v>802</v>
      </c>
      <c r="R18" s="7">
        <v>1</v>
      </c>
      <c r="S18" s="42">
        <v>4</v>
      </c>
      <c r="T18" s="7">
        <v>1</v>
      </c>
      <c r="U18" s="7">
        <v>1</v>
      </c>
      <c r="V18" s="42">
        <v>1</v>
      </c>
      <c r="W18" s="40">
        <v>1.1595515978754811</v>
      </c>
      <c r="X18" s="40">
        <v>1.0768247758458573</v>
      </c>
      <c r="Y18" s="41">
        <v>58.928961239950219</v>
      </c>
      <c r="Z18" s="41">
        <v>7.4253650892162506</v>
      </c>
      <c r="AA18" s="41" t="s">
        <v>804</v>
      </c>
      <c r="AB18" s="6">
        <v>1</v>
      </c>
      <c r="AC18" s="42" t="s">
        <v>802</v>
      </c>
      <c r="AD18" s="7">
        <v>1</v>
      </c>
      <c r="AE18" s="7">
        <v>4</v>
      </c>
      <c r="AF18" s="7">
        <v>1</v>
      </c>
      <c r="AG18" s="42">
        <v>1</v>
      </c>
      <c r="AH18" s="42">
        <v>1</v>
      </c>
      <c r="AI18" s="40">
        <v>1.1595515978754811</v>
      </c>
      <c r="AJ18" s="40">
        <v>1.0768247758458573</v>
      </c>
      <c r="AK18" s="41">
        <v>-1</v>
      </c>
      <c r="AL18" s="41">
        <v>0</v>
      </c>
      <c r="AM18" s="41" t="s">
        <v>754</v>
      </c>
      <c r="AN18" s="6">
        <v>0.94</v>
      </c>
      <c r="AO18" s="42" t="s">
        <v>802</v>
      </c>
      <c r="AP18" s="7">
        <v>1</v>
      </c>
      <c r="AQ18" s="7">
        <v>4</v>
      </c>
      <c r="AR18" s="7">
        <v>1</v>
      </c>
      <c r="AS18" s="42">
        <v>1</v>
      </c>
      <c r="AT18" s="42">
        <v>1</v>
      </c>
      <c r="AU18" s="40">
        <v>1.1595515978754811</v>
      </c>
      <c r="AV18" s="40">
        <v>1.0768247758458573</v>
      </c>
      <c r="AW18" s="41">
        <v>34.990589730607198</v>
      </c>
      <c r="AX18" s="41">
        <v>2.2334418976983339</v>
      </c>
      <c r="AY18" s="41" t="s">
        <v>805</v>
      </c>
    </row>
    <row r="19" spans="1:51" x14ac:dyDescent="0.3">
      <c r="A19">
        <v>31</v>
      </c>
      <c r="B19" t="s">
        <v>531</v>
      </c>
      <c r="C19" t="s">
        <v>11</v>
      </c>
      <c r="D19" s="6">
        <v>1.796919566457502E-2</v>
      </c>
      <c r="E19" s="42" t="s">
        <v>824</v>
      </c>
      <c r="F19" s="7">
        <v>1</v>
      </c>
      <c r="G19" s="7">
        <v>3</v>
      </c>
      <c r="H19" s="7">
        <v>1</v>
      </c>
      <c r="I19" s="42">
        <v>2</v>
      </c>
      <c r="J19" s="42">
        <v>2</v>
      </c>
      <c r="K19" s="40">
        <v>1.1679066507053673</v>
      </c>
      <c r="L19" s="40">
        <v>1.0806972983705323</v>
      </c>
      <c r="M19" s="41">
        <v>0.17680184595901238</v>
      </c>
      <c r="N19" s="41">
        <v>9.6623612005853872</v>
      </c>
      <c r="O19" s="41" t="s">
        <v>825</v>
      </c>
      <c r="P19" s="6">
        <v>0.27621998450813318</v>
      </c>
      <c r="Q19" s="42" t="s">
        <v>826</v>
      </c>
      <c r="R19" s="7">
        <v>1</v>
      </c>
      <c r="S19" s="42">
        <v>3</v>
      </c>
      <c r="T19" s="7">
        <v>1</v>
      </c>
      <c r="U19" s="7">
        <v>2</v>
      </c>
      <c r="V19" s="42">
        <v>2</v>
      </c>
      <c r="W19" s="40">
        <v>1.1679066507053673</v>
      </c>
      <c r="X19" s="40">
        <v>1.0806972983705323</v>
      </c>
      <c r="Y19" s="41">
        <v>33.644009451250071</v>
      </c>
      <c r="Z19" s="41">
        <v>88.157494198676588</v>
      </c>
      <c r="AA19" s="41" t="s">
        <v>827</v>
      </c>
      <c r="AB19" s="6">
        <v>0.80175551273817169</v>
      </c>
      <c r="AC19" s="42" t="s">
        <v>826</v>
      </c>
      <c r="AD19" s="7">
        <v>1</v>
      </c>
      <c r="AE19" s="7">
        <v>3</v>
      </c>
      <c r="AF19" s="7">
        <v>1</v>
      </c>
      <c r="AG19" s="42">
        <v>2</v>
      </c>
      <c r="AH19" s="42">
        <v>2</v>
      </c>
      <c r="AI19" s="40">
        <v>1.1679066507053673</v>
      </c>
      <c r="AJ19" s="40">
        <v>1.0806972983705323</v>
      </c>
      <c r="AK19" s="41">
        <v>77.473956978095742</v>
      </c>
      <c r="AL19" s="41">
        <v>19.156444368949707</v>
      </c>
      <c r="AM19" s="41" t="s">
        <v>828</v>
      </c>
      <c r="AN19" s="6">
        <v>0.7142857142857143</v>
      </c>
      <c r="AO19" s="42" t="s">
        <v>826</v>
      </c>
      <c r="AP19" s="7">
        <v>1</v>
      </c>
      <c r="AQ19" s="7">
        <v>3</v>
      </c>
      <c r="AR19" s="7">
        <v>1</v>
      </c>
      <c r="AS19" s="42">
        <v>2</v>
      </c>
      <c r="AT19" s="42">
        <v>2</v>
      </c>
      <c r="AU19" s="40">
        <v>1.1679066507053673</v>
      </c>
      <c r="AV19" s="40">
        <v>1.0806972983705323</v>
      </c>
      <c r="AW19" s="41">
        <v>88.825878142630572</v>
      </c>
      <c r="AX19" s="41">
        <v>35.530351257052224</v>
      </c>
      <c r="AY19" s="41" t="s">
        <v>829</v>
      </c>
    </row>
    <row r="20" spans="1:51" x14ac:dyDescent="0.3">
      <c r="A20">
        <v>64</v>
      </c>
      <c r="B20" t="s">
        <v>987</v>
      </c>
      <c r="C20" t="s">
        <v>1013</v>
      </c>
      <c r="D20" s="6">
        <v>0.63985820553182704</v>
      </c>
      <c r="E20" s="7" t="s">
        <v>847</v>
      </c>
      <c r="F20" s="7">
        <v>3</v>
      </c>
      <c r="G20" s="7">
        <v>1</v>
      </c>
      <c r="H20" s="7">
        <v>1</v>
      </c>
      <c r="I20" s="7">
        <v>3</v>
      </c>
      <c r="J20" s="7">
        <v>3</v>
      </c>
      <c r="K20" s="40">
        <v>1.3713425173473328</v>
      </c>
      <c r="L20" s="40">
        <v>1.1710433456312934</v>
      </c>
      <c r="M20" s="41">
        <v>19.520054039194324</v>
      </c>
      <c r="N20" s="41">
        <v>10.986789305840158</v>
      </c>
      <c r="O20" s="41" t="s">
        <v>927</v>
      </c>
      <c r="P20" s="6">
        <v>0.69565217391304357</v>
      </c>
      <c r="Q20" s="7" t="s">
        <v>849</v>
      </c>
      <c r="R20" s="7">
        <v>1</v>
      </c>
      <c r="S20" s="7">
        <v>3</v>
      </c>
      <c r="T20" s="7">
        <v>1</v>
      </c>
      <c r="U20" s="7">
        <v>3</v>
      </c>
      <c r="V20" s="7">
        <v>3</v>
      </c>
      <c r="W20" s="40">
        <v>1.308762891140433</v>
      </c>
      <c r="X20" s="40">
        <v>1.1440117530604452</v>
      </c>
      <c r="Y20" s="41">
        <v>27.710905865485028</v>
      </c>
      <c r="Z20" s="41">
        <v>12.123521316149695</v>
      </c>
      <c r="AA20" s="41" t="s">
        <v>928</v>
      </c>
      <c r="AB20" s="6">
        <v>0.2</v>
      </c>
      <c r="AC20" s="7" t="s">
        <v>849</v>
      </c>
      <c r="AD20" s="7">
        <v>1</v>
      </c>
      <c r="AE20" s="7">
        <v>3</v>
      </c>
      <c r="AF20" s="7">
        <v>1</v>
      </c>
      <c r="AG20" s="7">
        <v>3</v>
      </c>
      <c r="AH20" s="7">
        <v>3</v>
      </c>
      <c r="AI20" s="40">
        <v>1.308762891140433</v>
      </c>
      <c r="AJ20" s="40">
        <v>1.1440117530604452</v>
      </c>
      <c r="AK20" s="41">
        <v>5.9718319940242228</v>
      </c>
      <c r="AL20" s="41">
        <v>23.887327976096891</v>
      </c>
      <c r="AM20" s="41" t="s">
        <v>929</v>
      </c>
      <c r="AN20" s="6">
        <v>1</v>
      </c>
      <c r="AO20" s="42" t="s">
        <v>917</v>
      </c>
      <c r="AP20" s="7">
        <v>1</v>
      </c>
      <c r="AQ20" s="7">
        <v>1</v>
      </c>
      <c r="AR20" s="7">
        <v>1</v>
      </c>
      <c r="AS20" s="7">
        <v>1</v>
      </c>
      <c r="AT20" s="7">
        <v>1</v>
      </c>
      <c r="AU20" s="40">
        <v>1.05</v>
      </c>
      <c r="AV20" s="40">
        <v>1.0246950765959599</v>
      </c>
      <c r="AW20" s="41">
        <v>-1</v>
      </c>
      <c r="AX20" s="41">
        <v>0</v>
      </c>
      <c r="AY20" s="41" t="s">
        <v>754</v>
      </c>
    </row>
    <row r="21" spans="1:51" x14ac:dyDescent="0.3">
      <c r="A21">
        <v>32</v>
      </c>
      <c r="B21" t="s">
        <v>1001</v>
      </c>
      <c r="C21" t="s">
        <v>691</v>
      </c>
      <c r="D21" s="6">
        <v>6.5774804905239679E-3</v>
      </c>
      <c r="E21" s="42" t="s">
        <v>826</v>
      </c>
      <c r="F21" s="7">
        <v>1</v>
      </c>
      <c r="G21" s="7">
        <v>3</v>
      </c>
      <c r="H21" s="7">
        <v>1</v>
      </c>
      <c r="I21" s="42">
        <v>2</v>
      </c>
      <c r="J21" s="42">
        <v>2</v>
      </c>
      <c r="K21" s="40">
        <v>1.1679066507053673</v>
      </c>
      <c r="L21" s="40">
        <v>1.0806972983705323</v>
      </c>
      <c r="M21" s="40">
        <v>1.9821985274716219E-2</v>
      </c>
      <c r="N21" s="40">
        <v>2.993791708186377</v>
      </c>
      <c r="O21" s="41" t="s">
        <v>830</v>
      </c>
      <c r="P21" s="6">
        <v>0.41525423728813549</v>
      </c>
      <c r="Q21" s="42" t="s">
        <v>826</v>
      </c>
      <c r="R21" s="7">
        <v>1</v>
      </c>
      <c r="S21" s="42">
        <v>3</v>
      </c>
      <c r="T21" s="7">
        <v>1</v>
      </c>
      <c r="U21" s="7">
        <v>2</v>
      </c>
      <c r="V21" s="42">
        <v>2</v>
      </c>
      <c r="W21" s="40">
        <v>1.1679066507053673</v>
      </c>
      <c r="X21" s="40">
        <v>1.0806972983705323</v>
      </c>
      <c r="Y21" s="41">
        <v>61.519900845046593</v>
      </c>
      <c r="Z21" s="41">
        <v>86.630064455269732</v>
      </c>
      <c r="AA21" s="41" t="s">
        <v>831</v>
      </c>
      <c r="AB21" s="6">
        <v>1</v>
      </c>
      <c r="AC21" s="42" t="s">
        <v>826</v>
      </c>
      <c r="AD21" s="7">
        <v>1</v>
      </c>
      <c r="AE21" s="7">
        <v>3</v>
      </c>
      <c r="AF21" s="7">
        <v>1</v>
      </c>
      <c r="AG21" s="42">
        <v>2</v>
      </c>
      <c r="AH21" s="42">
        <v>2</v>
      </c>
      <c r="AI21" s="40">
        <v>1.1679066507053673</v>
      </c>
      <c r="AJ21" s="40">
        <v>1.0806972983705323</v>
      </c>
      <c r="AK21" s="41">
        <v>-1</v>
      </c>
      <c r="AL21" s="41">
        <v>0</v>
      </c>
      <c r="AM21" s="41" t="s">
        <v>754</v>
      </c>
      <c r="AN21" s="6">
        <v>0.51304347826086949</v>
      </c>
      <c r="AO21" s="42" t="s">
        <v>832</v>
      </c>
      <c r="AP21" s="7">
        <v>1</v>
      </c>
      <c r="AQ21" s="7">
        <v>3</v>
      </c>
      <c r="AR21" s="7">
        <v>1</v>
      </c>
      <c r="AS21" s="42">
        <v>2</v>
      </c>
      <c r="AT21" s="42">
        <v>2</v>
      </c>
      <c r="AU21" s="40">
        <v>1.1679066507053673</v>
      </c>
      <c r="AV21" s="40">
        <v>1.0806972983705323</v>
      </c>
      <c r="AW21" s="41">
        <v>78.217006971550688</v>
      </c>
      <c r="AX21" s="41">
        <v>74.239871023844756</v>
      </c>
      <c r="AY21" s="41" t="s">
        <v>833</v>
      </c>
    </row>
    <row r="22" spans="1:51" x14ac:dyDescent="0.3">
      <c r="A22">
        <v>72</v>
      </c>
      <c r="B22" t="s">
        <v>1019</v>
      </c>
      <c r="C22" t="s">
        <v>1020</v>
      </c>
      <c r="D22" s="11">
        <v>2.717391304347826E-3</v>
      </c>
      <c r="E22" s="42" t="s">
        <v>943</v>
      </c>
      <c r="F22" s="7">
        <v>3</v>
      </c>
      <c r="G22" s="42">
        <v>1</v>
      </c>
      <c r="H22" s="42">
        <v>1</v>
      </c>
      <c r="I22" s="42">
        <v>3</v>
      </c>
      <c r="J22" s="42">
        <v>1</v>
      </c>
      <c r="K22" s="40">
        <v>1.3000688016831126</v>
      </c>
      <c r="L22" s="40">
        <v>1.1402055962339039</v>
      </c>
      <c r="M22" s="40">
        <v>-1.2189080214020857E-3</v>
      </c>
      <c r="N22" s="41">
        <v>-0.44733924385456553</v>
      </c>
      <c r="O22" s="41" t="s">
        <v>944</v>
      </c>
      <c r="P22" s="6">
        <v>0.95</v>
      </c>
      <c r="Q22" s="42" t="s">
        <v>745</v>
      </c>
      <c r="R22" s="7">
        <v>3</v>
      </c>
      <c r="S22" s="42">
        <v>1</v>
      </c>
      <c r="T22" s="42">
        <v>1</v>
      </c>
      <c r="U22" s="42">
        <v>3</v>
      </c>
      <c r="V22" s="42">
        <v>1</v>
      </c>
      <c r="W22" s="40">
        <v>1.3000688016831126</v>
      </c>
      <c r="X22" s="40">
        <v>1.1402055962339039</v>
      </c>
      <c r="Y22" s="41">
        <v>8.2321949466505444</v>
      </c>
      <c r="Z22" s="41">
        <v>0.43327341824476595</v>
      </c>
      <c r="AA22" s="41" t="s">
        <v>757</v>
      </c>
      <c r="AB22" s="6">
        <v>0</v>
      </c>
      <c r="AC22" s="7" t="s">
        <v>758</v>
      </c>
      <c r="AD22" s="7">
        <v>1</v>
      </c>
      <c r="AE22" s="7">
        <v>1</v>
      </c>
      <c r="AF22" s="7">
        <v>1</v>
      </c>
      <c r="AG22" s="7">
        <v>1</v>
      </c>
      <c r="AH22" s="7">
        <v>1</v>
      </c>
      <c r="AI22" s="40">
        <v>1.05</v>
      </c>
      <c r="AJ22" s="40">
        <v>1.0246950765959599</v>
      </c>
      <c r="AK22" s="41">
        <v>0</v>
      </c>
      <c r="AL22" s="41">
        <v>-1</v>
      </c>
      <c r="AM22" s="41" t="s">
        <v>744</v>
      </c>
      <c r="AN22" s="6">
        <v>0</v>
      </c>
      <c r="AO22" s="42" t="s">
        <v>945</v>
      </c>
      <c r="AP22" s="7">
        <v>1</v>
      </c>
      <c r="AQ22" s="42">
        <v>1</v>
      </c>
      <c r="AR22" s="42">
        <v>1</v>
      </c>
      <c r="AS22" s="42">
        <v>1</v>
      </c>
      <c r="AT22" s="42">
        <v>1</v>
      </c>
      <c r="AU22" s="40">
        <v>1.05</v>
      </c>
      <c r="AV22" s="40">
        <v>1.0246950765959599</v>
      </c>
      <c r="AW22" s="41">
        <v>0</v>
      </c>
      <c r="AX22" s="41">
        <v>-1</v>
      </c>
      <c r="AY22" s="41" t="s">
        <v>744</v>
      </c>
    </row>
    <row r="23" spans="1:51" x14ac:dyDescent="0.3">
      <c r="A23">
        <v>80</v>
      </c>
      <c r="B23" t="s">
        <v>1026</v>
      </c>
      <c r="C23" t="s">
        <v>380</v>
      </c>
      <c r="D23" s="6">
        <v>0.85499999999999998</v>
      </c>
      <c r="E23" s="42" t="s">
        <v>965</v>
      </c>
      <c r="F23" s="7">
        <v>3</v>
      </c>
      <c r="G23" s="42">
        <v>4</v>
      </c>
      <c r="H23" s="42">
        <v>1</v>
      </c>
      <c r="I23" s="42">
        <v>3</v>
      </c>
      <c r="J23" s="42">
        <v>1</v>
      </c>
      <c r="K23" s="40">
        <v>1.3462392336889575</v>
      </c>
      <c r="L23" s="40">
        <v>1.1602754990470829</v>
      </c>
      <c r="M23" s="41">
        <v>15.650395959774235</v>
      </c>
      <c r="N23" s="41">
        <v>2.6541607183242859</v>
      </c>
      <c r="O23" s="41" t="s">
        <v>966</v>
      </c>
      <c r="P23" s="6">
        <v>0.95</v>
      </c>
      <c r="Q23" s="42" t="s">
        <v>967</v>
      </c>
      <c r="R23" s="7">
        <v>3</v>
      </c>
      <c r="S23" s="42">
        <v>1</v>
      </c>
      <c r="T23" s="42">
        <v>1</v>
      </c>
      <c r="U23" s="42">
        <v>3</v>
      </c>
      <c r="V23" s="42">
        <v>1</v>
      </c>
      <c r="W23" s="40">
        <v>1.3000688016831126</v>
      </c>
      <c r="X23" s="40">
        <v>1.1402055962339039</v>
      </c>
      <c r="Y23" s="41">
        <v>8.2321949466505444</v>
      </c>
      <c r="Z23" s="41">
        <v>0.43327341824476595</v>
      </c>
      <c r="AA23" s="41" t="s">
        <v>757</v>
      </c>
      <c r="AB23" s="6">
        <v>0</v>
      </c>
      <c r="AC23" s="7" t="s">
        <v>758</v>
      </c>
      <c r="AD23" s="7">
        <v>1</v>
      </c>
      <c r="AE23" s="7">
        <v>1</v>
      </c>
      <c r="AF23" s="7">
        <v>1</v>
      </c>
      <c r="AG23" s="7">
        <v>1</v>
      </c>
      <c r="AH23" s="7">
        <v>1</v>
      </c>
      <c r="AI23" s="40">
        <v>1.05</v>
      </c>
      <c r="AJ23" s="40">
        <v>1.0246950765959599</v>
      </c>
      <c r="AK23" s="41">
        <v>0</v>
      </c>
      <c r="AL23" s="41">
        <v>-1</v>
      </c>
      <c r="AM23" s="41" t="s">
        <v>744</v>
      </c>
      <c r="AN23" s="6">
        <v>0.95</v>
      </c>
      <c r="AO23" s="42" t="s">
        <v>745</v>
      </c>
      <c r="AP23" s="7">
        <v>3</v>
      </c>
      <c r="AQ23" s="42">
        <v>1</v>
      </c>
      <c r="AR23" s="42">
        <v>1</v>
      </c>
      <c r="AS23" s="42">
        <v>3</v>
      </c>
      <c r="AT23" s="42">
        <v>1</v>
      </c>
      <c r="AU23" s="40">
        <v>1.3000688016831126</v>
      </c>
      <c r="AV23" s="40">
        <v>1.1402055962339039</v>
      </c>
      <c r="AW23" s="41">
        <v>8.2321949466505444</v>
      </c>
      <c r="AX23" s="41">
        <v>0.43327341824476595</v>
      </c>
      <c r="AY23" s="41" t="s">
        <v>757</v>
      </c>
    </row>
    <row r="24" spans="1:51" x14ac:dyDescent="0.3">
      <c r="A24">
        <v>67</v>
      </c>
      <c r="B24" t="s">
        <v>988</v>
      </c>
      <c r="C24" t="s">
        <v>1014</v>
      </c>
      <c r="D24" s="6">
        <v>0.66738632907361728</v>
      </c>
      <c r="E24" s="7" t="s">
        <v>847</v>
      </c>
      <c r="F24" s="7">
        <v>4</v>
      </c>
      <c r="G24" s="7">
        <v>1</v>
      </c>
      <c r="H24" s="7">
        <v>1</v>
      </c>
      <c r="I24" s="7">
        <v>3</v>
      </c>
      <c r="J24" s="7">
        <v>3</v>
      </c>
      <c r="K24" s="40">
        <v>1.5279171865856971</v>
      </c>
      <c r="L24" s="40">
        <v>1.2360894735356729</v>
      </c>
      <c r="M24" s="41">
        <v>9.9642827837120986</v>
      </c>
      <c r="N24" s="41">
        <v>4.9660242208429342</v>
      </c>
      <c r="O24" s="41" t="s">
        <v>934</v>
      </c>
      <c r="P24" s="6">
        <v>0.85</v>
      </c>
      <c r="Q24" s="42" t="s">
        <v>935</v>
      </c>
      <c r="R24" s="7">
        <v>3</v>
      </c>
      <c r="S24" s="7">
        <v>3</v>
      </c>
      <c r="T24" s="7">
        <v>1</v>
      </c>
      <c r="U24" s="7">
        <v>3</v>
      </c>
      <c r="V24" s="7">
        <v>3</v>
      </c>
      <c r="W24" s="40">
        <v>1.3840763218302521</v>
      </c>
      <c r="X24" s="40">
        <v>1.1764677308920344</v>
      </c>
      <c r="Y24" s="41">
        <v>13.070617457485042</v>
      </c>
      <c r="Z24" s="41">
        <v>2.3065795513208904</v>
      </c>
      <c r="AA24" s="41" t="s">
        <v>936</v>
      </c>
      <c r="AB24" s="6">
        <v>0</v>
      </c>
      <c r="AC24" s="42" t="s">
        <v>937</v>
      </c>
      <c r="AD24" s="7">
        <v>1</v>
      </c>
      <c r="AE24" s="7">
        <v>1</v>
      </c>
      <c r="AF24" s="7">
        <v>1</v>
      </c>
      <c r="AG24" s="7">
        <v>1</v>
      </c>
      <c r="AH24" s="7">
        <v>1</v>
      </c>
      <c r="AI24" s="40">
        <v>1.05</v>
      </c>
      <c r="AJ24" s="40">
        <v>1.0246950765959599</v>
      </c>
      <c r="AK24" s="41">
        <v>0</v>
      </c>
      <c r="AL24" s="41">
        <v>-1</v>
      </c>
      <c r="AM24" s="41" t="s">
        <v>744</v>
      </c>
      <c r="AN24" s="6">
        <v>0</v>
      </c>
      <c r="AO24" s="42" t="s">
        <v>937</v>
      </c>
      <c r="AP24" s="7">
        <v>1</v>
      </c>
      <c r="AQ24" s="7">
        <v>1</v>
      </c>
      <c r="AR24" s="7">
        <v>1</v>
      </c>
      <c r="AS24" s="7">
        <v>1</v>
      </c>
      <c r="AT24" s="7">
        <v>1</v>
      </c>
      <c r="AU24" s="40">
        <v>1.05</v>
      </c>
      <c r="AV24" s="40">
        <v>1.0246950765959599</v>
      </c>
      <c r="AW24" s="41">
        <v>0</v>
      </c>
      <c r="AX24" s="41">
        <v>-1</v>
      </c>
      <c r="AY24" s="41" t="s">
        <v>744</v>
      </c>
    </row>
    <row r="25" spans="1:51" x14ac:dyDescent="0.3">
      <c r="A25">
        <v>49</v>
      </c>
      <c r="B25" t="s">
        <v>532</v>
      </c>
      <c r="C25" t="s">
        <v>13</v>
      </c>
      <c r="D25" s="6">
        <v>0.3</v>
      </c>
      <c r="E25" s="10" t="s">
        <v>887</v>
      </c>
      <c r="F25" s="7">
        <v>3</v>
      </c>
      <c r="G25" s="7">
        <v>1</v>
      </c>
      <c r="H25" s="7">
        <v>1</v>
      </c>
      <c r="I25" s="42">
        <v>3</v>
      </c>
      <c r="J25" s="42">
        <v>2</v>
      </c>
      <c r="K25" s="40">
        <v>1.3163902184345033</v>
      </c>
      <c r="L25" s="40">
        <v>1.1473404980364388</v>
      </c>
      <c r="M25" s="41">
        <v>11.30796991261402</v>
      </c>
      <c r="N25" s="41">
        <v>26.385263129432712</v>
      </c>
      <c r="O25" s="41" t="s">
        <v>888</v>
      </c>
      <c r="P25" s="6">
        <v>0.13138686131386859</v>
      </c>
      <c r="Q25" s="42" t="s">
        <v>826</v>
      </c>
      <c r="R25" s="7">
        <v>1</v>
      </c>
      <c r="S25" s="42">
        <v>3</v>
      </c>
      <c r="T25" s="7">
        <v>1</v>
      </c>
      <c r="U25" s="7">
        <v>2</v>
      </c>
      <c r="V25" s="42">
        <v>2</v>
      </c>
      <c r="W25" s="40">
        <v>1.1679066507053673</v>
      </c>
      <c r="X25" s="40">
        <v>1.0806972983705323</v>
      </c>
      <c r="Y25" s="41">
        <v>9.078881205963329</v>
      </c>
      <c r="Z25" s="41">
        <v>60.021492417202026</v>
      </c>
      <c r="AA25" s="41" t="s">
        <v>889</v>
      </c>
      <c r="AB25" s="6">
        <v>0.78061129978388399</v>
      </c>
      <c r="AC25" s="42" t="s">
        <v>826</v>
      </c>
      <c r="AD25" s="7">
        <v>1</v>
      </c>
      <c r="AE25" s="7">
        <v>3</v>
      </c>
      <c r="AF25" s="7">
        <v>1</v>
      </c>
      <c r="AG25" s="42">
        <v>2</v>
      </c>
      <c r="AH25" s="10">
        <v>2</v>
      </c>
      <c r="AI25" s="40">
        <v>1.1679066507053673</v>
      </c>
      <c r="AJ25" s="40">
        <v>1.0806972983705323</v>
      </c>
      <c r="AK25" s="41">
        <v>81.335036427065305</v>
      </c>
      <c r="AL25" s="41">
        <v>22.858992598114451</v>
      </c>
      <c r="AM25" s="41" t="s">
        <v>890</v>
      </c>
      <c r="AN25" s="6">
        <v>0.96100300585350418</v>
      </c>
      <c r="AO25" s="42" t="s">
        <v>826</v>
      </c>
      <c r="AP25" s="7">
        <v>1</v>
      </c>
      <c r="AQ25" s="7">
        <v>3</v>
      </c>
      <c r="AR25" s="7">
        <v>1</v>
      </c>
      <c r="AS25" s="42">
        <v>2</v>
      </c>
      <c r="AT25" s="42">
        <v>2</v>
      </c>
      <c r="AU25" s="40">
        <v>1.1679066507053673</v>
      </c>
      <c r="AV25" s="40">
        <v>1.0806972983705323</v>
      </c>
      <c r="AW25" s="41">
        <v>21.160907238958806</v>
      </c>
      <c r="AX25" s="41">
        <v>0.85869843351771302</v>
      </c>
      <c r="AY25" s="41" t="s">
        <v>891</v>
      </c>
    </row>
    <row r="26" spans="1:51" x14ac:dyDescent="0.3">
      <c r="A26">
        <v>77</v>
      </c>
      <c r="B26" t="s">
        <v>533</v>
      </c>
      <c r="C26" t="s">
        <v>14</v>
      </c>
      <c r="D26" s="6">
        <v>0.57576959999999999</v>
      </c>
      <c r="E26" s="7" t="s">
        <v>868</v>
      </c>
      <c r="F26" s="7">
        <v>2</v>
      </c>
      <c r="G26" s="7">
        <v>3</v>
      </c>
      <c r="H26" s="7">
        <v>1</v>
      </c>
      <c r="I26" s="42">
        <v>2</v>
      </c>
      <c r="J26" s="42">
        <v>1</v>
      </c>
      <c r="K26" s="40">
        <v>1.1766845455095114</v>
      </c>
      <c r="L26" s="40">
        <v>1.0847509140394911</v>
      </c>
      <c r="M26" s="41">
        <v>77.743829910014568</v>
      </c>
      <c r="N26" s="41">
        <v>57.282107392014865</v>
      </c>
      <c r="O26" s="41" t="s">
        <v>956</v>
      </c>
      <c r="P26" s="6">
        <v>1</v>
      </c>
      <c r="Q26" s="7" t="s">
        <v>870</v>
      </c>
      <c r="R26" s="7">
        <v>3</v>
      </c>
      <c r="S26" s="42">
        <v>1</v>
      </c>
      <c r="T26" s="7">
        <v>1</v>
      </c>
      <c r="U26" s="7">
        <v>3</v>
      </c>
      <c r="V26" s="42">
        <v>1</v>
      </c>
      <c r="W26" s="40">
        <v>1.3000688016831126</v>
      </c>
      <c r="X26" s="40">
        <v>1.1402055962339039</v>
      </c>
      <c r="Y26" s="41">
        <v>-1</v>
      </c>
      <c r="Z26" s="41">
        <v>0</v>
      </c>
      <c r="AA26" s="41" t="s">
        <v>754</v>
      </c>
      <c r="AB26" s="6">
        <v>0</v>
      </c>
      <c r="AC26" s="7" t="s">
        <v>758</v>
      </c>
      <c r="AD26" s="7">
        <v>1</v>
      </c>
      <c r="AE26" s="7">
        <v>1</v>
      </c>
      <c r="AF26" s="7">
        <v>1</v>
      </c>
      <c r="AG26" s="42">
        <v>1</v>
      </c>
      <c r="AH26" s="42">
        <v>1</v>
      </c>
      <c r="AI26" s="40">
        <v>1.05</v>
      </c>
      <c r="AJ26" s="40">
        <v>1.0246950765959599</v>
      </c>
      <c r="AK26" s="41">
        <v>0</v>
      </c>
      <c r="AL26" s="41">
        <v>-1</v>
      </c>
      <c r="AM26" s="41" t="s">
        <v>744</v>
      </c>
      <c r="AN26" s="6">
        <v>0.96</v>
      </c>
      <c r="AO26" s="7" t="s">
        <v>872</v>
      </c>
      <c r="AP26" s="7">
        <v>3</v>
      </c>
      <c r="AQ26" s="7">
        <v>1</v>
      </c>
      <c r="AR26" s="7">
        <v>1</v>
      </c>
      <c r="AS26" s="42">
        <v>3</v>
      </c>
      <c r="AT26" s="42">
        <v>1</v>
      </c>
      <c r="AU26" s="40">
        <v>1.3000688016831126</v>
      </c>
      <c r="AV26" s="40">
        <v>1.1402055962339039</v>
      </c>
      <c r="AW26" s="41">
        <v>6.5412173853368571</v>
      </c>
      <c r="AX26" s="41">
        <v>0.27255072438903594</v>
      </c>
      <c r="AY26" s="41" t="s">
        <v>957</v>
      </c>
    </row>
    <row r="27" spans="1:51" x14ac:dyDescent="0.3">
      <c r="A27">
        <v>57</v>
      </c>
      <c r="B27" t="s">
        <v>983</v>
      </c>
      <c r="C27" t="s">
        <v>1009</v>
      </c>
      <c r="D27" s="6">
        <v>0.60009236780630426</v>
      </c>
      <c r="E27" s="7" t="s">
        <v>847</v>
      </c>
      <c r="F27" s="7">
        <v>3</v>
      </c>
      <c r="G27" s="7">
        <v>1</v>
      </c>
      <c r="H27" s="7">
        <v>1</v>
      </c>
      <c r="I27" s="7">
        <v>3</v>
      </c>
      <c r="J27" s="7">
        <v>3</v>
      </c>
      <c r="K27" s="40">
        <v>1.3713425173473328</v>
      </c>
      <c r="L27" s="40">
        <v>1.1710433456312934</v>
      </c>
      <c r="M27" s="41">
        <v>19.089808289021303</v>
      </c>
      <c r="N27" s="41">
        <v>12.721641602944404</v>
      </c>
      <c r="O27" s="41" t="s">
        <v>910</v>
      </c>
      <c r="P27" s="6">
        <v>0.85836909871244638</v>
      </c>
      <c r="Q27" s="7" t="s">
        <v>849</v>
      </c>
      <c r="R27" s="7">
        <v>1</v>
      </c>
      <c r="S27" s="7">
        <v>3</v>
      </c>
      <c r="T27" s="7">
        <v>1</v>
      </c>
      <c r="U27" s="7">
        <v>3</v>
      </c>
      <c r="V27" s="7">
        <v>2</v>
      </c>
      <c r="W27" s="40">
        <v>1.2456465205819256</v>
      </c>
      <c r="X27" s="40">
        <v>1.1160853554195242</v>
      </c>
      <c r="Y27" s="41">
        <v>30.116629018840488</v>
      </c>
      <c r="Z27" s="41">
        <v>4.9692437881086793</v>
      </c>
      <c r="AA27" s="41" t="s">
        <v>911</v>
      </c>
      <c r="AB27" s="6">
        <v>0</v>
      </c>
      <c r="AC27" s="7" t="s">
        <v>849</v>
      </c>
      <c r="AD27" s="7">
        <v>1</v>
      </c>
      <c r="AE27" s="7">
        <v>3</v>
      </c>
      <c r="AF27" s="7">
        <v>1</v>
      </c>
      <c r="AG27" s="7">
        <v>3</v>
      </c>
      <c r="AH27" s="7">
        <v>2</v>
      </c>
      <c r="AI27" s="40">
        <v>1.2456465205819256</v>
      </c>
      <c r="AJ27" s="40">
        <v>1.1160853554195242</v>
      </c>
      <c r="AK27" s="41">
        <v>0</v>
      </c>
      <c r="AL27" s="41">
        <v>-1</v>
      </c>
      <c r="AM27" s="41" t="s">
        <v>744</v>
      </c>
      <c r="AN27" s="6">
        <v>1</v>
      </c>
      <c r="AO27" s="42" t="s">
        <v>851</v>
      </c>
      <c r="AP27" s="7">
        <v>1</v>
      </c>
      <c r="AQ27" s="7">
        <v>1</v>
      </c>
      <c r="AR27" s="7">
        <v>1</v>
      </c>
      <c r="AS27" s="7">
        <v>1</v>
      </c>
      <c r="AT27" s="7">
        <v>1</v>
      </c>
      <c r="AU27" s="40">
        <v>1.05</v>
      </c>
      <c r="AV27" s="40">
        <v>1.0246950765959599</v>
      </c>
      <c r="AW27" s="41">
        <v>-1</v>
      </c>
      <c r="AX27" s="41">
        <v>0</v>
      </c>
      <c r="AY27" s="41" t="s">
        <v>754</v>
      </c>
    </row>
    <row r="28" spans="1:51" x14ac:dyDescent="0.3">
      <c r="A28">
        <v>3</v>
      </c>
      <c r="B28" t="s">
        <v>534</v>
      </c>
      <c r="C28" t="s">
        <v>16</v>
      </c>
      <c r="D28" s="6">
        <v>0.69917047091553897</v>
      </c>
      <c r="E28" s="7" t="s">
        <v>739</v>
      </c>
      <c r="F28" s="7">
        <v>3</v>
      </c>
      <c r="G28" s="7">
        <v>4</v>
      </c>
      <c r="H28" s="7">
        <v>1</v>
      </c>
      <c r="I28" s="7">
        <v>3</v>
      </c>
      <c r="J28" s="7">
        <v>2</v>
      </c>
      <c r="K28" s="40">
        <v>1.3612214788154857</v>
      </c>
      <c r="L28" s="40">
        <v>1.1667139661525809</v>
      </c>
      <c r="M28" s="41">
        <v>20.465067870780086</v>
      </c>
      <c r="N28" s="41">
        <v>8.8054301294884532</v>
      </c>
      <c r="O28" s="41" t="s">
        <v>740</v>
      </c>
      <c r="P28" s="6">
        <v>0.83500000000000008</v>
      </c>
      <c r="Q28" s="7" t="s">
        <v>741</v>
      </c>
      <c r="R28" s="7">
        <v>2</v>
      </c>
      <c r="S28" s="7">
        <v>2</v>
      </c>
      <c r="T28" s="7">
        <v>1</v>
      </c>
      <c r="U28" s="7">
        <v>3</v>
      </c>
      <c r="V28" s="7">
        <v>2</v>
      </c>
      <c r="W28" s="40">
        <v>1.2569078487011278</v>
      </c>
      <c r="X28" s="40">
        <v>1.1211190162962752</v>
      </c>
      <c r="Y28" s="41">
        <v>30.533389119134313</v>
      </c>
      <c r="Z28" s="41">
        <v>6.0335439576732446</v>
      </c>
      <c r="AA28" s="41" t="s">
        <v>742</v>
      </c>
      <c r="AB28" s="6">
        <v>0</v>
      </c>
      <c r="AC28" s="7" t="s">
        <v>743</v>
      </c>
      <c r="AD28" s="7">
        <v>1</v>
      </c>
      <c r="AE28" s="7">
        <v>1</v>
      </c>
      <c r="AF28" s="7">
        <v>1</v>
      </c>
      <c r="AG28" s="7">
        <v>1</v>
      </c>
      <c r="AH28" s="7">
        <v>1</v>
      </c>
      <c r="AI28" s="40">
        <v>1.05</v>
      </c>
      <c r="AJ28" s="40">
        <v>1.0246950765959599</v>
      </c>
      <c r="AK28" s="41">
        <v>0</v>
      </c>
      <c r="AL28" s="41">
        <v>-1</v>
      </c>
      <c r="AM28" s="41" t="s">
        <v>744</v>
      </c>
      <c r="AN28" s="6">
        <v>0.85</v>
      </c>
      <c r="AO28" s="42" t="s">
        <v>745</v>
      </c>
      <c r="AP28" s="7">
        <v>4</v>
      </c>
      <c r="AQ28" s="7">
        <v>1</v>
      </c>
      <c r="AR28" s="7">
        <v>1</v>
      </c>
      <c r="AS28" s="7">
        <v>3</v>
      </c>
      <c r="AT28" s="7">
        <v>3</v>
      </c>
      <c r="AU28" s="40">
        <v>1.5279171865856971</v>
      </c>
      <c r="AV28" s="40">
        <v>1.2360894735356729</v>
      </c>
      <c r="AW28" s="41">
        <v>6.9274254044816885</v>
      </c>
      <c r="AX28" s="41">
        <v>1.2224868360850041</v>
      </c>
      <c r="AY28" s="41" t="s">
        <v>746</v>
      </c>
    </row>
    <row r="29" spans="1:51" x14ac:dyDescent="0.3">
      <c r="A29">
        <v>71</v>
      </c>
      <c r="B29" t="s">
        <v>992</v>
      </c>
      <c r="C29" t="s">
        <v>1018</v>
      </c>
      <c r="D29" s="6">
        <v>0.66629720892829547</v>
      </c>
      <c r="E29" s="7" t="s">
        <v>847</v>
      </c>
      <c r="F29" s="7">
        <v>4</v>
      </c>
      <c r="G29" s="7">
        <v>1</v>
      </c>
      <c r="H29" s="7">
        <v>1</v>
      </c>
      <c r="I29" s="7">
        <v>3</v>
      </c>
      <c r="J29" s="7">
        <v>3</v>
      </c>
      <c r="K29" s="40">
        <v>1.5279171865856971</v>
      </c>
      <c r="L29" s="40">
        <v>1.2360894735356729</v>
      </c>
      <c r="M29" s="41">
        <v>9.9653993060944988</v>
      </c>
      <c r="N29" s="41">
        <v>4.9909882827464136</v>
      </c>
      <c r="O29" s="41" t="s">
        <v>942</v>
      </c>
      <c r="P29" s="6">
        <v>0.85</v>
      </c>
      <c r="Q29" s="7" t="s">
        <v>935</v>
      </c>
      <c r="R29" s="7">
        <v>3</v>
      </c>
      <c r="S29" s="7">
        <v>3</v>
      </c>
      <c r="T29" s="7">
        <v>1</v>
      </c>
      <c r="U29" s="7">
        <v>3</v>
      </c>
      <c r="V29" s="7">
        <v>3</v>
      </c>
      <c r="W29" s="40">
        <v>1.3840763218302521</v>
      </c>
      <c r="X29" s="40">
        <v>1.1764677308920344</v>
      </c>
      <c r="Y29" s="41">
        <v>13.070617457485042</v>
      </c>
      <c r="Z29" s="41">
        <v>2.3065795513208904</v>
      </c>
      <c r="AA29" s="41" t="s">
        <v>936</v>
      </c>
      <c r="AB29" s="6">
        <v>0</v>
      </c>
      <c r="AC29" s="42" t="s">
        <v>937</v>
      </c>
      <c r="AD29" s="7">
        <v>1</v>
      </c>
      <c r="AE29" s="7">
        <v>1</v>
      </c>
      <c r="AF29" s="7">
        <v>1</v>
      </c>
      <c r="AG29" s="7">
        <v>1</v>
      </c>
      <c r="AH29" s="7">
        <v>1</v>
      </c>
      <c r="AI29" s="40">
        <v>1.05</v>
      </c>
      <c r="AJ29" s="40">
        <v>1.0246950765959599</v>
      </c>
      <c r="AK29" s="41">
        <v>0</v>
      </c>
      <c r="AL29" s="41">
        <v>-1</v>
      </c>
      <c r="AM29" s="41" t="s">
        <v>744</v>
      </c>
      <c r="AN29" s="6">
        <v>0</v>
      </c>
      <c r="AO29" s="42" t="s">
        <v>937</v>
      </c>
      <c r="AP29" s="7">
        <v>1</v>
      </c>
      <c r="AQ29" s="7">
        <v>1</v>
      </c>
      <c r="AR29" s="7">
        <v>1</v>
      </c>
      <c r="AS29" s="7">
        <v>1</v>
      </c>
      <c r="AT29" s="7">
        <v>1</v>
      </c>
      <c r="AU29" s="40">
        <v>1.05</v>
      </c>
      <c r="AV29" s="40">
        <v>1.0246950765959599</v>
      </c>
      <c r="AW29" s="41">
        <v>0</v>
      </c>
      <c r="AX29" s="41">
        <v>-1</v>
      </c>
      <c r="AY29" s="41" t="s">
        <v>744</v>
      </c>
    </row>
    <row r="30" spans="1:51" x14ac:dyDescent="0.3">
      <c r="A30">
        <v>12</v>
      </c>
      <c r="B30" t="s">
        <v>995</v>
      </c>
      <c r="C30" t="s">
        <v>996</v>
      </c>
      <c r="D30" s="6">
        <v>0.67925000000000002</v>
      </c>
      <c r="E30" s="7" t="s">
        <v>760</v>
      </c>
      <c r="F30" s="7">
        <v>3</v>
      </c>
      <c r="G30" s="7">
        <v>2</v>
      </c>
      <c r="H30" s="7">
        <v>1</v>
      </c>
      <c r="I30" s="7">
        <v>3</v>
      </c>
      <c r="J30" s="7">
        <v>1</v>
      </c>
      <c r="K30" s="40">
        <v>1.3022280723042765</v>
      </c>
      <c r="L30" s="40">
        <v>1.1411520811461882</v>
      </c>
      <c r="M30" s="41">
        <v>29.031347033109533</v>
      </c>
      <c r="N30" s="41">
        <v>13.70895040245842</v>
      </c>
      <c r="O30" s="41" t="s">
        <v>761</v>
      </c>
      <c r="P30" s="6">
        <v>0.92</v>
      </c>
      <c r="Q30" s="7" t="s">
        <v>762</v>
      </c>
      <c r="R30" s="7">
        <v>3</v>
      </c>
      <c r="S30" s="7">
        <v>1</v>
      </c>
      <c r="T30" s="7">
        <v>1</v>
      </c>
      <c r="U30" s="7">
        <v>3</v>
      </c>
      <c r="V30" s="7">
        <v>1</v>
      </c>
      <c r="W30" s="40">
        <v>1.3000688016831126</v>
      </c>
      <c r="X30" s="40">
        <v>1.1402055962339039</v>
      </c>
      <c r="Y30" s="41">
        <v>12.85827776681664</v>
      </c>
      <c r="Z30" s="41">
        <v>1.1181111101579682</v>
      </c>
      <c r="AA30" s="41" t="s">
        <v>763</v>
      </c>
      <c r="AB30" s="6">
        <v>0</v>
      </c>
      <c r="AC30" s="7" t="s">
        <v>758</v>
      </c>
      <c r="AD30" s="7">
        <v>1</v>
      </c>
      <c r="AE30" s="7">
        <v>1</v>
      </c>
      <c r="AF30" s="7">
        <v>1</v>
      </c>
      <c r="AG30" s="7">
        <v>1</v>
      </c>
      <c r="AH30" s="7">
        <v>1</v>
      </c>
      <c r="AI30" s="40">
        <v>1.05</v>
      </c>
      <c r="AJ30" s="40">
        <v>1.0246950765959599</v>
      </c>
      <c r="AK30" s="41">
        <v>0</v>
      </c>
      <c r="AL30" s="41">
        <v>-1</v>
      </c>
      <c r="AM30" s="41" t="s">
        <v>744</v>
      </c>
      <c r="AN30" s="6">
        <v>0.95</v>
      </c>
      <c r="AO30" s="7" t="s">
        <v>764</v>
      </c>
      <c r="AP30" s="7">
        <v>4</v>
      </c>
      <c r="AQ30" s="7">
        <v>1</v>
      </c>
      <c r="AR30" s="7">
        <v>1</v>
      </c>
      <c r="AS30" s="7">
        <v>3</v>
      </c>
      <c r="AT30" s="7">
        <v>1</v>
      </c>
      <c r="AU30" s="40">
        <v>1.4707782003422192</v>
      </c>
      <c r="AV30" s="40">
        <v>1.212756447248259</v>
      </c>
      <c r="AW30" s="41">
        <v>3.037601467121025</v>
      </c>
      <c r="AX30" s="41">
        <v>0.15987376142742252</v>
      </c>
      <c r="AY30" s="41" t="s">
        <v>757</v>
      </c>
    </row>
    <row r="31" spans="1:51" x14ac:dyDescent="0.3">
      <c r="A31">
        <v>25</v>
      </c>
      <c r="B31" t="s">
        <v>535</v>
      </c>
      <c r="C31" t="s">
        <v>17</v>
      </c>
      <c r="D31" s="6">
        <v>0.7</v>
      </c>
      <c r="E31" s="7" t="s">
        <v>795</v>
      </c>
      <c r="F31" s="7">
        <v>3</v>
      </c>
      <c r="G31" s="7">
        <v>1</v>
      </c>
      <c r="H31" s="7">
        <v>1</v>
      </c>
      <c r="I31" s="7">
        <v>2</v>
      </c>
      <c r="J31" s="7">
        <v>1</v>
      </c>
      <c r="K31" s="40">
        <v>1.2354522921220721</v>
      </c>
      <c r="L31" s="40">
        <v>1.1115090157628376</v>
      </c>
      <c r="M31" s="41">
        <v>46.588698466750223</v>
      </c>
      <c r="N31" s="41">
        <v>19.966585057178669</v>
      </c>
      <c r="O31" s="41" t="s">
        <v>796</v>
      </c>
      <c r="P31" s="6">
        <v>0.73008131004983912</v>
      </c>
      <c r="Q31" s="7" t="s">
        <v>797</v>
      </c>
      <c r="R31" s="7">
        <v>3</v>
      </c>
      <c r="S31" s="7">
        <v>4</v>
      </c>
      <c r="T31" s="7">
        <v>2</v>
      </c>
      <c r="U31" s="7">
        <v>2</v>
      </c>
      <c r="V31" s="7">
        <v>1</v>
      </c>
      <c r="W31" s="40">
        <v>1.2906836861283406</v>
      </c>
      <c r="X31" s="40">
        <v>1.1360826053277731</v>
      </c>
      <c r="Y31" s="41">
        <v>30.346281242458623</v>
      </c>
      <c r="Z31" s="41">
        <v>11.219337305408366</v>
      </c>
      <c r="AA31" s="41" t="s">
        <v>798</v>
      </c>
      <c r="AB31" s="6">
        <v>0.87621696801112658</v>
      </c>
      <c r="AC31" s="7" t="s">
        <v>799</v>
      </c>
      <c r="AD31" s="7">
        <v>3</v>
      </c>
      <c r="AE31" s="7">
        <v>4</v>
      </c>
      <c r="AF31" s="7">
        <v>2</v>
      </c>
      <c r="AG31" s="7">
        <v>2</v>
      </c>
      <c r="AH31" s="7">
        <v>1</v>
      </c>
      <c r="AI31" s="40">
        <v>1.2906836861283406</v>
      </c>
      <c r="AJ31" s="40">
        <v>1.1360826053277731</v>
      </c>
      <c r="AK31" s="41">
        <v>19.651431177342051</v>
      </c>
      <c r="AL31" s="41">
        <v>2.7761545631483209</v>
      </c>
      <c r="AM31" s="41" t="s">
        <v>800</v>
      </c>
      <c r="AN31" s="6">
        <v>0.8</v>
      </c>
      <c r="AO31" s="7" t="s">
        <v>801</v>
      </c>
      <c r="AP31" s="7">
        <v>3</v>
      </c>
      <c r="AQ31" s="7">
        <v>1</v>
      </c>
      <c r="AR31" s="7">
        <v>1</v>
      </c>
      <c r="AS31" s="7">
        <v>3</v>
      </c>
      <c r="AT31" s="7">
        <v>1</v>
      </c>
      <c r="AU31" s="40">
        <v>1.3000688016831126</v>
      </c>
      <c r="AV31" s="40">
        <v>1.1402055962339039</v>
      </c>
      <c r="AW31" s="41">
        <v>25.245893699086281</v>
      </c>
      <c r="AX31" s="41">
        <v>6.3114734247715685</v>
      </c>
      <c r="AY31" s="41" t="s">
        <v>771</v>
      </c>
    </row>
    <row r="32" spans="1:51" x14ac:dyDescent="0.3">
      <c r="A32">
        <v>42</v>
      </c>
      <c r="B32" t="s">
        <v>536</v>
      </c>
      <c r="C32" t="s">
        <v>18</v>
      </c>
      <c r="D32" s="8">
        <v>0.6</v>
      </c>
      <c r="E32" s="7" t="s">
        <v>862</v>
      </c>
      <c r="F32" s="7">
        <v>3</v>
      </c>
      <c r="G32" s="7">
        <v>1</v>
      </c>
      <c r="H32" s="7">
        <v>1</v>
      </c>
      <c r="I32" s="42">
        <v>1</v>
      </c>
      <c r="J32" s="42">
        <v>1</v>
      </c>
      <c r="K32" s="40">
        <v>1.207723199572867</v>
      </c>
      <c r="L32" s="40">
        <v>1.098964603421269</v>
      </c>
      <c r="M32" s="41">
        <v>58.211560908790673</v>
      </c>
      <c r="N32" s="41">
        <v>38.807707272527125</v>
      </c>
      <c r="O32" s="41" t="s">
        <v>863</v>
      </c>
      <c r="P32" s="6">
        <v>0.83111111111111113</v>
      </c>
      <c r="Q32" s="42" t="s">
        <v>864</v>
      </c>
      <c r="R32" s="7">
        <v>2</v>
      </c>
      <c r="S32" s="42">
        <v>4</v>
      </c>
      <c r="T32" s="42">
        <v>2</v>
      </c>
      <c r="U32" s="42">
        <v>3</v>
      </c>
      <c r="V32" s="42">
        <v>1</v>
      </c>
      <c r="W32" s="40">
        <v>1.2906836861283406</v>
      </c>
      <c r="X32" s="40">
        <v>1.1360826053277731</v>
      </c>
      <c r="Y32" s="41">
        <v>24.367349832303088</v>
      </c>
      <c r="Z32" s="41">
        <v>4.951653976617739</v>
      </c>
      <c r="AA32" s="41" t="s">
        <v>865</v>
      </c>
      <c r="AB32" s="6">
        <v>1</v>
      </c>
      <c r="AC32" s="42" t="s">
        <v>866</v>
      </c>
      <c r="AD32" s="7">
        <v>2</v>
      </c>
      <c r="AE32" s="42">
        <v>4</v>
      </c>
      <c r="AF32" s="42">
        <v>2</v>
      </c>
      <c r="AG32" s="42">
        <v>2</v>
      </c>
      <c r="AH32" s="42">
        <v>1</v>
      </c>
      <c r="AI32" s="40">
        <v>1.2243071084719455</v>
      </c>
      <c r="AJ32" s="40">
        <v>1.1064841202981386</v>
      </c>
      <c r="AK32" s="41">
        <v>-1</v>
      </c>
      <c r="AL32" s="41">
        <v>0</v>
      </c>
      <c r="AM32" s="41" t="s">
        <v>754</v>
      </c>
      <c r="AN32" s="6">
        <v>0.5</v>
      </c>
      <c r="AO32" s="7" t="s">
        <v>801</v>
      </c>
      <c r="AP32" s="7">
        <v>4</v>
      </c>
      <c r="AQ32" s="7">
        <v>1</v>
      </c>
      <c r="AR32" s="7">
        <v>1</v>
      </c>
      <c r="AS32" s="7">
        <v>3</v>
      </c>
      <c r="AT32" s="7">
        <v>1</v>
      </c>
      <c r="AU32" s="40">
        <v>1.4707782003422192</v>
      </c>
      <c r="AV32" s="40">
        <v>1.212756447248259</v>
      </c>
      <c r="AW32" s="41">
        <v>10.545987443548537</v>
      </c>
      <c r="AX32" s="41">
        <v>10.545987443548537</v>
      </c>
      <c r="AY32" s="41" t="s">
        <v>867</v>
      </c>
    </row>
    <row r="33" spans="1:51" x14ac:dyDescent="0.3">
      <c r="A33">
        <v>41</v>
      </c>
      <c r="B33" t="s">
        <v>1004</v>
      </c>
      <c r="C33" t="s">
        <v>398</v>
      </c>
      <c r="D33" s="6">
        <v>0.71</v>
      </c>
      <c r="E33" s="7" t="s">
        <v>856</v>
      </c>
      <c r="F33" s="7">
        <v>2</v>
      </c>
      <c r="G33" s="7">
        <v>4</v>
      </c>
      <c r="H33" s="7">
        <v>1</v>
      </c>
      <c r="I33" s="7">
        <v>3</v>
      </c>
      <c r="J33" s="7">
        <v>1</v>
      </c>
      <c r="K33" s="40">
        <v>1.2884684415322456</v>
      </c>
      <c r="L33" s="40">
        <v>1.135107237899682</v>
      </c>
      <c r="M33" s="41">
        <v>31.324463554769682</v>
      </c>
      <c r="N33" s="41">
        <v>12.794499198427056</v>
      </c>
      <c r="O33" s="41" t="s">
        <v>857</v>
      </c>
      <c r="P33" s="6">
        <v>0.9</v>
      </c>
      <c r="Q33" s="7" t="s">
        <v>858</v>
      </c>
      <c r="R33" s="7">
        <v>3</v>
      </c>
      <c r="S33" s="7">
        <v>1</v>
      </c>
      <c r="T33" s="7">
        <v>1</v>
      </c>
      <c r="U33" s="7">
        <v>3</v>
      </c>
      <c r="V33" s="7">
        <v>1</v>
      </c>
      <c r="W33" s="40">
        <v>1.3000688016831126</v>
      </c>
      <c r="X33" s="40">
        <v>1.1402055962339039</v>
      </c>
      <c r="Y33" s="41">
        <v>15.58216710645304</v>
      </c>
      <c r="Z33" s="41">
        <v>1.731351900717004</v>
      </c>
      <c r="AA33" s="41" t="s">
        <v>773</v>
      </c>
      <c r="AB33" s="6">
        <v>0</v>
      </c>
      <c r="AC33" s="7" t="s">
        <v>859</v>
      </c>
      <c r="AD33" s="7">
        <v>1</v>
      </c>
      <c r="AE33" s="7">
        <v>1</v>
      </c>
      <c r="AF33" s="7">
        <v>1</v>
      </c>
      <c r="AG33" s="7">
        <v>1</v>
      </c>
      <c r="AH33" s="7">
        <v>1</v>
      </c>
      <c r="AI33" s="40">
        <v>1.05</v>
      </c>
      <c r="AJ33" s="40">
        <v>1.0246950765959599</v>
      </c>
      <c r="AK33" s="41">
        <v>0</v>
      </c>
      <c r="AL33" s="41">
        <v>-1</v>
      </c>
      <c r="AM33" s="41" t="s">
        <v>744</v>
      </c>
      <c r="AN33" s="11">
        <v>0.13435157686324425</v>
      </c>
      <c r="AO33" s="7" t="s">
        <v>860</v>
      </c>
      <c r="AP33" s="7">
        <v>3</v>
      </c>
      <c r="AQ33" s="7">
        <v>1</v>
      </c>
      <c r="AR33" s="7">
        <v>1</v>
      </c>
      <c r="AS33" s="7">
        <v>3</v>
      </c>
      <c r="AT33" s="7">
        <v>1</v>
      </c>
      <c r="AU33" s="40">
        <v>1.3000688016831126</v>
      </c>
      <c r="AV33" s="40">
        <v>1.1402055962339039</v>
      </c>
      <c r="AW33" s="41">
        <v>3.045130436202697</v>
      </c>
      <c r="AX33" s="41">
        <v>19.620256210522847</v>
      </c>
      <c r="AY33" s="41" t="s">
        <v>861</v>
      </c>
    </row>
    <row r="34" spans="1:51" x14ac:dyDescent="0.3">
      <c r="A34">
        <v>60</v>
      </c>
      <c r="B34" t="s">
        <v>537</v>
      </c>
      <c r="C34" t="s">
        <v>19</v>
      </c>
      <c r="D34" s="6">
        <v>0.59854391398996776</v>
      </c>
      <c r="E34" s="7" t="s">
        <v>847</v>
      </c>
      <c r="F34" s="7">
        <v>3</v>
      </c>
      <c r="G34" s="7">
        <v>1</v>
      </c>
      <c r="H34" s="7">
        <v>1</v>
      </c>
      <c r="I34" s="7">
        <v>3</v>
      </c>
      <c r="J34" s="7">
        <v>3</v>
      </c>
      <c r="K34" s="40">
        <v>1.3713425173473328</v>
      </c>
      <c r="L34" s="40">
        <v>1.1710433456312934</v>
      </c>
      <c r="M34" s="41">
        <v>19.06572072857082</v>
      </c>
      <c r="N34" s="41">
        <v>12.787782887356652</v>
      </c>
      <c r="O34" s="41" t="s">
        <v>918</v>
      </c>
      <c r="P34" s="6">
        <v>0.85256410256410253</v>
      </c>
      <c r="Q34" s="7" t="s">
        <v>849</v>
      </c>
      <c r="R34" s="7">
        <v>1</v>
      </c>
      <c r="S34" s="7">
        <v>3</v>
      </c>
      <c r="T34" s="7">
        <v>1</v>
      </c>
      <c r="U34" s="7">
        <v>3</v>
      </c>
      <c r="V34" s="7">
        <v>2</v>
      </c>
      <c r="W34" s="40">
        <v>1.2456465205819256</v>
      </c>
      <c r="X34" s="40">
        <v>1.1160853554195242</v>
      </c>
      <c r="Y34" s="41">
        <v>30.957346121460425</v>
      </c>
      <c r="Z34" s="41">
        <v>5.3535260210044351</v>
      </c>
      <c r="AA34" s="41" t="s">
        <v>919</v>
      </c>
      <c r="AB34" s="6">
        <v>0.64615384615384608</v>
      </c>
      <c r="AC34" s="7" t="s">
        <v>849</v>
      </c>
      <c r="AD34" s="7">
        <v>1</v>
      </c>
      <c r="AE34" s="7">
        <v>3</v>
      </c>
      <c r="AF34" s="7">
        <v>1</v>
      </c>
      <c r="AG34" s="7">
        <v>3</v>
      </c>
      <c r="AH34" s="7">
        <v>2</v>
      </c>
      <c r="AI34" s="40">
        <v>1.2456465205819256</v>
      </c>
      <c r="AJ34" s="40">
        <v>1.1160853554195242</v>
      </c>
      <c r="AK34" s="41">
        <v>43.206054358081431</v>
      </c>
      <c r="AL34" s="41">
        <v>23.660458338949365</v>
      </c>
      <c r="AM34" s="41" t="s">
        <v>920</v>
      </c>
      <c r="AN34" s="6">
        <v>1</v>
      </c>
      <c r="AO34" s="42" t="s">
        <v>917</v>
      </c>
      <c r="AP34" s="7">
        <v>1</v>
      </c>
      <c r="AQ34" s="7">
        <v>1</v>
      </c>
      <c r="AR34" s="7">
        <v>1</v>
      </c>
      <c r="AS34" s="7">
        <v>1</v>
      </c>
      <c r="AT34" s="7">
        <v>1</v>
      </c>
      <c r="AU34" s="40">
        <v>1.05</v>
      </c>
      <c r="AV34" s="40">
        <v>1.0246950765959599</v>
      </c>
      <c r="AW34" s="41">
        <v>-1</v>
      </c>
      <c r="AX34" s="41">
        <v>0</v>
      </c>
      <c r="AY34" s="41" t="s">
        <v>754</v>
      </c>
    </row>
    <row r="35" spans="1:51" x14ac:dyDescent="0.3">
      <c r="A35">
        <v>28</v>
      </c>
      <c r="B35" t="s">
        <v>538</v>
      </c>
      <c r="C35" t="s">
        <v>20</v>
      </c>
      <c r="D35" s="6">
        <v>0.78755499685732244</v>
      </c>
      <c r="E35" s="42" t="s">
        <v>811</v>
      </c>
      <c r="F35" s="7">
        <v>1</v>
      </c>
      <c r="G35" s="7">
        <v>4</v>
      </c>
      <c r="H35" s="7">
        <v>1</v>
      </c>
      <c r="I35" s="42">
        <v>2</v>
      </c>
      <c r="J35" s="42">
        <v>1</v>
      </c>
      <c r="K35" s="40">
        <v>1.1925122738235221</v>
      </c>
      <c r="L35" s="40">
        <v>1.0920221031753534</v>
      </c>
      <c r="M35" s="41">
        <v>61.454508870788956</v>
      </c>
      <c r="N35" s="41">
        <v>16.577513167060388</v>
      </c>
      <c r="O35" s="41" t="s">
        <v>812</v>
      </c>
      <c r="P35" s="6">
        <v>0.85500544069640916</v>
      </c>
      <c r="Q35" s="42" t="s">
        <v>811</v>
      </c>
      <c r="R35" s="7">
        <v>1</v>
      </c>
      <c r="S35" s="42">
        <v>4</v>
      </c>
      <c r="T35" s="7">
        <v>1</v>
      </c>
      <c r="U35" s="7">
        <v>2</v>
      </c>
      <c r="V35" s="42">
        <v>1</v>
      </c>
      <c r="W35" s="40">
        <v>1.1925122738235221</v>
      </c>
      <c r="X35" s="40">
        <v>1.0920221031753534</v>
      </c>
      <c r="Y35" s="41">
        <v>49.213559567567756</v>
      </c>
      <c r="Z35" s="41">
        <v>8.3457929524383108</v>
      </c>
      <c r="AA35" s="41" t="s">
        <v>813</v>
      </c>
      <c r="AB35" s="6">
        <v>0.84455958549222798</v>
      </c>
      <c r="AC35" s="42" t="s">
        <v>811</v>
      </c>
      <c r="AD35" s="7">
        <v>1</v>
      </c>
      <c r="AE35" s="7">
        <v>4</v>
      </c>
      <c r="AF35" s="7">
        <v>1</v>
      </c>
      <c r="AG35" s="42">
        <v>2</v>
      </c>
      <c r="AH35" s="42">
        <v>1</v>
      </c>
      <c r="AI35" s="40">
        <v>1.1925122738235221</v>
      </c>
      <c r="AJ35" s="40">
        <v>1.0920221031753534</v>
      </c>
      <c r="AK35" s="41">
        <v>51.527568101857518</v>
      </c>
      <c r="AL35" s="41">
        <v>9.4836014911394191</v>
      </c>
      <c r="AM35" s="41" t="s">
        <v>814</v>
      </c>
      <c r="AN35" s="6">
        <v>1</v>
      </c>
      <c r="AO35" s="42" t="s">
        <v>811</v>
      </c>
      <c r="AP35" s="7">
        <v>1</v>
      </c>
      <c r="AQ35" s="7">
        <v>4</v>
      </c>
      <c r="AR35" s="7">
        <v>1</v>
      </c>
      <c r="AS35" s="42">
        <v>2</v>
      </c>
      <c r="AT35" s="42">
        <v>1</v>
      </c>
      <c r="AU35" s="40">
        <v>1.1925122738235221</v>
      </c>
      <c r="AV35" s="40">
        <v>1.0920221031753534</v>
      </c>
      <c r="AW35" s="41">
        <v>-1</v>
      </c>
      <c r="AX35" s="41">
        <v>0</v>
      </c>
      <c r="AY35" s="41" t="s">
        <v>754</v>
      </c>
    </row>
    <row r="36" spans="1:51" x14ac:dyDescent="0.3">
      <c r="A36">
        <v>76</v>
      </c>
      <c r="B36" t="s">
        <v>982</v>
      </c>
      <c r="C36" t="s">
        <v>1024</v>
      </c>
      <c r="D36" s="6">
        <v>0.57576959999999999</v>
      </c>
      <c r="E36" s="7" t="s">
        <v>868</v>
      </c>
      <c r="F36" s="7">
        <v>3</v>
      </c>
      <c r="G36" s="7">
        <v>3</v>
      </c>
      <c r="H36" s="7">
        <v>1</v>
      </c>
      <c r="I36" s="42">
        <v>3</v>
      </c>
      <c r="J36" s="42">
        <v>1</v>
      </c>
      <c r="K36" s="40">
        <v>1.3145177818010416</v>
      </c>
      <c r="L36" s="40">
        <v>1.1465242177124046</v>
      </c>
      <c r="M36" s="41">
        <v>25.626590858230902</v>
      </c>
      <c r="N36" s="41">
        <v>18.881821635639742</v>
      </c>
      <c r="O36" s="41" t="s">
        <v>954</v>
      </c>
      <c r="P36" s="6">
        <v>1</v>
      </c>
      <c r="Q36" s="7" t="s">
        <v>870</v>
      </c>
      <c r="R36" s="7">
        <v>3</v>
      </c>
      <c r="S36" s="42">
        <v>1</v>
      </c>
      <c r="T36" s="7">
        <v>1</v>
      </c>
      <c r="U36" s="7">
        <v>3</v>
      </c>
      <c r="V36" s="42">
        <v>1</v>
      </c>
      <c r="W36" s="40">
        <v>1.3000688016831126</v>
      </c>
      <c r="X36" s="40">
        <v>1.1402055962339039</v>
      </c>
      <c r="Y36" s="41">
        <v>-1</v>
      </c>
      <c r="Z36" s="41">
        <v>0</v>
      </c>
      <c r="AA36" s="41" t="s">
        <v>754</v>
      </c>
      <c r="AB36" s="6">
        <v>0</v>
      </c>
      <c r="AC36" s="7" t="s">
        <v>758</v>
      </c>
      <c r="AD36" s="7">
        <v>1</v>
      </c>
      <c r="AE36" s="7">
        <v>1</v>
      </c>
      <c r="AF36" s="7">
        <v>1</v>
      </c>
      <c r="AG36" s="42">
        <v>1</v>
      </c>
      <c r="AH36" s="42">
        <v>1</v>
      </c>
      <c r="AI36" s="40">
        <v>1.05</v>
      </c>
      <c r="AJ36" s="40">
        <v>1.0246950765959599</v>
      </c>
      <c r="AK36" s="41">
        <v>0</v>
      </c>
      <c r="AL36" s="41">
        <v>-1</v>
      </c>
      <c r="AM36" s="41" t="s">
        <v>744</v>
      </c>
      <c r="AN36" s="6">
        <v>0</v>
      </c>
      <c r="AO36" s="7" t="s">
        <v>955</v>
      </c>
      <c r="AP36" s="7">
        <v>1</v>
      </c>
      <c r="AQ36" s="7">
        <v>1</v>
      </c>
      <c r="AR36" s="7">
        <v>1</v>
      </c>
      <c r="AS36" s="42">
        <v>1</v>
      </c>
      <c r="AT36" s="42">
        <v>1</v>
      </c>
      <c r="AU36" s="40">
        <v>1.05</v>
      </c>
      <c r="AV36" s="40">
        <v>1.0246950765959599</v>
      </c>
      <c r="AW36" s="41">
        <v>0</v>
      </c>
      <c r="AX36" s="41">
        <v>-1</v>
      </c>
      <c r="AY36" s="41" t="s">
        <v>744</v>
      </c>
    </row>
    <row r="37" spans="1:51" x14ac:dyDescent="0.3">
      <c r="A37">
        <v>82</v>
      </c>
      <c r="B37" t="s">
        <v>552</v>
      </c>
      <c r="C37" t="s">
        <v>15</v>
      </c>
      <c r="D37" s="6">
        <v>0.89204545454545459</v>
      </c>
      <c r="E37" s="42" t="s">
        <v>970</v>
      </c>
      <c r="F37" s="7">
        <v>1</v>
      </c>
      <c r="G37" s="7">
        <v>4</v>
      </c>
      <c r="H37" s="7">
        <v>1</v>
      </c>
      <c r="I37" s="42">
        <v>2</v>
      </c>
      <c r="J37" s="42">
        <v>2</v>
      </c>
      <c r="K37" s="40">
        <v>1.2143010470622784</v>
      </c>
      <c r="L37" s="40">
        <v>1.1019532871507205</v>
      </c>
      <c r="M37" s="41">
        <v>32.165638869177329</v>
      </c>
      <c r="N37" s="41">
        <v>3.8926569332125416</v>
      </c>
      <c r="O37" s="41" t="s">
        <v>971</v>
      </c>
      <c r="P37" s="6">
        <v>0.94426751592356684</v>
      </c>
      <c r="Q37" s="42" t="s">
        <v>970</v>
      </c>
      <c r="R37" s="7">
        <v>1</v>
      </c>
      <c r="S37" s="42">
        <v>4</v>
      </c>
      <c r="T37" s="7">
        <v>1</v>
      </c>
      <c r="U37" s="7">
        <v>2</v>
      </c>
      <c r="V37" s="42">
        <v>2</v>
      </c>
      <c r="W37" s="40">
        <v>1.2143010470622784</v>
      </c>
      <c r="X37" s="40">
        <v>1.1019532871507205</v>
      </c>
      <c r="Y37" s="41">
        <v>18.178732513449066</v>
      </c>
      <c r="Z37" s="41">
        <v>1.0729437402541615</v>
      </c>
      <c r="AA37" s="41" t="s">
        <v>972</v>
      </c>
      <c r="AB37" s="6">
        <v>0.80285714285714282</v>
      </c>
      <c r="AC37" s="42" t="s">
        <v>970</v>
      </c>
      <c r="AD37" s="7">
        <v>1</v>
      </c>
      <c r="AE37" s="7">
        <v>4</v>
      </c>
      <c r="AF37" s="7">
        <v>1</v>
      </c>
      <c r="AG37" s="42">
        <v>2</v>
      </c>
      <c r="AH37" s="42">
        <v>2</v>
      </c>
      <c r="AI37" s="40">
        <v>1.2143010470622784</v>
      </c>
      <c r="AJ37" s="40">
        <v>1.1019532871507205</v>
      </c>
      <c r="AK37" s="41">
        <v>48.09784818947751</v>
      </c>
      <c r="AL37" s="41">
        <v>11.810503647949995</v>
      </c>
      <c r="AM37" s="41" t="s">
        <v>973</v>
      </c>
      <c r="AN37" s="6">
        <v>1</v>
      </c>
      <c r="AO37" s="42" t="s">
        <v>970</v>
      </c>
      <c r="AP37" s="7">
        <v>1</v>
      </c>
      <c r="AQ37" s="7">
        <v>4</v>
      </c>
      <c r="AR37" s="7">
        <v>1</v>
      </c>
      <c r="AS37" s="42">
        <v>2</v>
      </c>
      <c r="AT37" s="42">
        <v>2</v>
      </c>
      <c r="AU37" s="40">
        <v>1.2143010470622784</v>
      </c>
      <c r="AV37" s="40">
        <v>1.1019532871507205</v>
      </c>
      <c r="AW37" s="41">
        <v>-1</v>
      </c>
      <c r="AX37" s="41">
        <v>0</v>
      </c>
      <c r="AY37" s="41" t="s">
        <v>754</v>
      </c>
    </row>
    <row r="38" spans="1:51" x14ac:dyDescent="0.3">
      <c r="A38">
        <v>46</v>
      </c>
      <c r="B38" t="s">
        <v>979</v>
      </c>
      <c r="C38" t="s">
        <v>702</v>
      </c>
      <c r="D38" s="6">
        <v>0.67917067200000003</v>
      </c>
      <c r="E38" s="7" t="s">
        <v>868</v>
      </c>
      <c r="F38" s="7">
        <v>2</v>
      </c>
      <c r="G38" s="7">
        <v>3</v>
      </c>
      <c r="H38" s="7">
        <v>1</v>
      </c>
      <c r="I38" s="42">
        <v>2</v>
      </c>
      <c r="J38" s="42">
        <v>1</v>
      </c>
      <c r="K38" s="40">
        <v>1.1766845455095114</v>
      </c>
      <c r="L38" s="40">
        <v>1.0847509140394911</v>
      </c>
      <c r="M38" s="41">
        <v>81.735232749556772</v>
      </c>
      <c r="N38" s="41">
        <v>38.610412489901933</v>
      </c>
      <c r="O38" s="41" t="s">
        <v>876</v>
      </c>
      <c r="P38" s="6">
        <v>0.99872281093139992</v>
      </c>
      <c r="Q38" s="7" t="s">
        <v>877</v>
      </c>
      <c r="R38" s="7">
        <v>2</v>
      </c>
      <c r="S38" s="42">
        <v>1</v>
      </c>
      <c r="T38" s="7">
        <v>1</v>
      </c>
      <c r="U38" s="7">
        <v>3</v>
      </c>
      <c r="V38" s="42">
        <v>1</v>
      </c>
      <c r="W38" s="40">
        <v>1.2354522921220721</v>
      </c>
      <c r="X38" s="40">
        <v>1.1115090157628376</v>
      </c>
      <c r="Y38" s="41">
        <v>-0.58891035179687889</v>
      </c>
      <c r="Z38" s="41">
        <v>-7.5311172976909801E-4</v>
      </c>
      <c r="AA38" s="41" t="s">
        <v>878</v>
      </c>
      <c r="AB38" s="6">
        <v>0</v>
      </c>
      <c r="AC38" s="7" t="s">
        <v>871</v>
      </c>
      <c r="AD38" s="7">
        <v>1</v>
      </c>
      <c r="AE38" s="7">
        <v>1</v>
      </c>
      <c r="AF38" s="7">
        <v>1</v>
      </c>
      <c r="AG38" s="7">
        <v>1</v>
      </c>
      <c r="AH38" s="7">
        <v>1</v>
      </c>
      <c r="AI38" s="40">
        <v>1.05</v>
      </c>
      <c r="AJ38" s="40">
        <v>1.0246950765959599</v>
      </c>
      <c r="AK38" s="41">
        <v>0</v>
      </c>
      <c r="AL38" s="41">
        <v>-1</v>
      </c>
      <c r="AM38" s="41" t="s">
        <v>744</v>
      </c>
      <c r="AN38" s="6">
        <v>0.98899999999999999</v>
      </c>
      <c r="AO38" s="7" t="s">
        <v>872</v>
      </c>
      <c r="AP38" s="7">
        <v>3</v>
      </c>
      <c r="AQ38" s="7">
        <v>1</v>
      </c>
      <c r="AR38" s="7">
        <v>1</v>
      </c>
      <c r="AS38" s="7">
        <v>3</v>
      </c>
      <c r="AT38" s="7">
        <v>1</v>
      </c>
      <c r="AU38" s="40">
        <v>1.3000688016831126</v>
      </c>
      <c r="AV38" s="40">
        <v>1.1402055962339039</v>
      </c>
      <c r="AW38" s="41">
        <v>1.2003468085881566</v>
      </c>
      <c r="AX38" s="41">
        <v>1.3350672289655949E-2</v>
      </c>
      <c r="AY38" s="41" t="s">
        <v>879</v>
      </c>
    </row>
    <row r="39" spans="1:51" x14ac:dyDescent="0.3">
      <c r="A39">
        <v>59</v>
      </c>
      <c r="B39" t="s">
        <v>540</v>
      </c>
      <c r="C39" t="s">
        <v>22</v>
      </c>
      <c r="D39" s="6">
        <v>0.5954249168234127</v>
      </c>
      <c r="E39" s="7" t="s">
        <v>847</v>
      </c>
      <c r="F39" s="7">
        <v>3</v>
      </c>
      <c r="G39" s="7">
        <v>1</v>
      </c>
      <c r="H39" s="7">
        <v>1</v>
      </c>
      <c r="I39" s="7">
        <v>3</v>
      </c>
      <c r="J39" s="7">
        <v>3</v>
      </c>
      <c r="K39" s="40">
        <v>1.3713425173473328</v>
      </c>
      <c r="L39" s="40">
        <v>1.1710433456312934</v>
      </c>
      <c r="M39" s="41">
        <v>19.01562147883039</v>
      </c>
      <c r="N39" s="41">
        <v>12.920599095005491</v>
      </c>
      <c r="O39" s="41" t="s">
        <v>914</v>
      </c>
      <c r="P39" s="6">
        <v>0.67924528301886788</v>
      </c>
      <c r="Q39" s="7" t="s">
        <v>849</v>
      </c>
      <c r="R39" s="7">
        <v>1</v>
      </c>
      <c r="S39" s="7">
        <v>3</v>
      </c>
      <c r="T39" s="7">
        <v>1</v>
      </c>
      <c r="U39" s="7">
        <v>3</v>
      </c>
      <c r="V39" s="7">
        <v>3</v>
      </c>
      <c r="W39" s="40">
        <v>1.308762891140433</v>
      </c>
      <c r="X39" s="40">
        <v>1.1440117530604452</v>
      </c>
      <c r="Y39" s="41">
        <v>27.863150976213088</v>
      </c>
      <c r="Z39" s="41">
        <v>13.157599072100627</v>
      </c>
      <c r="AA39" s="41" t="s">
        <v>915</v>
      </c>
      <c r="AB39" s="6">
        <v>0.58823529411764708</v>
      </c>
      <c r="AC39" s="7" t="s">
        <v>849</v>
      </c>
      <c r="AD39" s="7">
        <v>1</v>
      </c>
      <c r="AE39" s="7">
        <v>3</v>
      </c>
      <c r="AF39" s="7">
        <v>1</v>
      </c>
      <c r="AG39" s="7">
        <v>3</v>
      </c>
      <c r="AH39" s="7">
        <v>3</v>
      </c>
      <c r="AI39" s="40">
        <v>1.308762891140433</v>
      </c>
      <c r="AJ39" s="40">
        <v>1.1440117530604452</v>
      </c>
      <c r="AK39" s="41">
        <v>26.891680209501288</v>
      </c>
      <c r="AL39" s="41">
        <v>18.824176146650899</v>
      </c>
      <c r="AM39" s="41" t="s">
        <v>916</v>
      </c>
      <c r="AN39" s="6">
        <v>1</v>
      </c>
      <c r="AO39" s="42" t="s">
        <v>917</v>
      </c>
      <c r="AP39" s="7">
        <v>1</v>
      </c>
      <c r="AQ39" s="7">
        <v>1</v>
      </c>
      <c r="AR39" s="7">
        <v>1</v>
      </c>
      <c r="AS39" s="7">
        <v>1</v>
      </c>
      <c r="AT39" s="7">
        <v>1</v>
      </c>
      <c r="AU39" s="40">
        <v>1.05</v>
      </c>
      <c r="AV39" s="40">
        <v>1.0246950765959599</v>
      </c>
      <c r="AW39" s="41">
        <v>-1</v>
      </c>
      <c r="AX39" s="41">
        <v>0</v>
      </c>
      <c r="AY39" s="41" t="s">
        <v>754</v>
      </c>
    </row>
    <row r="40" spans="1:51" x14ac:dyDescent="0.3">
      <c r="A40">
        <v>78</v>
      </c>
      <c r="B40" t="s">
        <v>539</v>
      </c>
      <c r="C40" t="s">
        <v>21</v>
      </c>
      <c r="D40" s="6">
        <v>0.68191896000000007</v>
      </c>
      <c r="E40" s="7" t="s">
        <v>868</v>
      </c>
      <c r="F40" s="7">
        <v>2</v>
      </c>
      <c r="G40" s="7">
        <v>3</v>
      </c>
      <c r="H40" s="7">
        <v>1</v>
      </c>
      <c r="I40" s="42">
        <v>1</v>
      </c>
      <c r="J40" s="42">
        <v>1</v>
      </c>
      <c r="K40" s="40">
        <v>1.1409505340208952</v>
      </c>
      <c r="L40" s="40">
        <v>1.0681528607932926</v>
      </c>
      <c r="M40" s="41">
        <v>126.69628595974429</v>
      </c>
      <c r="N40" s="41">
        <v>59.097471644156727</v>
      </c>
      <c r="O40" s="41" t="s">
        <v>958</v>
      </c>
      <c r="P40" s="6">
        <v>1</v>
      </c>
      <c r="Q40" s="7" t="s">
        <v>870</v>
      </c>
      <c r="R40" s="7">
        <v>3</v>
      </c>
      <c r="S40" s="42">
        <v>1</v>
      </c>
      <c r="T40" s="7">
        <v>1</v>
      </c>
      <c r="U40" s="7">
        <v>3</v>
      </c>
      <c r="V40" s="42">
        <v>1</v>
      </c>
      <c r="W40" s="40">
        <v>1.3000688016831126</v>
      </c>
      <c r="X40" s="40">
        <v>1.1402055962339039</v>
      </c>
      <c r="Y40" s="41">
        <v>-1</v>
      </c>
      <c r="Z40" s="41">
        <v>0</v>
      </c>
      <c r="AA40" s="41" t="s">
        <v>754</v>
      </c>
      <c r="AB40" s="6">
        <v>0</v>
      </c>
      <c r="AC40" s="7" t="s">
        <v>758</v>
      </c>
      <c r="AD40" s="7">
        <v>1</v>
      </c>
      <c r="AE40" s="7">
        <v>1</v>
      </c>
      <c r="AF40" s="7">
        <v>1</v>
      </c>
      <c r="AG40" s="42">
        <v>1</v>
      </c>
      <c r="AH40" s="42">
        <v>1</v>
      </c>
      <c r="AI40" s="40">
        <v>1.05</v>
      </c>
      <c r="AJ40" s="40">
        <v>1.0246950765959599</v>
      </c>
      <c r="AK40" s="41">
        <v>0</v>
      </c>
      <c r="AL40" s="41">
        <v>-1</v>
      </c>
      <c r="AM40" s="41" t="s">
        <v>744</v>
      </c>
      <c r="AN40" s="6">
        <v>0.99250000000000005</v>
      </c>
      <c r="AO40" s="7" t="s">
        <v>872</v>
      </c>
      <c r="AP40" s="7">
        <v>3</v>
      </c>
      <c r="AQ40" s="7">
        <v>1</v>
      </c>
      <c r="AR40" s="7">
        <v>1</v>
      </c>
      <c r="AS40" s="42">
        <v>3</v>
      </c>
      <c r="AT40" s="42">
        <v>1</v>
      </c>
      <c r="AU40" s="40">
        <v>1.3000688016831126</v>
      </c>
      <c r="AV40" s="40">
        <v>1.1402055962339039</v>
      </c>
      <c r="AW40" s="41">
        <v>0.51082052979221104</v>
      </c>
      <c r="AX40" s="41">
        <v>3.8601047591350713E-3</v>
      </c>
      <c r="AY40" s="41" t="s">
        <v>959</v>
      </c>
    </row>
    <row r="41" spans="1:51" x14ac:dyDescent="0.3">
      <c r="A41">
        <v>75</v>
      </c>
      <c r="B41" t="s">
        <v>1023</v>
      </c>
      <c r="C41" t="s">
        <v>444</v>
      </c>
      <c r="D41" s="6">
        <v>0.50393700787401574</v>
      </c>
      <c r="E41" s="42" t="s">
        <v>950</v>
      </c>
      <c r="F41" s="7">
        <v>2</v>
      </c>
      <c r="G41" s="7">
        <v>3</v>
      </c>
      <c r="H41" s="7">
        <v>1</v>
      </c>
      <c r="I41" s="42">
        <v>2</v>
      </c>
      <c r="J41" s="42">
        <v>1</v>
      </c>
      <c r="K41" s="40">
        <v>1.1766845455095114</v>
      </c>
      <c r="L41" s="40">
        <v>1.0847509140394911</v>
      </c>
      <c r="M41" s="41">
        <v>69.651372398459188</v>
      </c>
      <c r="N41" s="41">
        <v>68.563069704733266</v>
      </c>
      <c r="O41" s="41" t="s">
        <v>953</v>
      </c>
      <c r="P41" s="6">
        <v>1</v>
      </c>
      <c r="Q41" s="42" t="s">
        <v>950</v>
      </c>
      <c r="R41" s="7">
        <v>1</v>
      </c>
      <c r="S41" s="42">
        <v>3</v>
      </c>
      <c r="T41" s="7">
        <v>1</v>
      </c>
      <c r="U41" s="7">
        <v>2</v>
      </c>
      <c r="V41" s="42">
        <v>1</v>
      </c>
      <c r="W41" s="40">
        <v>1.1409505340208952</v>
      </c>
      <c r="X41" s="40">
        <v>1.0681528607932926</v>
      </c>
      <c r="Y41" s="41">
        <v>-1</v>
      </c>
      <c r="Z41" s="41">
        <v>0</v>
      </c>
      <c r="AA41" s="41" t="s">
        <v>754</v>
      </c>
      <c r="AB41" s="6">
        <v>1</v>
      </c>
      <c r="AC41" s="42" t="s">
        <v>950</v>
      </c>
      <c r="AD41" s="7">
        <v>1</v>
      </c>
      <c r="AE41" s="7">
        <v>3</v>
      </c>
      <c r="AF41" s="7">
        <v>1</v>
      </c>
      <c r="AG41" s="42">
        <v>2</v>
      </c>
      <c r="AH41" s="42">
        <v>1</v>
      </c>
      <c r="AI41" s="40">
        <v>1.1409505340208952</v>
      </c>
      <c r="AJ41" s="40">
        <v>1.0681528607932926</v>
      </c>
      <c r="AK41" s="41">
        <v>-1</v>
      </c>
      <c r="AL41" s="41">
        <v>0</v>
      </c>
      <c r="AM41" s="41" t="s">
        <v>754</v>
      </c>
      <c r="AN41" s="6">
        <v>1</v>
      </c>
      <c r="AO41" s="42" t="s">
        <v>950</v>
      </c>
      <c r="AP41" s="7">
        <v>1</v>
      </c>
      <c r="AQ41" s="7">
        <v>3</v>
      </c>
      <c r="AR41" s="7">
        <v>1</v>
      </c>
      <c r="AS41" s="42">
        <v>2</v>
      </c>
      <c r="AT41" s="42">
        <v>1</v>
      </c>
      <c r="AU41" s="40">
        <v>1.1409505340208952</v>
      </c>
      <c r="AV41" s="40">
        <v>1.0681528607932926</v>
      </c>
      <c r="AW41" s="41">
        <v>-1</v>
      </c>
      <c r="AX41" s="41">
        <v>0</v>
      </c>
      <c r="AY41" s="41" t="s">
        <v>754</v>
      </c>
    </row>
    <row r="42" spans="1:51" x14ac:dyDescent="0.3">
      <c r="A42">
        <v>45</v>
      </c>
      <c r="B42" t="s">
        <v>980</v>
      </c>
      <c r="C42" t="s">
        <v>707</v>
      </c>
      <c r="D42" s="6">
        <v>0.61975199999999997</v>
      </c>
      <c r="E42" s="7" t="s">
        <v>868</v>
      </c>
      <c r="F42" s="7">
        <v>2</v>
      </c>
      <c r="G42" s="7">
        <v>3</v>
      </c>
      <c r="H42" s="7">
        <v>1</v>
      </c>
      <c r="I42" s="42">
        <v>2</v>
      </c>
      <c r="J42" s="42">
        <v>1</v>
      </c>
      <c r="K42" s="40">
        <v>1.1766845455095114</v>
      </c>
      <c r="L42" s="40">
        <v>1.0847509140394911</v>
      </c>
      <c r="M42" s="41">
        <v>80.714602098934549</v>
      </c>
      <c r="N42" s="41">
        <v>49.522334770869108</v>
      </c>
      <c r="O42" s="41" t="s">
        <v>874</v>
      </c>
      <c r="P42" s="6">
        <v>1</v>
      </c>
      <c r="Q42" s="7" t="s">
        <v>870</v>
      </c>
      <c r="R42" s="7">
        <v>3</v>
      </c>
      <c r="S42" s="42">
        <v>1</v>
      </c>
      <c r="T42" s="7">
        <v>1</v>
      </c>
      <c r="U42" s="7">
        <v>3</v>
      </c>
      <c r="V42" s="42">
        <v>1</v>
      </c>
      <c r="W42" s="40">
        <v>1.3000688016831126</v>
      </c>
      <c r="X42" s="40">
        <v>1.1402055962339039</v>
      </c>
      <c r="Y42" s="41">
        <v>-1</v>
      </c>
      <c r="Z42" s="41">
        <v>0</v>
      </c>
      <c r="AA42" s="41" t="s">
        <v>754</v>
      </c>
      <c r="AB42" s="6">
        <v>0</v>
      </c>
      <c r="AC42" s="7" t="s">
        <v>871</v>
      </c>
      <c r="AD42" s="7">
        <v>1</v>
      </c>
      <c r="AE42" s="7">
        <v>1</v>
      </c>
      <c r="AF42" s="7">
        <v>1</v>
      </c>
      <c r="AG42" s="7">
        <v>1</v>
      </c>
      <c r="AH42" s="7">
        <v>1</v>
      </c>
      <c r="AI42" s="40">
        <v>1.05</v>
      </c>
      <c r="AJ42" s="40">
        <v>1.0246950765959599</v>
      </c>
      <c r="AK42" s="41">
        <v>0</v>
      </c>
      <c r="AL42" s="41">
        <v>-1</v>
      </c>
      <c r="AM42" s="41" t="s">
        <v>744</v>
      </c>
      <c r="AN42" s="6">
        <v>0.98</v>
      </c>
      <c r="AO42" s="7" t="s">
        <v>872</v>
      </c>
      <c r="AP42" s="7">
        <v>3</v>
      </c>
      <c r="AQ42" s="7">
        <v>1</v>
      </c>
      <c r="AR42" s="7">
        <v>1</v>
      </c>
      <c r="AS42" s="7">
        <v>3</v>
      </c>
      <c r="AT42" s="7">
        <v>1</v>
      </c>
      <c r="AU42" s="40">
        <v>1.3000688016831126</v>
      </c>
      <c r="AV42" s="40">
        <v>1.1402055962339039</v>
      </c>
      <c r="AW42" s="41">
        <v>2.9285119232191397</v>
      </c>
      <c r="AX42" s="41">
        <v>5.9765549453451881E-2</v>
      </c>
      <c r="AY42" s="41" t="s">
        <v>875</v>
      </c>
    </row>
    <row r="43" spans="1:51" x14ac:dyDescent="0.3">
      <c r="A43">
        <v>44</v>
      </c>
      <c r="B43" t="s">
        <v>981</v>
      </c>
      <c r="C43" t="s">
        <v>1005</v>
      </c>
      <c r="D43" s="6">
        <v>0.62607599999999997</v>
      </c>
      <c r="E43" s="7" t="s">
        <v>868</v>
      </c>
      <c r="F43" s="7">
        <v>2</v>
      </c>
      <c r="G43" s="7">
        <v>3</v>
      </c>
      <c r="H43" s="7">
        <v>1</v>
      </c>
      <c r="I43" s="42">
        <v>2</v>
      </c>
      <c r="J43" s="42">
        <v>1</v>
      </c>
      <c r="K43" s="40">
        <v>1.1766845455095114</v>
      </c>
      <c r="L43" s="40">
        <v>1.0847509140394911</v>
      </c>
      <c r="M43" s="41">
        <v>80.996192796078347</v>
      </c>
      <c r="N43" s="41">
        <v>48.374990248916752</v>
      </c>
      <c r="O43" s="41" t="s">
        <v>869</v>
      </c>
      <c r="P43" s="6">
        <v>1</v>
      </c>
      <c r="Q43" s="7" t="s">
        <v>870</v>
      </c>
      <c r="R43" s="7">
        <v>3</v>
      </c>
      <c r="S43" s="42">
        <v>1</v>
      </c>
      <c r="T43" s="7">
        <v>1</v>
      </c>
      <c r="U43" s="7">
        <v>3</v>
      </c>
      <c r="V43" s="42">
        <v>1</v>
      </c>
      <c r="W43" s="40">
        <v>1.3000688016831126</v>
      </c>
      <c r="X43" s="40">
        <v>1.1402055962339039</v>
      </c>
      <c r="Y43" s="41">
        <v>-1</v>
      </c>
      <c r="Z43" s="41">
        <v>0</v>
      </c>
      <c r="AA43" s="41" t="s">
        <v>754</v>
      </c>
      <c r="AB43" s="6">
        <v>0</v>
      </c>
      <c r="AC43" s="7" t="s">
        <v>871</v>
      </c>
      <c r="AD43" s="7">
        <v>1</v>
      </c>
      <c r="AE43" s="7">
        <v>1</v>
      </c>
      <c r="AF43" s="7">
        <v>1</v>
      </c>
      <c r="AG43" s="7">
        <v>1</v>
      </c>
      <c r="AH43" s="7">
        <v>1</v>
      </c>
      <c r="AI43" s="40">
        <v>1.05</v>
      </c>
      <c r="AJ43" s="40">
        <v>1.0246950765959599</v>
      </c>
      <c r="AK43" s="41">
        <v>0</v>
      </c>
      <c r="AL43" s="41">
        <v>-1</v>
      </c>
      <c r="AM43" s="41" t="s">
        <v>744</v>
      </c>
      <c r="AN43" s="6">
        <v>0.99</v>
      </c>
      <c r="AO43" s="7" t="s">
        <v>872</v>
      </c>
      <c r="AP43" s="7">
        <v>3</v>
      </c>
      <c r="AQ43" s="7">
        <v>1</v>
      </c>
      <c r="AR43" s="7">
        <v>1</v>
      </c>
      <c r="AS43" s="7">
        <v>3</v>
      </c>
      <c r="AT43" s="7">
        <v>1</v>
      </c>
      <c r="AU43" s="40">
        <v>1.3000688016831126</v>
      </c>
      <c r="AV43" s="40">
        <v>1.1402055962339039</v>
      </c>
      <c r="AW43" s="40">
        <v>1.0043422198808201</v>
      </c>
      <c r="AX43" s="41">
        <v>1.014487090788708E-2</v>
      </c>
      <c r="AY43" s="41" t="s">
        <v>873</v>
      </c>
    </row>
    <row r="44" spans="1:51" x14ac:dyDescent="0.3">
      <c r="A44">
        <v>51</v>
      </c>
      <c r="B44" t="s">
        <v>1006</v>
      </c>
      <c r="C44" t="s">
        <v>162</v>
      </c>
      <c r="D44" s="6">
        <v>0.83044444444444443</v>
      </c>
      <c r="E44" s="7" t="s">
        <v>896</v>
      </c>
      <c r="F44" s="7">
        <v>3</v>
      </c>
      <c r="G44" s="7">
        <v>1</v>
      </c>
      <c r="H44" s="7">
        <v>1</v>
      </c>
      <c r="I44" s="42">
        <v>2</v>
      </c>
      <c r="J44" s="42">
        <v>1</v>
      </c>
      <c r="K44" s="40">
        <v>1.2354522921220721</v>
      </c>
      <c r="L44" s="40">
        <v>1.1115090157628376</v>
      </c>
      <c r="M44" s="41">
        <v>36.785608115866296</v>
      </c>
      <c r="N44" s="41">
        <v>7.5106820959074092</v>
      </c>
      <c r="O44" s="41" t="s">
        <v>897</v>
      </c>
      <c r="P44" s="6">
        <v>0.96316758747697973</v>
      </c>
      <c r="Q44" s="7" t="s">
        <v>898</v>
      </c>
      <c r="R44" s="7">
        <v>2</v>
      </c>
      <c r="S44" s="42">
        <v>3</v>
      </c>
      <c r="T44" s="7">
        <v>1</v>
      </c>
      <c r="U44" s="7">
        <v>2</v>
      </c>
      <c r="V44" s="42">
        <v>1</v>
      </c>
      <c r="W44" s="40">
        <v>1.1766845455095114</v>
      </c>
      <c r="X44" s="40">
        <v>1.0847509140394911</v>
      </c>
      <c r="Y44" s="41">
        <v>18.065356065300808</v>
      </c>
      <c r="Z44" s="41">
        <v>0.69083579599620715</v>
      </c>
      <c r="AA44" s="41" t="s">
        <v>899</v>
      </c>
      <c r="AB44" s="6">
        <v>0.29032258064516131</v>
      </c>
      <c r="AC44" s="7" t="s">
        <v>898</v>
      </c>
      <c r="AD44" s="7">
        <v>2</v>
      </c>
      <c r="AE44" s="42">
        <v>3</v>
      </c>
      <c r="AF44" s="7">
        <v>1</v>
      </c>
      <c r="AG44" s="7">
        <v>2</v>
      </c>
      <c r="AH44" s="42">
        <v>1</v>
      </c>
      <c r="AI44" s="40">
        <v>1.1766845455095114</v>
      </c>
      <c r="AJ44" s="40">
        <v>1.0847509140394911</v>
      </c>
      <c r="AK44" s="41">
        <v>33.021149713773333</v>
      </c>
      <c r="AL44" s="41">
        <v>80.718365967001475</v>
      </c>
      <c r="AM44" s="41" t="s">
        <v>900</v>
      </c>
      <c r="AN44" s="6">
        <v>0.83003952569169959</v>
      </c>
      <c r="AO44" s="7" t="s">
        <v>898</v>
      </c>
      <c r="AP44" s="7">
        <v>2</v>
      </c>
      <c r="AQ44" s="42">
        <v>3</v>
      </c>
      <c r="AR44" s="7">
        <v>1</v>
      </c>
      <c r="AS44" s="7">
        <v>2</v>
      </c>
      <c r="AT44" s="42">
        <v>1</v>
      </c>
      <c r="AU44" s="40">
        <v>1.1766845455095114</v>
      </c>
      <c r="AV44" s="40">
        <v>1.0847509140394911</v>
      </c>
      <c r="AW44" s="41">
        <v>64.380334517770521</v>
      </c>
      <c r="AX44" s="41">
        <v>13.182639925067297</v>
      </c>
      <c r="AY44" s="41" t="s">
        <v>901</v>
      </c>
    </row>
    <row r="45" spans="1:51" x14ac:dyDescent="0.3">
      <c r="A45">
        <v>21</v>
      </c>
      <c r="B45" t="s">
        <v>997</v>
      </c>
      <c r="C45" t="s">
        <v>998</v>
      </c>
      <c r="D45" s="9">
        <v>1.2609976827064825E-3</v>
      </c>
      <c r="E45" s="10" t="s">
        <v>775</v>
      </c>
      <c r="F45" s="7">
        <v>4</v>
      </c>
      <c r="G45" s="10">
        <v>1</v>
      </c>
      <c r="H45" s="10">
        <v>1</v>
      </c>
      <c r="I45" s="10">
        <v>3</v>
      </c>
      <c r="J45" s="10">
        <v>3</v>
      </c>
      <c r="K45" s="40">
        <v>1.5279171865856971</v>
      </c>
      <c r="L45" s="40">
        <v>1.2360894735356729</v>
      </c>
      <c r="M45" s="43">
        <v>-1.1470285270171981E-3</v>
      </c>
      <c r="N45" s="41">
        <v>-0.90847282466361501</v>
      </c>
      <c r="O45" s="41" t="s">
        <v>776</v>
      </c>
      <c r="P45" s="6">
        <v>0.95</v>
      </c>
      <c r="Q45" s="7" t="s">
        <v>745</v>
      </c>
      <c r="R45" s="7">
        <v>3</v>
      </c>
      <c r="S45" s="7">
        <v>1</v>
      </c>
      <c r="T45" s="7">
        <v>1</v>
      </c>
      <c r="U45" s="7">
        <v>3</v>
      </c>
      <c r="V45" s="7">
        <v>3</v>
      </c>
      <c r="W45" s="40">
        <v>1.3713425173473328</v>
      </c>
      <c r="X45" s="40">
        <v>1.1710433456312934</v>
      </c>
      <c r="Y45" s="41">
        <v>5.2197112731372268</v>
      </c>
      <c r="Z45" s="41">
        <v>0.27472164595459114</v>
      </c>
      <c r="AA45" s="41" t="s">
        <v>757</v>
      </c>
      <c r="AB45" s="6">
        <v>0</v>
      </c>
      <c r="AC45" s="7" t="s">
        <v>758</v>
      </c>
      <c r="AD45" s="7">
        <v>1</v>
      </c>
      <c r="AE45" s="7">
        <v>1</v>
      </c>
      <c r="AF45" s="7">
        <v>1</v>
      </c>
      <c r="AG45" s="7">
        <v>1</v>
      </c>
      <c r="AH45" s="7">
        <v>1</v>
      </c>
      <c r="AI45" s="40">
        <v>1.05</v>
      </c>
      <c r="AJ45" s="40">
        <v>1.0246950765959599</v>
      </c>
      <c r="AK45" s="41">
        <v>0</v>
      </c>
      <c r="AL45" s="41">
        <v>-1</v>
      </c>
      <c r="AM45" s="41" t="s">
        <v>744</v>
      </c>
      <c r="AN45" s="6">
        <v>0</v>
      </c>
      <c r="AO45" s="7" t="s">
        <v>777</v>
      </c>
      <c r="AP45" s="7">
        <v>1</v>
      </c>
      <c r="AQ45" s="10">
        <v>1</v>
      </c>
      <c r="AR45" s="10">
        <v>1</v>
      </c>
      <c r="AS45" s="10">
        <v>1</v>
      </c>
      <c r="AT45" s="10">
        <v>1</v>
      </c>
      <c r="AU45" s="40">
        <v>1.05</v>
      </c>
      <c r="AV45" s="40">
        <v>1.0246950765959599</v>
      </c>
      <c r="AW45" s="41">
        <v>0</v>
      </c>
      <c r="AX45" s="41">
        <v>-1</v>
      </c>
      <c r="AY45" s="41" t="s">
        <v>744</v>
      </c>
    </row>
    <row r="46" spans="1:51" x14ac:dyDescent="0.3">
      <c r="A46">
        <v>34</v>
      </c>
      <c r="B46" t="s">
        <v>549</v>
      </c>
      <c r="C46" t="s">
        <v>23</v>
      </c>
      <c r="D46" s="6">
        <v>4.4998140572703613E-2</v>
      </c>
      <c r="E46" s="42" t="s">
        <v>840</v>
      </c>
      <c r="F46" s="7">
        <v>1</v>
      </c>
      <c r="G46" s="7">
        <v>3</v>
      </c>
      <c r="H46" s="7">
        <v>1</v>
      </c>
      <c r="I46" s="42">
        <v>2</v>
      </c>
      <c r="J46" s="42">
        <v>1</v>
      </c>
      <c r="K46" s="40">
        <v>1.1409505340208952</v>
      </c>
      <c r="L46" s="40">
        <v>1.0681528607932926</v>
      </c>
      <c r="M46" s="41">
        <v>1.6202737970160177</v>
      </c>
      <c r="N46" s="41">
        <v>34.387298435844073</v>
      </c>
      <c r="O46" s="41" t="s">
        <v>841</v>
      </c>
      <c r="P46" s="6">
        <v>0.84586466165413532</v>
      </c>
      <c r="Q46" s="42" t="s">
        <v>840</v>
      </c>
      <c r="R46" s="7">
        <v>1</v>
      </c>
      <c r="S46" s="42">
        <v>3</v>
      </c>
      <c r="T46" s="7">
        <v>1</v>
      </c>
      <c r="U46" s="7">
        <v>2</v>
      </c>
      <c r="V46" s="42">
        <v>1</v>
      </c>
      <c r="W46" s="40">
        <v>1.1409505340208952</v>
      </c>
      <c r="X46" s="40">
        <v>1.0681528607932926</v>
      </c>
      <c r="Y46" s="41">
        <v>94.126181136857795</v>
      </c>
      <c r="Z46" s="41">
        <v>17.151881896049645</v>
      </c>
      <c r="AA46" s="41" t="s">
        <v>842</v>
      </c>
      <c r="AB46" s="6">
        <v>0.24390243902439021</v>
      </c>
      <c r="AC46" s="42" t="s">
        <v>840</v>
      </c>
      <c r="AD46" s="7">
        <v>1</v>
      </c>
      <c r="AE46" s="7">
        <v>3</v>
      </c>
      <c r="AF46" s="7">
        <v>1</v>
      </c>
      <c r="AG46" s="42">
        <v>2</v>
      </c>
      <c r="AH46" s="42">
        <v>1</v>
      </c>
      <c r="AI46" s="40">
        <v>1.1409505340208952</v>
      </c>
      <c r="AJ46" s="40">
        <v>1.0681528607932926</v>
      </c>
      <c r="AK46" s="41">
        <v>38.490952500802955</v>
      </c>
      <c r="AL46" s="41">
        <v>119.32195275248918</v>
      </c>
      <c r="AM46" s="41" t="s">
        <v>843</v>
      </c>
      <c r="AN46" s="6">
        <v>1</v>
      </c>
      <c r="AO46" s="42" t="s">
        <v>840</v>
      </c>
      <c r="AP46" s="7">
        <v>1</v>
      </c>
      <c r="AQ46" s="7">
        <v>3</v>
      </c>
      <c r="AR46" s="7">
        <v>1</v>
      </c>
      <c r="AS46" s="42">
        <v>2</v>
      </c>
      <c r="AT46" s="42">
        <v>1</v>
      </c>
      <c r="AU46" s="40">
        <v>1.1409505340208952</v>
      </c>
      <c r="AV46" s="40">
        <v>1.0681528607932926</v>
      </c>
      <c r="AW46" s="41">
        <v>-1</v>
      </c>
      <c r="AX46" s="41">
        <v>0</v>
      </c>
      <c r="AY46" s="41" t="s">
        <v>754</v>
      </c>
    </row>
    <row r="47" spans="1:51" x14ac:dyDescent="0.3">
      <c r="A47">
        <v>14</v>
      </c>
      <c r="B47" t="s">
        <v>541</v>
      </c>
      <c r="C47" t="s">
        <v>24</v>
      </c>
      <c r="D47" s="6">
        <v>0.8</v>
      </c>
      <c r="E47" s="7" t="s">
        <v>770</v>
      </c>
      <c r="F47" s="7">
        <v>3</v>
      </c>
      <c r="G47" s="7">
        <v>1</v>
      </c>
      <c r="H47" s="7">
        <v>1</v>
      </c>
      <c r="I47" s="7">
        <v>3</v>
      </c>
      <c r="J47" s="7">
        <v>1</v>
      </c>
      <c r="K47" s="40">
        <v>1.3000688016831126</v>
      </c>
      <c r="L47" s="40">
        <v>1.1402055962339039</v>
      </c>
      <c r="M47" s="41">
        <v>25.245893699086281</v>
      </c>
      <c r="N47" s="41">
        <v>6.3114734247715685</v>
      </c>
      <c r="O47" s="41" t="s">
        <v>771</v>
      </c>
      <c r="P47" s="6">
        <v>0.9</v>
      </c>
      <c r="Q47" s="7" t="s">
        <v>772</v>
      </c>
      <c r="R47" s="7">
        <v>3</v>
      </c>
      <c r="S47" s="7">
        <v>1</v>
      </c>
      <c r="T47" s="7">
        <v>1</v>
      </c>
      <c r="U47" s="7">
        <v>3</v>
      </c>
      <c r="V47" s="7">
        <v>1</v>
      </c>
      <c r="W47" s="40">
        <v>1.3000688016831126</v>
      </c>
      <c r="X47" s="40">
        <v>1.1402055962339039</v>
      </c>
      <c r="Y47" s="41">
        <v>15.58216710645304</v>
      </c>
      <c r="Z47" s="41">
        <v>1.731351900717004</v>
      </c>
      <c r="AA47" s="41" t="s">
        <v>773</v>
      </c>
      <c r="AB47" s="6">
        <v>0</v>
      </c>
      <c r="AC47" s="7" t="s">
        <v>758</v>
      </c>
      <c r="AD47" s="7">
        <v>1</v>
      </c>
      <c r="AE47" s="7">
        <v>1</v>
      </c>
      <c r="AF47" s="7">
        <v>1</v>
      </c>
      <c r="AG47" s="7">
        <v>1</v>
      </c>
      <c r="AH47" s="7">
        <v>1</v>
      </c>
      <c r="AI47" s="40">
        <v>1.05</v>
      </c>
      <c r="AJ47" s="40">
        <v>1.0246950765959599</v>
      </c>
      <c r="AK47" s="41">
        <v>0</v>
      </c>
      <c r="AL47" s="41">
        <v>-1</v>
      </c>
      <c r="AM47" s="41" t="s">
        <v>744</v>
      </c>
      <c r="AN47" s="6">
        <v>0</v>
      </c>
      <c r="AO47" s="7" t="s">
        <v>774</v>
      </c>
      <c r="AP47" s="7">
        <v>1</v>
      </c>
      <c r="AQ47" s="7">
        <v>1</v>
      </c>
      <c r="AR47" s="7">
        <v>1</v>
      </c>
      <c r="AS47" s="7">
        <v>1</v>
      </c>
      <c r="AT47" s="7">
        <v>1</v>
      </c>
      <c r="AU47" s="40">
        <v>1.05</v>
      </c>
      <c r="AV47" s="40">
        <v>1.0246950765959599</v>
      </c>
      <c r="AW47" s="41">
        <v>0</v>
      </c>
      <c r="AX47" s="41">
        <v>-1</v>
      </c>
      <c r="AY47" s="41" t="s">
        <v>744</v>
      </c>
    </row>
    <row r="48" spans="1:51" x14ac:dyDescent="0.3">
      <c r="A48">
        <v>62</v>
      </c>
      <c r="B48" t="s">
        <v>985</v>
      </c>
      <c r="C48" t="s">
        <v>1011</v>
      </c>
      <c r="D48" s="6">
        <v>0.62769185869621547</v>
      </c>
      <c r="E48" s="7" t="s">
        <v>847</v>
      </c>
      <c r="F48" s="7">
        <v>3</v>
      </c>
      <c r="G48" s="7">
        <v>1</v>
      </c>
      <c r="H48" s="7">
        <v>1</v>
      </c>
      <c r="I48" s="7">
        <v>3</v>
      </c>
      <c r="J48" s="7">
        <v>3</v>
      </c>
      <c r="K48" s="40">
        <v>1.3713425173473328</v>
      </c>
      <c r="L48" s="40">
        <v>1.1710433456312934</v>
      </c>
      <c r="M48" s="41">
        <v>19.428254083818572</v>
      </c>
      <c r="N48" s="41">
        <v>11.523643435090113</v>
      </c>
      <c r="O48" s="41" t="s">
        <v>921</v>
      </c>
      <c r="P48" s="6">
        <v>0.86363636363636365</v>
      </c>
      <c r="Q48" s="7" t="s">
        <v>849</v>
      </c>
      <c r="R48" s="7">
        <v>3</v>
      </c>
      <c r="S48" s="7">
        <v>3</v>
      </c>
      <c r="T48" s="7">
        <v>1</v>
      </c>
      <c r="U48" s="7">
        <v>3</v>
      </c>
      <c r="V48" s="7">
        <v>2</v>
      </c>
      <c r="W48" s="40">
        <v>1.3303783351797707</v>
      </c>
      <c r="X48" s="40">
        <v>1.1534202769068049</v>
      </c>
      <c r="Y48" s="41">
        <v>16.420786427081588</v>
      </c>
      <c r="Z48" s="41">
        <v>2.5927557516444608</v>
      </c>
      <c r="AA48" s="41" t="s">
        <v>922</v>
      </c>
      <c r="AB48" s="6">
        <v>0</v>
      </c>
      <c r="AC48" s="7" t="s">
        <v>849</v>
      </c>
      <c r="AD48" s="7">
        <v>1</v>
      </c>
      <c r="AE48" s="7">
        <v>3</v>
      </c>
      <c r="AF48" s="7">
        <v>1</v>
      </c>
      <c r="AG48" s="7">
        <v>3</v>
      </c>
      <c r="AH48" s="7">
        <v>2</v>
      </c>
      <c r="AI48" s="40">
        <v>1.2456465205819256</v>
      </c>
      <c r="AJ48" s="40">
        <v>1.1160853554195242</v>
      </c>
      <c r="AK48" s="41">
        <v>0</v>
      </c>
      <c r="AL48" s="41">
        <v>-1</v>
      </c>
      <c r="AM48" s="41" t="s">
        <v>744</v>
      </c>
      <c r="AN48" s="6">
        <v>0</v>
      </c>
      <c r="AO48" s="42" t="s">
        <v>923</v>
      </c>
      <c r="AP48" s="7">
        <v>3</v>
      </c>
      <c r="AQ48" s="7">
        <v>1</v>
      </c>
      <c r="AR48" s="7">
        <v>1</v>
      </c>
      <c r="AS48" s="7">
        <v>3</v>
      </c>
      <c r="AT48" s="7">
        <v>3</v>
      </c>
      <c r="AU48" s="40">
        <v>1.3713425173473328</v>
      </c>
      <c r="AV48" s="40">
        <v>1.1710433456312934</v>
      </c>
      <c r="AW48" s="41">
        <v>0</v>
      </c>
      <c r="AX48" s="41">
        <v>-1</v>
      </c>
      <c r="AY48" s="41" t="s">
        <v>744</v>
      </c>
    </row>
    <row r="49" spans="1:51" x14ac:dyDescent="0.3">
      <c r="A49">
        <v>50</v>
      </c>
      <c r="B49" t="s">
        <v>544</v>
      </c>
      <c r="C49" t="s">
        <v>28</v>
      </c>
      <c r="D49" s="6">
        <v>0.88235294117647056</v>
      </c>
      <c r="E49" s="42" t="s">
        <v>892</v>
      </c>
      <c r="F49" s="7">
        <v>1</v>
      </c>
      <c r="G49" s="7">
        <v>4</v>
      </c>
      <c r="H49" s="7">
        <v>1</v>
      </c>
      <c r="I49" s="42">
        <v>2</v>
      </c>
      <c r="J49" s="42">
        <v>2</v>
      </c>
      <c r="K49" s="40">
        <v>1.2143010470622784</v>
      </c>
      <c r="L49" s="40">
        <v>1.1019532871507205</v>
      </c>
      <c r="M49" s="41">
        <v>34.364737709949509</v>
      </c>
      <c r="N49" s="41">
        <v>4.5819650279932693</v>
      </c>
      <c r="O49" s="41" t="s">
        <v>893</v>
      </c>
      <c r="P49" s="6">
        <v>0.98986125933831381</v>
      </c>
      <c r="Q49" s="42" t="s">
        <v>892</v>
      </c>
      <c r="R49" s="7">
        <v>1</v>
      </c>
      <c r="S49" s="42">
        <v>4</v>
      </c>
      <c r="T49" s="7">
        <v>1</v>
      </c>
      <c r="U49" s="7">
        <v>2</v>
      </c>
      <c r="V49" s="42">
        <v>2</v>
      </c>
      <c r="W49" s="40">
        <v>1.2143010470622784</v>
      </c>
      <c r="X49" s="40">
        <v>1.1019532871507205</v>
      </c>
      <c r="Y49" s="41">
        <v>2.8330145971623262</v>
      </c>
      <c r="Z49" s="41">
        <v>2.9017400186568162E-2</v>
      </c>
      <c r="AA49" s="41" t="s">
        <v>894</v>
      </c>
      <c r="AB49" s="6">
        <v>0.26315789473684209</v>
      </c>
      <c r="AC49" s="42" t="s">
        <v>892</v>
      </c>
      <c r="AD49" s="7">
        <v>1</v>
      </c>
      <c r="AE49" s="7">
        <v>4</v>
      </c>
      <c r="AF49" s="7">
        <v>1</v>
      </c>
      <c r="AG49" s="42">
        <v>2</v>
      </c>
      <c r="AH49" s="42">
        <v>2</v>
      </c>
      <c r="AI49" s="40">
        <v>1.2143010470622784</v>
      </c>
      <c r="AJ49" s="40">
        <v>1.1019532871507205</v>
      </c>
      <c r="AK49" s="41">
        <v>19.373373095897904</v>
      </c>
      <c r="AL49" s="41">
        <v>54.245444668514139</v>
      </c>
      <c r="AM49" s="41" t="s">
        <v>895</v>
      </c>
      <c r="AN49" s="6">
        <v>1</v>
      </c>
      <c r="AO49" s="42" t="s">
        <v>892</v>
      </c>
      <c r="AP49" s="7">
        <v>1</v>
      </c>
      <c r="AQ49" s="7">
        <v>4</v>
      </c>
      <c r="AR49" s="7">
        <v>1</v>
      </c>
      <c r="AS49" s="42">
        <v>2</v>
      </c>
      <c r="AT49" s="42">
        <v>2</v>
      </c>
      <c r="AU49" s="40">
        <v>1.2143010470622784</v>
      </c>
      <c r="AV49" s="40">
        <v>1.1019532871507205</v>
      </c>
      <c r="AW49" s="41">
        <v>-1</v>
      </c>
      <c r="AX49" s="41">
        <v>0</v>
      </c>
      <c r="AY49" s="41" t="s">
        <v>754</v>
      </c>
    </row>
    <row r="50" spans="1:51" x14ac:dyDescent="0.3">
      <c r="A50">
        <v>38</v>
      </c>
      <c r="B50" t="s">
        <v>1002</v>
      </c>
      <c r="C50" t="s">
        <v>463</v>
      </c>
      <c r="D50" s="6">
        <v>0.8</v>
      </c>
      <c r="E50" s="7" t="s">
        <v>844</v>
      </c>
      <c r="F50" s="7">
        <v>3</v>
      </c>
      <c r="G50" s="7">
        <v>3</v>
      </c>
      <c r="H50" s="7">
        <v>1</v>
      </c>
      <c r="I50" s="42">
        <v>3</v>
      </c>
      <c r="J50" s="42">
        <v>1</v>
      </c>
      <c r="K50" s="40">
        <v>1.3145177818010416</v>
      </c>
      <c r="L50" s="40">
        <v>1.1465242177124046</v>
      </c>
      <c r="M50" s="41">
        <v>23.047954708430922</v>
      </c>
      <c r="N50" s="41">
        <v>5.7619886771077287</v>
      </c>
      <c r="O50" s="41" t="s">
        <v>845</v>
      </c>
      <c r="P50" s="6">
        <v>0.9</v>
      </c>
      <c r="Q50" s="7" t="s">
        <v>745</v>
      </c>
      <c r="R50" s="7">
        <v>3</v>
      </c>
      <c r="S50" s="42">
        <v>1</v>
      </c>
      <c r="T50" s="7">
        <v>1</v>
      </c>
      <c r="U50" s="7">
        <v>3</v>
      </c>
      <c r="V50" s="42">
        <v>1</v>
      </c>
      <c r="W50" s="40">
        <v>1.3000688016831126</v>
      </c>
      <c r="X50" s="40">
        <v>1.1402055962339039</v>
      </c>
      <c r="Y50" s="41">
        <v>15.58216710645304</v>
      </c>
      <c r="Z50" s="41">
        <v>1.731351900717004</v>
      </c>
      <c r="AA50" s="41" t="s">
        <v>773</v>
      </c>
      <c r="AB50" s="6">
        <v>0</v>
      </c>
      <c r="AC50" s="7" t="s">
        <v>743</v>
      </c>
      <c r="AD50" s="7">
        <v>1</v>
      </c>
      <c r="AE50" s="7">
        <v>1</v>
      </c>
      <c r="AF50" s="7">
        <v>1</v>
      </c>
      <c r="AG50" s="7">
        <v>1</v>
      </c>
      <c r="AH50" s="7">
        <v>1</v>
      </c>
      <c r="AI50" s="40">
        <v>1.05</v>
      </c>
      <c r="AJ50" s="40">
        <v>1.0246950765959599</v>
      </c>
      <c r="AK50" s="41">
        <v>0</v>
      </c>
      <c r="AL50" s="41">
        <v>-1</v>
      </c>
      <c r="AM50" s="41" t="s">
        <v>744</v>
      </c>
      <c r="AN50" s="6">
        <v>0</v>
      </c>
      <c r="AO50" s="7" t="s">
        <v>846</v>
      </c>
      <c r="AP50" s="7">
        <v>1</v>
      </c>
      <c r="AQ50" s="7">
        <v>1</v>
      </c>
      <c r="AR50" s="7">
        <v>1</v>
      </c>
      <c r="AS50" s="7">
        <v>1</v>
      </c>
      <c r="AT50" s="7">
        <v>1</v>
      </c>
      <c r="AU50" s="40">
        <v>1.05</v>
      </c>
      <c r="AV50" s="40">
        <v>1.0246950765959599</v>
      </c>
      <c r="AW50" s="41">
        <v>0</v>
      </c>
      <c r="AX50" s="41">
        <v>-1</v>
      </c>
      <c r="AY50" s="41" t="s">
        <v>744</v>
      </c>
    </row>
    <row r="51" spans="1:51" x14ac:dyDescent="0.3">
      <c r="A51">
        <v>73</v>
      </c>
      <c r="B51" t="s">
        <v>1021</v>
      </c>
      <c r="C51" t="s">
        <v>478</v>
      </c>
      <c r="D51" s="6">
        <v>0.64768683274021355</v>
      </c>
      <c r="E51" s="42" t="s">
        <v>946</v>
      </c>
      <c r="F51" s="7">
        <v>1</v>
      </c>
      <c r="G51" s="7">
        <v>2</v>
      </c>
      <c r="H51" s="7">
        <v>1</v>
      </c>
      <c r="I51" s="42">
        <v>2</v>
      </c>
      <c r="J51" s="42">
        <v>1</v>
      </c>
      <c r="K51" s="40">
        <v>1.1174816203765749</v>
      </c>
      <c r="L51" s="40">
        <v>1.0571100322939779</v>
      </c>
      <c r="M51" s="41">
        <v>180.60906401150211</v>
      </c>
      <c r="N51" s="41">
        <v>98.243391962300592</v>
      </c>
      <c r="O51" s="41" t="s">
        <v>947</v>
      </c>
      <c r="P51" s="6">
        <v>0.76165803108808294</v>
      </c>
      <c r="Q51" s="7" t="s">
        <v>946</v>
      </c>
      <c r="R51" s="7">
        <v>1</v>
      </c>
      <c r="S51" s="42">
        <v>2</v>
      </c>
      <c r="T51" s="7">
        <v>1</v>
      </c>
      <c r="U51" s="7">
        <v>2</v>
      </c>
      <c r="V51" s="42">
        <v>1</v>
      </c>
      <c r="W51" s="40">
        <v>1.1174816203765749</v>
      </c>
      <c r="X51" s="40">
        <v>1.0571100322939779</v>
      </c>
      <c r="Y51" s="41">
        <v>168.81097120678817</v>
      </c>
      <c r="Z51" s="41">
        <v>52.825201874233016</v>
      </c>
      <c r="AA51" s="41" t="s">
        <v>948</v>
      </c>
      <c r="AB51" s="6">
        <v>0.54347826086956519</v>
      </c>
      <c r="AC51" s="7" t="s">
        <v>946</v>
      </c>
      <c r="AD51" s="7">
        <v>1</v>
      </c>
      <c r="AE51" s="7">
        <v>2</v>
      </c>
      <c r="AF51" s="7">
        <v>1</v>
      </c>
      <c r="AG51" s="42">
        <v>2</v>
      </c>
      <c r="AH51" s="42">
        <v>1</v>
      </c>
      <c r="AI51" s="40">
        <v>1.1174816203765749</v>
      </c>
      <c r="AJ51" s="40">
        <v>1.0571100322939779</v>
      </c>
      <c r="AK51" s="41">
        <v>164.82814785048697</v>
      </c>
      <c r="AL51" s="41">
        <v>138.45564419440905</v>
      </c>
      <c r="AM51" s="41" t="s">
        <v>949</v>
      </c>
      <c r="AN51" s="6">
        <v>1</v>
      </c>
      <c r="AO51" s="7" t="s">
        <v>946</v>
      </c>
      <c r="AP51" s="7">
        <v>1</v>
      </c>
      <c r="AQ51" s="7">
        <v>2</v>
      </c>
      <c r="AR51" s="7">
        <v>1</v>
      </c>
      <c r="AS51" s="42">
        <v>2</v>
      </c>
      <c r="AT51" s="42">
        <v>1</v>
      </c>
      <c r="AU51" s="40">
        <v>1.1174816203765749</v>
      </c>
      <c r="AV51" s="40">
        <v>1.0571100322939779</v>
      </c>
      <c r="AW51" s="41">
        <v>-1</v>
      </c>
      <c r="AX51" s="41">
        <v>0</v>
      </c>
      <c r="AY51" s="41" t="s">
        <v>754</v>
      </c>
    </row>
    <row r="52" spans="1:51" x14ac:dyDescent="0.3">
      <c r="A52">
        <v>65</v>
      </c>
      <c r="B52" t="s">
        <v>543</v>
      </c>
      <c r="C52" t="s">
        <v>27</v>
      </c>
      <c r="D52" s="6">
        <v>0.646098758222026</v>
      </c>
      <c r="E52" s="7" t="s">
        <v>847</v>
      </c>
      <c r="F52" s="7">
        <v>3</v>
      </c>
      <c r="G52" s="7">
        <v>1</v>
      </c>
      <c r="H52" s="7">
        <v>1</v>
      </c>
      <c r="I52" s="7">
        <v>3</v>
      </c>
      <c r="J52" s="7">
        <v>3</v>
      </c>
      <c r="K52" s="40">
        <v>1.3713425173473328</v>
      </c>
      <c r="L52" s="40">
        <v>1.1710433456312934</v>
      </c>
      <c r="M52" s="41">
        <v>19.552792209602597</v>
      </c>
      <c r="N52" s="41">
        <v>10.710061511721932</v>
      </c>
      <c r="O52" s="41" t="s">
        <v>930</v>
      </c>
      <c r="P52" s="6">
        <v>0.8</v>
      </c>
      <c r="Q52" s="7" t="s">
        <v>849</v>
      </c>
      <c r="R52" s="7">
        <v>3</v>
      </c>
      <c r="S52" s="7">
        <v>3</v>
      </c>
      <c r="T52" s="7">
        <v>1</v>
      </c>
      <c r="U52" s="7">
        <v>3</v>
      </c>
      <c r="V52" s="7">
        <v>2</v>
      </c>
      <c r="W52" s="40">
        <v>1.3303783351797707</v>
      </c>
      <c r="X52" s="40">
        <v>1.1534202769068049</v>
      </c>
      <c r="Y52" s="41">
        <v>20.952262544849756</v>
      </c>
      <c r="Z52" s="41">
        <v>5.2380656362124371</v>
      </c>
      <c r="AA52" s="41" t="s">
        <v>925</v>
      </c>
      <c r="AB52" s="6">
        <v>0</v>
      </c>
      <c r="AC52" s="7" t="s">
        <v>849</v>
      </c>
      <c r="AD52" s="7">
        <v>1</v>
      </c>
      <c r="AE52" s="7">
        <v>3</v>
      </c>
      <c r="AF52" s="7">
        <v>1</v>
      </c>
      <c r="AG52" s="7">
        <v>3</v>
      </c>
      <c r="AH52" s="7">
        <v>2</v>
      </c>
      <c r="AI52" s="40">
        <v>1.2456465205819256</v>
      </c>
      <c r="AJ52" s="40">
        <v>1.1160853554195242</v>
      </c>
      <c r="AK52" s="41">
        <v>0</v>
      </c>
      <c r="AL52" s="41">
        <v>-1</v>
      </c>
      <c r="AM52" s="41" t="s">
        <v>744</v>
      </c>
      <c r="AN52" s="6">
        <v>1</v>
      </c>
      <c r="AO52" s="42" t="s">
        <v>926</v>
      </c>
      <c r="AP52" s="7">
        <v>1</v>
      </c>
      <c r="AQ52" s="7">
        <v>1</v>
      </c>
      <c r="AR52" s="7">
        <v>1</v>
      </c>
      <c r="AS52" s="7">
        <v>1</v>
      </c>
      <c r="AT52" s="7">
        <v>1</v>
      </c>
      <c r="AU52" s="40">
        <v>1.05</v>
      </c>
      <c r="AV52" s="40">
        <v>1.0246950765959599</v>
      </c>
      <c r="AW52" s="41">
        <v>-1</v>
      </c>
      <c r="AX52" s="41">
        <v>0</v>
      </c>
      <c r="AY52" s="41" t="s">
        <v>754</v>
      </c>
    </row>
    <row r="53" spans="1:51" x14ac:dyDescent="0.3">
      <c r="A53">
        <v>52</v>
      </c>
      <c r="B53" t="s">
        <v>542</v>
      </c>
      <c r="C53" t="s">
        <v>26</v>
      </c>
      <c r="D53" s="6">
        <v>4.5004500450044997E-2</v>
      </c>
      <c r="E53" s="42" t="s">
        <v>902</v>
      </c>
      <c r="F53" s="7">
        <v>1</v>
      </c>
      <c r="G53" s="7">
        <v>3</v>
      </c>
      <c r="H53" s="7">
        <v>1</v>
      </c>
      <c r="I53" s="42">
        <v>2</v>
      </c>
      <c r="J53" s="42">
        <v>1</v>
      </c>
      <c r="K53" s="40">
        <v>1.1409505340208952</v>
      </c>
      <c r="L53" s="40">
        <v>1.0681528607932926</v>
      </c>
      <c r="M53" s="41">
        <v>1.6207271045567859</v>
      </c>
      <c r="N53" s="41">
        <v>34.391829158695003</v>
      </c>
      <c r="O53" s="41" t="s">
        <v>903</v>
      </c>
      <c r="P53" s="6">
        <v>0.62101910828025475</v>
      </c>
      <c r="Q53" s="42" t="s">
        <v>902</v>
      </c>
      <c r="R53" s="7">
        <v>1</v>
      </c>
      <c r="S53" s="42">
        <v>3</v>
      </c>
      <c r="T53" s="7">
        <v>1</v>
      </c>
      <c r="U53" s="7">
        <v>2</v>
      </c>
      <c r="V53" s="42">
        <v>1</v>
      </c>
      <c r="W53" s="40">
        <v>1.1409505340208952</v>
      </c>
      <c r="X53" s="40">
        <v>1.0681528607932926</v>
      </c>
      <c r="Y53" s="41">
        <v>125.2480586442753</v>
      </c>
      <c r="Z53" s="41">
        <v>76.4334306598398</v>
      </c>
      <c r="AA53" s="41" t="s">
        <v>904</v>
      </c>
      <c r="AB53" s="6">
        <v>0.53781512605042014</v>
      </c>
      <c r="AC53" s="42" t="s">
        <v>902</v>
      </c>
      <c r="AD53" s="7">
        <v>1</v>
      </c>
      <c r="AE53" s="7">
        <v>3</v>
      </c>
      <c r="AF53" s="7">
        <v>1</v>
      </c>
      <c r="AG53" s="42">
        <v>2</v>
      </c>
      <c r="AH53" s="42">
        <v>1</v>
      </c>
      <c r="AI53" s="40">
        <v>1.1409505340208952</v>
      </c>
      <c r="AJ53" s="40">
        <v>1.0681528607932926</v>
      </c>
      <c r="AK53" s="41">
        <v>114.58822409132877</v>
      </c>
      <c r="AL53" s="41">
        <v>98.474255078485683</v>
      </c>
      <c r="AM53" s="41" t="s">
        <v>905</v>
      </c>
      <c r="AN53" s="6">
        <v>1</v>
      </c>
      <c r="AO53" s="42" t="s">
        <v>902</v>
      </c>
      <c r="AP53" s="7">
        <v>1</v>
      </c>
      <c r="AQ53" s="7">
        <v>3</v>
      </c>
      <c r="AR53" s="7">
        <v>1</v>
      </c>
      <c r="AS53" s="42">
        <v>2</v>
      </c>
      <c r="AT53" s="42">
        <v>1</v>
      </c>
      <c r="AU53" s="40">
        <v>1.1409505340208952</v>
      </c>
      <c r="AV53" s="40">
        <v>1.0681528607932926</v>
      </c>
      <c r="AW53" s="41">
        <v>-1</v>
      </c>
      <c r="AX53" s="41">
        <v>0</v>
      </c>
      <c r="AY53" s="41" t="s">
        <v>754</v>
      </c>
    </row>
    <row r="54" spans="1:51" x14ac:dyDescent="0.3">
      <c r="A54">
        <v>22</v>
      </c>
      <c r="B54" t="s">
        <v>999</v>
      </c>
      <c r="C54" t="s">
        <v>711</v>
      </c>
      <c r="D54" s="8">
        <v>0.85499999999999998</v>
      </c>
      <c r="E54" s="7" t="s">
        <v>778</v>
      </c>
      <c r="F54" s="7">
        <v>3</v>
      </c>
      <c r="G54" s="7">
        <v>4</v>
      </c>
      <c r="H54" s="7">
        <v>1</v>
      </c>
      <c r="I54" s="7">
        <v>2</v>
      </c>
      <c r="J54" s="7">
        <v>1</v>
      </c>
      <c r="K54" s="40">
        <v>1.2884684415322456</v>
      </c>
      <c r="L54" s="40">
        <v>1.135107237899682</v>
      </c>
      <c r="M54" s="41">
        <v>22.372527990602567</v>
      </c>
      <c r="N54" s="41">
        <v>3.7941714136109619</v>
      </c>
      <c r="O54" s="41" t="s">
        <v>779</v>
      </c>
      <c r="P54" s="6">
        <v>0.95</v>
      </c>
      <c r="Q54" s="7" t="s">
        <v>780</v>
      </c>
      <c r="R54" s="7">
        <v>3</v>
      </c>
      <c r="S54" s="7">
        <v>1</v>
      </c>
      <c r="T54" s="7">
        <v>1</v>
      </c>
      <c r="U54" s="7">
        <v>3</v>
      </c>
      <c r="V54" s="7">
        <v>1</v>
      </c>
      <c r="W54" s="40">
        <v>1.3000688016831126</v>
      </c>
      <c r="X54" s="40">
        <v>1.1402055962339039</v>
      </c>
      <c r="Y54" s="41">
        <v>8.2321949466505444</v>
      </c>
      <c r="Z54" s="41">
        <v>0.43327341824476595</v>
      </c>
      <c r="AA54" s="41" t="s">
        <v>757</v>
      </c>
      <c r="AB54" s="6">
        <v>0</v>
      </c>
      <c r="AC54" s="7" t="s">
        <v>781</v>
      </c>
      <c r="AD54" s="7">
        <v>1</v>
      </c>
      <c r="AE54" s="7">
        <v>1</v>
      </c>
      <c r="AF54" s="7">
        <v>1</v>
      </c>
      <c r="AG54" s="7">
        <v>1</v>
      </c>
      <c r="AH54" s="7">
        <v>1</v>
      </c>
      <c r="AI54" s="40">
        <v>1.05</v>
      </c>
      <c r="AJ54" s="40">
        <v>1.0246950765959599</v>
      </c>
      <c r="AK54" s="41">
        <v>0</v>
      </c>
      <c r="AL54" s="41">
        <v>-1</v>
      </c>
      <c r="AM54" s="41" t="s">
        <v>744</v>
      </c>
      <c r="AN54" s="6">
        <v>0.95</v>
      </c>
      <c r="AO54" s="7" t="s">
        <v>782</v>
      </c>
      <c r="AP54" s="7">
        <v>4</v>
      </c>
      <c r="AQ54" s="7">
        <v>1</v>
      </c>
      <c r="AR54" s="7">
        <v>1</v>
      </c>
      <c r="AS54" s="7">
        <v>3</v>
      </c>
      <c r="AT54" s="7">
        <v>1</v>
      </c>
      <c r="AU54" s="40">
        <v>1.4707782003422192</v>
      </c>
      <c r="AV54" s="40">
        <v>1.212756447248259</v>
      </c>
      <c r="AW54" s="41">
        <v>3.037601467121025</v>
      </c>
      <c r="AX54" s="41">
        <v>0.15987376142742252</v>
      </c>
      <c r="AY54" s="41" t="s">
        <v>757</v>
      </c>
    </row>
    <row r="55" spans="1:51" x14ac:dyDescent="0.3">
      <c r="A55">
        <v>81</v>
      </c>
      <c r="B55" t="s">
        <v>1027</v>
      </c>
      <c r="C55" t="s">
        <v>1028</v>
      </c>
      <c r="D55" s="6">
        <v>0.7</v>
      </c>
      <c r="E55" s="42" t="s">
        <v>906</v>
      </c>
      <c r="F55" s="7">
        <v>3</v>
      </c>
      <c r="G55" s="42">
        <v>4</v>
      </c>
      <c r="H55" s="42">
        <v>1</v>
      </c>
      <c r="I55" s="42">
        <v>3</v>
      </c>
      <c r="J55" s="42">
        <v>1</v>
      </c>
      <c r="K55" s="40">
        <v>1.3462392336889575</v>
      </c>
      <c r="L55" s="40">
        <v>1.1602754990470829</v>
      </c>
      <c r="M55" s="41">
        <v>22.189855468283788</v>
      </c>
      <c r="N55" s="41">
        <v>9.5099380578359103</v>
      </c>
      <c r="O55" s="41" t="s">
        <v>968</v>
      </c>
      <c r="P55" s="6">
        <v>1</v>
      </c>
      <c r="Q55" s="7" t="s">
        <v>745</v>
      </c>
      <c r="R55" s="7">
        <v>3</v>
      </c>
      <c r="S55" s="42">
        <v>1</v>
      </c>
      <c r="T55" s="42">
        <v>1</v>
      </c>
      <c r="U55" s="42">
        <v>3</v>
      </c>
      <c r="V55" s="42">
        <v>1</v>
      </c>
      <c r="W55" s="40">
        <v>1.3000688016831126</v>
      </c>
      <c r="X55" s="40">
        <v>1.1402055962339039</v>
      </c>
      <c r="Y55" s="41">
        <v>-1</v>
      </c>
      <c r="Z55" s="41">
        <v>0</v>
      </c>
      <c r="AA55" s="41" t="s">
        <v>754</v>
      </c>
      <c r="AB55" s="6">
        <v>0</v>
      </c>
      <c r="AC55" s="7" t="s">
        <v>758</v>
      </c>
      <c r="AD55" s="7">
        <v>1</v>
      </c>
      <c r="AE55" s="7">
        <v>1</v>
      </c>
      <c r="AF55" s="7">
        <v>1</v>
      </c>
      <c r="AG55" s="7">
        <v>1</v>
      </c>
      <c r="AH55" s="7">
        <v>1</v>
      </c>
      <c r="AI55" s="40">
        <v>1.05</v>
      </c>
      <c r="AJ55" s="40">
        <v>1.0246950765959599</v>
      </c>
      <c r="AK55" s="41">
        <v>0</v>
      </c>
      <c r="AL55" s="41">
        <v>-1</v>
      </c>
      <c r="AM55" s="41" t="s">
        <v>744</v>
      </c>
      <c r="AN55" s="6">
        <v>0</v>
      </c>
      <c r="AO55" s="42" t="s">
        <v>969</v>
      </c>
      <c r="AP55" s="7">
        <v>1</v>
      </c>
      <c r="AQ55" s="42">
        <v>1</v>
      </c>
      <c r="AR55" s="42">
        <v>1</v>
      </c>
      <c r="AS55" s="42">
        <v>1</v>
      </c>
      <c r="AT55" s="42">
        <v>1</v>
      </c>
      <c r="AU55" s="40">
        <v>1.05</v>
      </c>
      <c r="AV55" s="40">
        <v>1.0246950765959599</v>
      </c>
      <c r="AW55" s="41">
        <v>0</v>
      </c>
      <c r="AX55" s="41">
        <v>-1</v>
      </c>
      <c r="AY55" s="41" t="s">
        <v>744</v>
      </c>
    </row>
    <row r="56" spans="1:51" x14ac:dyDescent="0.3">
      <c r="A56">
        <v>69</v>
      </c>
      <c r="B56" t="s">
        <v>990</v>
      </c>
      <c r="C56" t="s">
        <v>1016</v>
      </c>
      <c r="D56" s="6">
        <v>0.66776874123611263</v>
      </c>
      <c r="E56" s="7" t="s">
        <v>847</v>
      </c>
      <c r="F56" s="7">
        <v>4</v>
      </c>
      <c r="G56" s="7">
        <v>1</v>
      </c>
      <c r="H56" s="7">
        <v>1</v>
      </c>
      <c r="I56" s="7">
        <v>3</v>
      </c>
      <c r="J56" s="7">
        <v>3</v>
      </c>
      <c r="K56" s="40">
        <v>1.5279171865856971</v>
      </c>
      <c r="L56" s="40">
        <v>1.2360894735356729</v>
      </c>
      <c r="M56" s="41">
        <v>9.9638503075214313</v>
      </c>
      <c r="N56" s="41">
        <v>4.95725889126685</v>
      </c>
      <c r="O56" s="41" t="s">
        <v>940</v>
      </c>
      <c r="P56" s="6">
        <v>0.85</v>
      </c>
      <c r="Q56" s="7" t="s">
        <v>935</v>
      </c>
      <c r="R56" s="7">
        <v>3</v>
      </c>
      <c r="S56" s="7">
        <v>3</v>
      </c>
      <c r="T56" s="7">
        <v>1</v>
      </c>
      <c r="U56" s="7">
        <v>3</v>
      </c>
      <c r="V56" s="7">
        <v>3</v>
      </c>
      <c r="W56" s="40">
        <v>1.3840763218302521</v>
      </c>
      <c r="X56" s="40">
        <v>1.1764677308920344</v>
      </c>
      <c r="Y56" s="41">
        <v>13.070617457485042</v>
      </c>
      <c r="Z56" s="41">
        <v>2.3065795513208904</v>
      </c>
      <c r="AA56" s="41" t="s">
        <v>936</v>
      </c>
      <c r="AB56" s="6">
        <v>0</v>
      </c>
      <c r="AC56" s="42" t="s">
        <v>937</v>
      </c>
      <c r="AD56" s="7">
        <v>1</v>
      </c>
      <c r="AE56" s="7">
        <v>1</v>
      </c>
      <c r="AF56" s="7">
        <v>1</v>
      </c>
      <c r="AG56" s="7">
        <v>1</v>
      </c>
      <c r="AH56" s="7">
        <v>1</v>
      </c>
      <c r="AI56" s="40">
        <v>1.05</v>
      </c>
      <c r="AJ56" s="40">
        <v>1.0246950765959599</v>
      </c>
      <c r="AK56" s="41">
        <v>0</v>
      </c>
      <c r="AL56" s="41">
        <v>-1</v>
      </c>
      <c r="AM56" s="41" t="s">
        <v>744</v>
      </c>
      <c r="AN56" s="6">
        <v>0</v>
      </c>
      <c r="AO56" s="42" t="s">
        <v>937</v>
      </c>
      <c r="AP56" s="7">
        <v>1</v>
      </c>
      <c r="AQ56" s="7">
        <v>1</v>
      </c>
      <c r="AR56" s="7">
        <v>1</v>
      </c>
      <c r="AS56" s="7">
        <v>1</v>
      </c>
      <c r="AT56" s="7">
        <v>1</v>
      </c>
      <c r="AU56" s="40">
        <v>1.05</v>
      </c>
      <c r="AV56" s="40">
        <v>1.0246950765959599</v>
      </c>
      <c r="AW56" s="41">
        <v>0</v>
      </c>
      <c r="AX56" s="41">
        <v>-1</v>
      </c>
      <c r="AY56" s="41" t="s">
        <v>744</v>
      </c>
    </row>
    <row r="57" spans="1:51" x14ac:dyDescent="0.3">
      <c r="A57">
        <v>23</v>
      </c>
      <c r="B57" t="s">
        <v>545</v>
      </c>
      <c r="C57" t="s">
        <v>29</v>
      </c>
      <c r="D57" s="6">
        <v>0.32871262663701512</v>
      </c>
      <c r="E57" s="7" t="s">
        <v>783</v>
      </c>
      <c r="F57" s="7">
        <v>3</v>
      </c>
      <c r="G57" s="7">
        <v>2</v>
      </c>
      <c r="H57" s="7">
        <v>2</v>
      </c>
      <c r="I57" s="7">
        <v>3</v>
      </c>
      <c r="J57" s="7">
        <v>2</v>
      </c>
      <c r="K57" s="40">
        <v>1.3205569097851895</v>
      </c>
      <c r="L57" s="40">
        <v>1.1491548676245467</v>
      </c>
      <c r="M57" s="41">
        <v>12.712752400274214</v>
      </c>
      <c r="N57" s="41">
        <v>25.961613505092799</v>
      </c>
      <c r="O57" s="41" t="s">
        <v>784</v>
      </c>
      <c r="P57" s="6">
        <v>0.67602017011855364</v>
      </c>
      <c r="Q57" s="7" t="s">
        <v>785</v>
      </c>
      <c r="R57" s="7">
        <v>2</v>
      </c>
      <c r="S57" s="7">
        <v>3</v>
      </c>
      <c r="T57" s="7">
        <v>2</v>
      </c>
      <c r="U57" s="7">
        <v>3</v>
      </c>
      <c r="V57" s="7">
        <v>2</v>
      </c>
      <c r="W57" s="40">
        <v>1.2728507410871461</v>
      </c>
      <c r="X57" s="40">
        <v>1.1282068698102961</v>
      </c>
      <c r="Y57" s="41">
        <v>35.354844000097174</v>
      </c>
      <c r="Z57" s="41">
        <v>16.943660634604768</v>
      </c>
      <c r="AA57" s="41" t="s">
        <v>786</v>
      </c>
      <c r="AB57" s="11">
        <v>8.1639485728642117E-3</v>
      </c>
      <c r="AC57" s="7" t="s">
        <v>785</v>
      </c>
      <c r="AD57" s="7">
        <v>2</v>
      </c>
      <c r="AE57" s="7">
        <v>3</v>
      </c>
      <c r="AF57" s="7">
        <v>2</v>
      </c>
      <c r="AG57" s="7">
        <v>3</v>
      </c>
      <c r="AH57" s="7">
        <v>2</v>
      </c>
      <c r="AI57" s="40">
        <v>1.2728507410871461</v>
      </c>
      <c r="AJ57" s="40">
        <v>1.1282068698102961</v>
      </c>
      <c r="AK57" s="43">
        <v>7.9231531537781695E-3</v>
      </c>
      <c r="AL57" s="43">
        <v>0.9625818767423665</v>
      </c>
      <c r="AM57" s="41" t="s">
        <v>787</v>
      </c>
      <c r="AN57" s="6">
        <v>0.95</v>
      </c>
      <c r="AO57" s="7" t="s">
        <v>745</v>
      </c>
      <c r="AP57" s="7">
        <v>4</v>
      </c>
      <c r="AQ57" s="7">
        <v>1</v>
      </c>
      <c r="AR57" s="7">
        <v>1</v>
      </c>
      <c r="AS57" s="7">
        <v>3</v>
      </c>
      <c r="AT57" s="7">
        <v>1</v>
      </c>
      <c r="AU57" s="40">
        <v>1.4707782003422192</v>
      </c>
      <c r="AV57" s="40">
        <v>1.212756447248259</v>
      </c>
      <c r="AW57" s="41">
        <v>3.037601467121025</v>
      </c>
      <c r="AX57" s="41">
        <v>0.15987376142742252</v>
      </c>
      <c r="AY57" s="41" t="s">
        <v>757</v>
      </c>
    </row>
    <row r="58" spans="1:51" x14ac:dyDescent="0.3">
      <c r="A58">
        <v>74</v>
      </c>
      <c r="B58" t="s">
        <v>1022</v>
      </c>
      <c r="C58" t="s">
        <v>712</v>
      </c>
      <c r="D58" s="6">
        <v>0.88571428571428568</v>
      </c>
      <c r="E58" s="42" t="s">
        <v>950</v>
      </c>
      <c r="F58" s="7">
        <v>2</v>
      </c>
      <c r="G58" s="7">
        <v>3</v>
      </c>
      <c r="H58" s="7">
        <v>1</v>
      </c>
      <c r="I58" s="42">
        <v>2</v>
      </c>
      <c r="J58" s="42">
        <v>1</v>
      </c>
      <c r="K58" s="40">
        <v>1.1766845455095114</v>
      </c>
      <c r="L58" s="40">
        <v>1.0847509140394911</v>
      </c>
      <c r="M58" s="41">
        <v>49.043008398162307</v>
      </c>
      <c r="N58" s="41">
        <v>6.3281301158919137</v>
      </c>
      <c r="O58" s="41" t="s">
        <v>951</v>
      </c>
      <c r="P58" s="6">
        <v>0.90322580645161288</v>
      </c>
      <c r="Q58" s="42" t="s">
        <v>950</v>
      </c>
      <c r="R58" s="7">
        <v>1</v>
      </c>
      <c r="S58" s="42">
        <v>3</v>
      </c>
      <c r="T58" s="7">
        <v>1</v>
      </c>
      <c r="U58" s="7">
        <v>2</v>
      </c>
      <c r="V58" s="42">
        <v>1</v>
      </c>
      <c r="W58" s="40">
        <v>1.1409505340208952</v>
      </c>
      <c r="X58" s="40">
        <v>1.0681528607932926</v>
      </c>
      <c r="Y58" s="41">
        <v>67.086618415261199</v>
      </c>
      <c r="Z58" s="41">
        <v>7.1878519730637018</v>
      </c>
      <c r="AA58" s="41" t="s">
        <v>952</v>
      </c>
      <c r="AB58" s="6">
        <v>1</v>
      </c>
      <c r="AC58" s="42" t="s">
        <v>950</v>
      </c>
      <c r="AD58" s="7">
        <v>1</v>
      </c>
      <c r="AE58" s="7">
        <v>3</v>
      </c>
      <c r="AF58" s="7">
        <v>1</v>
      </c>
      <c r="AG58" s="42">
        <v>2</v>
      </c>
      <c r="AH58" s="42">
        <v>1</v>
      </c>
      <c r="AI58" s="40">
        <v>1.1409505340208952</v>
      </c>
      <c r="AJ58" s="40">
        <v>1.0681528607932926</v>
      </c>
      <c r="AK58" s="41">
        <v>-1</v>
      </c>
      <c r="AL58" s="41">
        <v>0</v>
      </c>
      <c r="AM58" s="41" t="s">
        <v>754</v>
      </c>
      <c r="AN58" s="6">
        <v>1</v>
      </c>
      <c r="AO58" s="42" t="s">
        <v>950</v>
      </c>
      <c r="AP58" s="7">
        <v>1</v>
      </c>
      <c r="AQ58" s="7">
        <v>3</v>
      </c>
      <c r="AR58" s="7">
        <v>1</v>
      </c>
      <c r="AS58" s="42">
        <v>2</v>
      </c>
      <c r="AT58" s="42">
        <v>1</v>
      </c>
      <c r="AU58" s="40">
        <v>1.1409505340208952</v>
      </c>
      <c r="AV58" s="40">
        <v>1.0681528607932926</v>
      </c>
      <c r="AW58" s="41">
        <v>-1</v>
      </c>
      <c r="AX58" s="41">
        <v>0</v>
      </c>
      <c r="AY58" s="41" t="s">
        <v>754</v>
      </c>
    </row>
    <row r="59" spans="1:51" x14ac:dyDescent="0.3">
      <c r="A59">
        <v>39</v>
      </c>
      <c r="B59" t="s">
        <v>993</v>
      </c>
      <c r="C59" t="s">
        <v>1003</v>
      </c>
      <c r="D59" s="6">
        <v>0.66407609108685794</v>
      </c>
      <c r="E59" s="7" t="s">
        <v>847</v>
      </c>
      <c r="F59" s="7">
        <v>3</v>
      </c>
      <c r="G59" s="7">
        <v>1</v>
      </c>
      <c r="H59" s="7">
        <v>1</v>
      </c>
      <c r="I59" s="7">
        <v>3</v>
      </c>
      <c r="J59" s="7">
        <v>3</v>
      </c>
      <c r="K59" s="40">
        <v>1.3713425173473328</v>
      </c>
      <c r="L59" s="40">
        <v>1.1710433456312934</v>
      </c>
      <c r="M59" s="41">
        <v>19.590549982058779</v>
      </c>
      <c r="N59" s="41">
        <v>9.9099097468797677</v>
      </c>
      <c r="O59" s="41" t="s">
        <v>848</v>
      </c>
      <c r="P59" s="6">
        <v>0.84799999999999998</v>
      </c>
      <c r="Q59" s="7" t="s">
        <v>849</v>
      </c>
      <c r="R59" s="7">
        <v>1</v>
      </c>
      <c r="S59" s="7">
        <v>3</v>
      </c>
      <c r="T59" s="7">
        <v>1</v>
      </c>
      <c r="U59" s="7">
        <v>3</v>
      </c>
      <c r="V59" s="7">
        <v>2</v>
      </c>
      <c r="W59" s="40">
        <v>1.2456465205819256</v>
      </c>
      <c r="X59" s="40">
        <v>1.1160853554195242</v>
      </c>
      <c r="Y59" s="41">
        <v>31.596449746783726</v>
      </c>
      <c r="Z59" s="41">
        <v>5.6635145772536877</v>
      </c>
      <c r="AA59" s="41" t="s">
        <v>850</v>
      </c>
      <c r="AB59" s="6">
        <v>0</v>
      </c>
      <c r="AC59" s="7" t="s">
        <v>849</v>
      </c>
      <c r="AD59" s="7">
        <v>1</v>
      </c>
      <c r="AE59" s="7">
        <v>3</v>
      </c>
      <c r="AF59" s="7">
        <v>1</v>
      </c>
      <c r="AG59" s="7">
        <v>3</v>
      </c>
      <c r="AH59" s="7">
        <v>2</v>
      </c>
      <c r="AI59" s="40">
        <v>1.2456465205819256</v>
      </c>
      <c r="AJ59" s="40">
        <v>1.1160853554195242</v>
      </c>
      <c r="AK59" s="41">
        <v>0</v>
      </c>
      <c r="AL59" s="41">
        <v>-1</v>
      </c>
      <c r="AM59" s="41" t="s">
        <v>744</v>
      </c>
      <c r="AN59" s="6">
        <v>1</v>
      </c>
      <c r="AO59" s="42" t="s">
        <v>851</v>
      </c>
      <c r="AP59" s="7">
        <v>1</v>
      </c>
      <c r="AQ59" s="7">
        <v>1</v>
      </c>
      <c r="AR59" s="7">
        <v>1</v>
      </c>
      <c r="AS59" s="7">
        <v>1</v>
      </c>
      <c r="AT59" s="7">
        <v>1</v>
      </c>
      <c r="AU59" s="40">
        <v>1.05</v>
      </c>
      <c r="AV59" s="40">
        <v>1.0246950765959599</v>
      </c>
      <c r="AW59" s="41">
        <v>-1</v>
      </c>
      <c r="AX59" s="41">
        <v>0</v>
      </c>
      <c r="AY59" s="41" t="s">
        <v>754</v>
      </c>
    </row>
    <row r="60" spans="1:51" x14ac:dyDescent="0.3">
      <c r="A60">
        <v>70</v>
      </c>
      <c r="B60" t="s">
        <v>991</v>
      </c>
      <c r="C60" t="s">
        <v>1017</v>
      </c>
      <c r="D60" s="6">
        <v>0.66627271297591706</v>
      </c>
      <c r="E60" s="7" t="s">
        <v>847</v>
      </c>
      <c r="F60" s="7">
        <v>4</v>
      </c>
      <c r="G60" s="7">
        <v>1</v>
      </c>
      <c r="H60" s="7">
        <v>1</v>
      </c>
      <c r="I60" s="7">
        <v>3</v>
      </c>
      <c r="J60" s="7">
        <v>3</v>
      </c>
      <c r="K60" s="40">
        <v>1.5279171865856971</v>
      </c>
      <c r="L60" s="40">
        <v>1.2360894735356729</v>
      </c>
      <c r="M60" s="41">
        <v>9.9654224607932331</v>
      </c>
      <c r="N60" s="41">
        <v>4.9915497620110365</v>
      </c>
      <c r="O60" s="41" t="s">
        <v>941</v>
      </c>
      <c r="P60" s="6">
        <v>0.85</v>
      </c>
      <c r="Q60" s="7" t="s">
        <v>935</v>
      </c>
      <c r="R60" s="7">
        <v>3</v>
      </c>
      <c r="S60" s="7">
        <v>3</v>
      </c>
      <c r="T60" s="7">
        <v>1</v>
      </c>
      <c r="U60" s="7">
        <v>3</v>
      </c>
      <c r="V60" s="7">
        <v>3</v>
      </c>
      <c r="W60" s="40">
        <v>1.3840763218302521</v>
      </c>
      <c r="X60" s="40">
        <v>1.1764677308920344</v>
      </c>
      <c r="Y60" s="41">
        <v>13.070617457485042</v>
      </c>
      <c r="Z60" s="41">
        <v>2.3065795513208904</v>
      </c>
      <c r="AA60" s="41" t="s">
        <v>936</v>
      </c>
      <c r="AB60" s="6">
        <v>0</v>
      </c>
      <c r="AC60" s="42" t="s">
        <v>937</v>
      </c>
      <c r="AD60" s="7">
        <v>1</v>
      </c>
      <c r="AE60" s="7">
        <v>1</v>
      </c>
      <c r="AF60" s="7">
        <v>1</v>
      </c>
      <c r="AG60" s="7">
        <v>1</v>
      </c>
      <c r="AH60" s="7">
        <v>1</v>
      </c>
      <c r="AI60" s="40">
        <v>1.05</v>
      </c>
      <c r="AJ60" s="40">
        <v>1.0246950765959599</v>
      </c>
      <c r="AK60" s="41">
        <v>0</v>
      </c>
      <c r="AL60" s="41">
        <v>-1</v>
      </c>
      <c r="AM60" s="41" t="s">
        <v>744</v>
      </c>
      <c r="AN60" s="6">
        <v>0</v>
      </c>
      <c r="AO60" s="42" t="s">
        <v>937</v>
      </c>
      <c r="AP60" s="7">
        <v>1</v>
      </c>
      <c r="AQ60" s="7">
        <v>1</v>
      </c>
      <c r="AR60" s="7">
        <v>1</v>
      </c>
      <c r="AS60" s="7">
        <v>1</v>
      </c>
      <c r="AT60" s="7">
        <v>1</v>
      </c>
      <c r="AU60" s="40">
        <v>1.05</v>
      </c>
      <c r="AV60" s="40">
        <v>1.0246950765959599</v>
      </c>
      <c r="AW60" s="41">
        <v>0</v>
      </c>
      <c r="AX60" s="41">
        <v>-1</v>
      </c>
      <c r="AY60" s="41" t="s">
        <v>744</v>
      </c>
    </row>
    <row r="61" spans="1:51" x14ac:dyDescent="0.3">
      <c r="A61">
        <v>30</v>
      </c>
      <c r="B61" t="s">
        <v>546</v>
      </c>
      <c r="C61" t="s">
        <v>30</v>
      </c>
      <c r="D61" s="6">
        <v>0.83780160857908847</v>
      </c>
      <c r="E61" s="42" t="s">
        <v>819</v>
      </c>
      <c r="F61" s="7">
        <v>1</v>
      </c>
      <c r="G61" s="7">
        <v>3</v>
      </c>
      <c r="H61" s="7">
        <v>1</v>
      </c>
      <c r="I61" s="42">
        <v>2</v>
      </c>
      <c r="J61" s="42">
        <v>1</v>
      </c>
      <c r="K61" s="40">
        <v>1.1409505340208952</v>
      </c>
      <c r="L61" s="40">
        <v>1.0681528607932926</v>
      </c>
      <c r="M61" s="41">
        <v>97.206133264302807</v>
      </c>
      <c r="N61" s="41">
        <v>18.819107399969024</v>
      </c>
      <c r="O61" s="41" t="s">
        <v>820</v>
      </c>
      <c r="P61" s="6">
        <v>0.77844311377245512</v>
      </c>
      <c r="Q61" s="42" t="s">
        <v>819</v>
      </c>
      <c r="R61" s="7">
        <v>1</v>
      </c>
      <c r="S61" s="42">
        <v>3</v>
      </c>
      <c r="T61" s="7">
        <v>1</v>
      </c>
      <c r="U61" s="7">
        <v>2</v>
      </c>
      <c r="V61" s="42">
        <v>1</v>
      </c>
      <c r="W61" s="40">
        <v>1.1409505340208952</v>
      </c>
      <c r="X61" s="40">
        <v>1.0681528607932926</v>
      </c>
      <c r="Y61" s="41">
        <v>114.84098727753249</v>
      </c>
      <c r="Z61" s="41">
        <v>32.685511763605398</v>
      </c>
      <c r="AA61" s="41" t="s">
        <v>821</v>
      </c>
      <c r="AB61" s="6">
        <v>0.91286307053941906</v>
      </c>
      <c r="AC61" s="42" t="s">
        <v>819</v>
      </c>
      <c r="AD61" s="7">
        <v>1</v>
      </c>
      <c r="AE61" s="7">
        <v>3</v>
      </c>
      <c r="AF61" s="7">
        <v>1</v>
      </c>
      <c r="AG61" s="42">
        <v>2</v>
      </c>
      <c r="AH61" s="42">
        <v>1</v>
      </c>
      <c r="AI61" s="40">
        <v>1.1409505340208952</v>
      </c>
      <c r="AJ61" s="40">
        <v>1.0681528607932926</v>
      </c>
      <c r="AK61" s="41">
        <v>61.619571717197687</v>
      </c>
      <c r="AL61" s="41">
        <v>5.8818682093688723</v>
      </c>
      <c r="AM61" s="41" t="s">
        <v>822</v>
      </c>
      <c r="AN61" s="6">
        <v>0.63840399002493764</v>
      </c>
      <c r="AO61" s="42" t="s">
        <v>819</v>
      </c>
      <c r="AP61" s="7">
        <v>1</v>
      </c>
      <c r="AQ61" s="7">
        <v>3</v>
      </c>
      <c r="AR61" s="7">
        <v>1</v>
      </c>
      <c r="AS61" s="42">
        <v>2</v>
      </c>
      <c r="AT61" s="42">
        <v>1</v>
      </c>
      <c r="AU61" s="40">
        <v>1.1409505340208952</v>
      </c>
      <c r="AV61" s="40">
        <v>1.0681528607932926</v>
      </c>
      <c r="AW61" s="41">
        <v>126.27474651577491</v>
      </c>
      <c r="AX61" s="41">
        <v>71.522805643700636</v>
      </c>
      <c r="AY61" s="41" t="s">
        <v>823</v>
      </c>
    </row>
    <row r="62" spans="1:51" x14ac:dyDescent="0.3">
      <c r="A62">
        <v>40</v>
      </c>
      <c r="B62" t="s">
        <v>554</v>
      </c>
      <c r="C62" t="s">
        <v>31</v>
      </c>
      <c r="D62" s="8">
        <v>0.85499999999999998</v>
      </c>
      <c r="E62" s="7" t="s">
        <v>852</v>
      </c>
      <c r="F62" s="7">
        <v>2</v>
      </c>
      <c r="G62" s="7">
        <v>1</v>
      </c>
      <c r="H62" s="7">
        <v>2</v>
      </c>
      <c r="I62" s="42">
        <v>2</v>
      </c>
      <c r="J62" s="42">
        <v>1</v>
      </c>
      <c r="K62" s="40">
        <v>1.1576168639056454</v>
      </c>
      <c r="L62" s="40">
        <v>1.0759260494595553</v>
      </c>
      <c r="M62" s="41">
        <v>72.694312242624591</v>
      </c>
      <c r="N62" s="41">
        <v>12.328275175649786</v>
      </c>
      <c r="O62" s="41" t="s">
        <v>853</v>
      </c>
      <c r="P62" s="6">
        <v>0.95</v>
      </c>
      <c r="Q62" s="7" t="s">
        <v>745</v>
      </c>
      <c r="R62" s="7">
        <v>3</v>
      </c>
      <c r="S62" s="42">
        <v>1</v>
      </c>
      <c r="T62" s="7">
        <v>1</v>
      </c>
      <c r="U62" s="7">
        <v>3</v>
      </c>
      <c r="V62" s="42">
        <v>1</v>
      </c>
      <c r="W62" s="40">
        <v>1.3000688016831126</v>
      </c>
      <c r="X62" s="40">
        <v>1.1402055962339039</v>
      </c>
      <c r="Y62" s="41">
        <v>8.2321949466505444</v>
      </c>
      <c r="Z62" s="41">
        <v>0.43327341824476595</v>
      </c>
      <c r="AA62" s="41" t="s">
        <v>757</v>
      </c>
      <c r="AB62" s="6">
        <v>0</v>
      </c>
      <c r="AC62" s="42" t="s">
        <v>854</v>
      </c>
      <c r="AD62" s="7">
        <v>2</v>
      </c>
      <c r="AE62" s="7">
        <v>1</v>
      </c>
      <c r="AF62" s="7">
        <v>1</v>
      </c>
      <c r="AG62" s="42">
        <v>3</v>
      </c>
      <c r="AH62" s="42">
        <v>1</v>
      </c>
      <c r="AI62" s="40">
        <v>1.2354522921220721</v>
      </c>
      <c r="AJ62" s="40">
        <v>1.1115090157628376</v>
      </c>
      <c r="AK62" s="41">
        <v>0</v>
      </c>
      <c r="AL62" s="41">
        <v>-1</v>
      </c>
      <c r="AM62" s="41" t="s">
        <v>744</v>
      </c>
      <c r="AN62" s="6">
        <v>1</v>
      </c>
      <c r="AO62" s="7" t="s">
        <v>855</v>
      </c>
      <c r="AP62" s="7">
        <v>1</v>
      </c>
      <c r="AQ62" s="7">
        <v>1</v>
      </c>
      <c r="AR62" s="7">
        <v>1</v>
      </c>
      <c r="AS62" s="42">
        <v>1</v>
      </c>
      <c r="AT62" s="42">
        <v>1</v>
      </c>
      <c r="AU62" s="40">
        <v>1.05</v>
      </c>
      <c r="AV62" s="40">
        <v>1.0246950765959599</v>
      </c>
      <c r="AW62" s="41">
        <v>-1</v>
      </c>
      <c r="AX62" s="41">
        <v>0</v>
      </c>
      <c r="AY62" s="41" t="s">
        <v>754</v>
      </c>
    </row>
  </sheetData>
  <autoFilter ref="A1:AY1" xr:uid="{8E4C9DD9-016B-451C-8EF6-3F75C6D63D35}">
    <sortState xmlns:xlrd2="http://schemas.microsoft.com/office/spreadsheetml/2017/richdata2" ref="A2:AY62">
      <sortCondition ref="B1"/>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7888-E3DF-4451-B561-E72224BFD9D2}">
  <dimension ref="A1:D3"/>
  <sheetViews>
    <sheetView workbookViewId="0">
      <selection activeCell="B1" sqref="B1"/>
    </sheetView>
  </sheetViews>
  <sheetFormatPr defaultRowHeight="14.4" x14ac:dyDescent="0.3"/>
  <cols>
    <col min="1" max="1" width="8" bestFit="1" customWidth="1"/>
    <col min="2" max="2" width="5.88671875" customWidth="1"/>
    <col min="3" max="3" width="52.6640625" bestFit="1" customWidth="1"/>
    <col min="4" max="4" width="35.21875" bestFit="1" customWidth="1"/>
  </cols>
  <sheetData>
    <row r="1" spans="1:4" x14ac:dyDescent="0.3">
      <c r="A1" s="1" t="s">
        <v>1061</v>
      </c>
      <c r="B1" s="1" t="s">
        <v>1064</v>
      </c>
      <c r="C1" s="1" t="s">
        <v>1062</v>
      </c>
      <c r="D1" s="1" t="s">
        <v>1053</v>
      </c>
    </row>
    <row r="2" spans="1:4" x14ac:dyDescent="0.3">
      <c r="A2" t="s">
        <v>25</v>
      </c>
      <c r="B2">
        <f>178.6/1003.8</f>
        <v>0.17792388922096036</v>
      </c>
      <c r="C2" t="s">
        <v>1063</v>
      </c>
      <c r="D2" t="s">
        <v>1065</v>
      </c>
    </row>
    <row r="3" spans="1:4" x14ac:dyDescent="0.3">
      <c r="A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for_pandas</vt:lpstr>
      <vt:lpstr>for_pandas_sec</vt:lpstr>
      <vt:lpstr>CALCULATION</vt:lpstr>
      <vt:lpstr>data_availability</vt:lpstr>
      <vt:lpstr>IEA_secondary_prod</vt:lpstr>
      <vt:lpstr>CP_enduse</vt:lpstr>
      <vt:lpstr>MCS</vt:lpstr>
      <vt:lpstr>MYB</vt:lpstr>
      <vt:lpstr>MCS25_raw</vt:lpstr>
      <vt:lpstr>WMD_2022_raw</vt:lpstr>
      <vt:lpstr>data_min_commodities</vt:lpstr>
      <vt:lpstr>Lundaev</vt:lpstr>
      <vt:lpstr>ChartierPoncelet</vt:lpstr>
      <vt:lpstr>Additional_resources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2025-04-30T15:21:02Z</dcterms:modified>
</cp:coreProperties>
</file>