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polymtlca0-my.sharepoint.com/personal/marin_pellan_polymtlus_ca/Documents/Desktop/POST_DOC/Project/plca_metals_github/plca_metals/data/"/>
    </mc:Choice>
  </mc:AlternateContent>
  <xr:revisionPtr revIDLastSave="1247" documentId="11_F25DC773A252ABDACC104887411C794C5BDE58EF" xr6:coauthVersionLast="47" xr6:coauthVersionMax="47" xr10:uidLastSave="{DFA5159E-BAA4-4612-8331-3FB0E592F1FD}"/>
  <bookViews>
    <workbookView xWindow="-108" yWindow="-108" windowWidth="23256" windowHeight="12456" activeTab="2" xr2:uid="{00000000-000D-0000-FFFF-FFFF00000000}"/>
  </bookViews>
  <sheets>
    <sheet name="README" sheetId="1" r:id="rId1"/>
    <sheet name="metal_list" sheetId="12" r:id="rId2"/>
    <sheet name="EI_markets_etm" sheetId="11" r:id="rId3"/>
    <sheet name="EI_markets_roe" sheetId="13" r:id="rId4"/>
    <sheet name="IEA_demand" sheetId="9" r:id="rId5"/>
    <sheet name="roe_demand" sheetId="14" r:id="rId6"/>
    <sheet name="d" sheetId="2" state="hidden" r:id="rId7"/>
    <sheet name="EI_markets_old" sheetId="4" state="hidden" r:id="rId8"/>
    <sheet name="IEA_demand_OLD" sheetId="3" state="hidden" r:id="rId9"/>
    <sheet name="IEA_raw_data_mineral" sheetId="6" state="hidden" r:id="rId10"/>
    <sheet name="IEA_raw_data_tech" sheetId="7" state="hidden" r:id="rId11"/>
  </sheets>
  <definedNames>
    <definedName name="_xlnm._FilterDatabase" localSheetId="2" hidden="1">EI_markets_etm!$A$1:$L$149</definedName>
    <definedName name="_xlnm._FilterDatabase" localSheetId="3" hidden="1">EI_markets_roe!$A$1:$L$1</definedName>
    <definedName name="_xlnm._FilterDatabase" localSheetId="4" hidden="1">IEA_demand!$A$1:$I$199</definedName>
    <definedName name="_xlnm._FilterDatabase" localSheetId="1" hidden="1">metal_list!$A$1:$D$1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46" i="11" l="1"/>
  <c r="I146" i="11"/>
  <c r="J146" i="11"/>
  <c r="K146" i="11"/>
  <c r="L146" i="11"/>
  <c r="H147" i="11"/>
  <c r="I147" i="11"/>
  <c r="J147" i="11"/>
  <c r="K147" i="11"/>
  <c r="L147" i="11"/>
  <c r="H148" i="11"/>
  <c r="I148" i="11"/>
  <c r="J148" i="11"/>
  <c r="K148" i="11"/>
  <c r="L148" i="11"/>
  <c r="H149" i="11"/>
  <c r="I149" i="11"/>
  <c r="J149" i="11"/>
  <c r="K149" i="11"/>
  <c r="L149" i="11"/>
  <c r="G147" i="11"/>
  <c r="G148" i="11"/>
  <c r="G149" i="11"/>
  <c r="G146" i="11"/>
  <c r="H140" i="11"/>
  <c r="I140" i="11"/>
  <c r="J140" i="11"/>
  <c r="K140" i="11"/>
  <c r="L140" i="11"/>
  <c r="H141" i="11"/>
  <c r="I141" i="11"/>
  <c r="J141" i="11"/>
  <c r="K141" i="11"/>
  <c r="L141" i="11"/>
  <c r="H142" i="11"/>
  <c r="I142" i="11"/>
  <c r="J142" i="11"/>
  <c r="K142" i="11"/>
  <c r="L142" i="11"/>
  <c r="H143" i="11"/>
  <c r="I143" i="11"/>
  <c r="J143" i="11"/>
  <c r="K143" i="11"/>
  <c r="L143" i="11"/>
  <c r="H144" i="11"/>
  <c r="I144" i="11"/>
  <c r="J144" i="11"/>
  <c r="K144" i="11"/>
  <c r="L144" i="11"/>
  <c r="H145" i="11"/>
  <c r="I145" i="11"/>
  <c r="J145" i="11"/>
  <c r="K145" i="11"/>
  <c r="L145" i="11"/>
  <c r="G141" i="11"/>
  <c r="G142" i="11"/>
  <c r="G143" i="11"/>
  <c r="G144" i="11"/>
  <c r="G145" i="11"/>
  <c r="G140" i="11"/>
  <c r="H136" i="11"/>
  <c r="I136" i="11"/>
  <c r="J136" i="11"/>
  <c r="K136" i="11"/>
  <c r="L136" i="11"/>
  <c r="H137" i="11"/>
  <c r="I137" i="11"/>
  <c r="J137" i="11"/>
  <c r="K137" i="11"/>
  <c r="L137" i="11"/>
  <c r="H138" i="11"/>
  <c r="I138" i="11"/>
  <c r="J138" i="11"/>
  <c r="K138" i="11"/>
  <c r="L138" i="11"/>
  <c r="H139" i="11"/>
  <c r="I139" i="11"/>
  <c r="J139" i="11"/>
  <c r="K139" i="11"/>
  <c r="L139" i="11"/>
  <c r="G137" i="11"/>
  <c r="G138" i="11"/>
  <c r="G139" i="11"/>
  <c r="G136" i="11"/>
  <c r="H134" i="11"/>
  <c r="I134" i="11"/>
  <c r="J134" i="11"/>
  <c r="K134" i="11"/>
  <c r="L134" i="11"/>
  <c r="H135" i="11"/>
  <c r="I135" i="11"/>
  <c r="J135" i="11"/>
  <c r="K135" i="11"/>
  <c r="L135" i="11"/>
  <c r="G135" i="11"/>
  <c r="G134" i="11"/>
  <c r="H132" i="11"/>
  <c r="I132" i="11"/>
  <c r="J132" i="11"/>
  <c r="K132" i="11"/>
  <c r="L132" i="11"/>
  <c r="H133" i="11"/>
  <c r="I133" i="11"/>
  <c r="J133" i="11"/>
  <c r="K133" i="11"/>
  <c r="L133" i="11"/>
  <c r="G133" i="11"/>
  <c r="G132" i="11"/>
  <c r="H130" i="11"/>
  <c r="I130" i="11"/>
  <c r="J130" i="11"/>
  <c r="K130" i="11"/>
  <c r="L130" i="11"/>
  <c r="H131" i="11"/>
  <c r="I131" i="11"/>
  <c r="J131" i="11"/>
  <c r="K131" i="11"/>
  <c r="L131" i="11"/>
  <c r="G131" i="11"/>
  <c r="G130" i="11"/>
  <c r="H126" i="11"/>
  <c r="I126" i="11"/>
  <c r="J126" i="11"/>
  <c r="K126" i="11"/>
  <c r="L126" i="11"/>
  <c r="H127" i="11"/>
  <c r="I127" i="11"/>
  <c r="J127" i="11"/>
  <c r="K127" i="11"/>
  <c r="L127" i="11"/>
  <c r="H128" i="11"/>
  <c r="I128" i="11"/>
  <c r="J128" i="11"/>
  <c r="K128" i="11"/>
  <c r="L128" i="11"/>
  <c r="H129" i="11"/>
  <c r="I129" i="11"/>
  <c r="J129" i="11"/>
  <c r="K129" i="11"/>
  <c r="L129" i="11"/>
  <c r="G127" i="11"/>
  <c r="G128" i="11"/>
  <c r="G129" i="11"/>
  <c r="G126" i="11"/>
  <c r="H122" i="11"/>
  <c r="I122" i="11"/>
  <c r="J122" i="11"/>
  <c r="K122" i="11"/>
  <c r="L122" i="11"/>
  <c r="H123" i="11"/>
  <c r="I123" i="11"/>
  <c r="J123" i="11"/>
  <c r="K123" i="11"/>
  <c r="L123" i="11"/>
  <c r="H124" i="11"/>
  <c r="I124" i="11"/>
  <c r="J124" i="11"/>
  <c r="K124" i="11"/>
  <c r="L124" i="11"/>
  <c r="H125" i="11"/>
  <c r="I125" i="11"/>
  <c r="J125" i="11"/>
  <c r="K125" i="11"/>
  <c r="L125" i="11"/>
  <c r="G123" i="11"/>
  <c r="G124" i="11"/>
  <c r="G125" i="11"/>
  <c r="G122" i="11"/>
  <c r="H120" i="11"/>
  <c r="I120" i="11"/>
  <c r="J120" i="11"/>
  <c r="K120" i="11"/>
  <c r="L120" i="11"/>
  <c r="H121" i="11"/>
  <c r="I121" i="11"/>
  <c r="J121" i="11"/>
  <c r="K121" i="11"/>
  <c r="L121" i="11"/>
  <c r="G121" i="11"/>
  <c r="G120" i="11"/>
  <c r="H118" i="11"/>
  <c r="I118" i="11"/>
  <c r="J118" i="11"/>
  <c r="K118" i="11"/>
  <c r="L118" i="11"/>
  <c r="H119" i="11"/>
  <c r="I119" i="11"/>
  <c r="J119" i="11"/>
  <c r="K119" i="11"/>
  <c r="L119" i="11"/>
  <c r="G119" i="11"/>
  <c r="G118" i="11"/>
  <c r="H114" i="11"/>
  <c r="I114" i="11"/>
  <c r="J114" i="11"/>
  <c r="K114" i="11"/>
  <c r="L114" i="11"/>
  <c r="H115" i="11"/>
  <c r="I115" i="11"/>
  <c r="J115" i="11"/>
  <c r="K115" i="11"/>
  <c r="L115" i="11"/>
  <c r="H116" i="11"/>
  <c r="I116" i="11"/>
  <c r="J116" i="11"/>
  <c r="K116" i="11"/>
  <c r="L116" i="11"/>
  <c r="H117" i="11"/>
  <c r="I117" i="11"/>
  <c r="J117" i="11"/>
  <c r="K117" i="11"/>
  <c r="L117" i="11"/>
  <c r="G115" i="11"/>
  <c r="G116" i="11"/>
  <c r="G117" i="11"/>
  <c r="G114" i="11"/>
  <c r="G108" i="11"/>
  <c r="H108" i="11"/>
  <c r="I108" i="11"/>
  <c r="J108" i="11"/>
  <c r="K108" i="11"/>
  <c r="L108" i="11"/>
  <c r="G109" i="11"/>
  <c r="H109" i="11"/>
  <c r="I109" i="11"/>
  <c r="J109" i="11"/>
  <c r="K109" i="11"/>
  <c r="L109" i="11"/>
  <c r="G110" i="11"/>
  <c r="H110" i="11"/>
  <c r="I110" i="11"/>
  <c r="J110" i="11"/>
  <c r="K110" i="11"/>
  <c r="L110" i="11"/>
  <c r="G111" i="11"/>
  <c r="H111" i="11"/>
  <c r="I111" i="11"/>
  <c r="J111" i="11"/>
  <c r="K111" i="11"/>
  <c r="L111" i="11"/>
  <c r="G112" i="11"/>
  <c r="H112" i="11"/>
  <c r="I112" i="11"/>
  <c r="J112" i="11"/>
  <c r="K112" i="11"/>
  <c r="L112" i="11"/>
  <c r="G113" i="11"/>
  <c r="H113" i="11"/>
  <c r="I113" i="11"/>
  <c r="J113" i="11"/>
  <c r="K113" i="11"/>
  <c r="L113" i="11"/>
  <c r="H106" i="11"/>
  <c r="I106" i="11"/>
  <c r="J106" i="11"/>
  <c r="K106" i="11"/>
  <c r="L106" i="11"/>
  <c r="H107" i="11"/>
  <c r="I107" i="11"/>
  <c r="J107" i="11"/>
  <c r="K107" i="11"/>
  <c r="L107" i="11"/>
  <c r="G107" i="11"/>
  <c r="G106" i="11"/>
  <c r="H102" i="11"/>
  <c r="I102" i="11"/>
  <c r="J102" i="11"/>
  <c r="K102" i="11"/>
  <c r="L102" i="11"/>
  <c r="H103" i="11"/>
  <c r="I103" i="11"/>
  <c r="J103" i="11"/>
  <c r="K103" i="11"/>
  <c r="L103" i="11"/>
  <c r="H104" i="11"/>
  <c r="I104" i="11"/>
  <c r="J104" i="11"/>
  <c r="K104" i="11"/>
  <c r="L104" i="11"/>
  <c r="H105" i="11"/>
  <c r="I105" i="11"/>
  <c r="J105" i="11"/>
  <c r="K105" i="11"/>
  <c r="L105" i="11"/>
  <c r="G103" i="11"/>
  <c r="G104" i="11"/>
  <c r="G105" i="11"/>
  <c r="G102" i="11"/>
  <c r="H100" i="11"/>
  <c r="I100" i="11"/>
  <c r="J100" i="11"/>
  <c r="K100" i="11"/>
  <c r="L100" i="11"/>
  <c r="H101" i="11"/>
  <c r="I101" i="11"/>
  <c r="J101" i="11"/>
  <c r="K101" i="11"/>
  <c r="L101" i="11"/>
  <c r="G101" i="11"/>
  <c r="G100" i="11"/>
  <c r="H98" i="11"/>
  <c r="I98" i="11"/>
  <c r="J98" i="11"/>
  <c r="K98" i="11"/>
  <c r="L98" i="11"/>
  <c r="H99" i="11"/>
  <c r="I99" i="11"/>
  <c r="J99" i="11"/>
  <c r="K99" i="11"/>
  <c r="L99" i="11"/>
  <c r="G99" i="11"/>
  <c r="G98" i="11"/>
  <c r="H86" i="11"/>
  <c r="I86" i="11"/>
  <c r="J86" i="11"/>
  <c r="K86" i="11"/>
  <c r="L86" i="11"/>
  <c r="H87" i="11"/>
  <c r="I87" i="11"/>
  <c r="J87" i="11"/>
  <c r="K87" i="11"/>
  <c r="L87" i="11"/>
  <c r="H88" i="11"/>
  <c r="I88" i="11"/>
  <c r="J88" i="11"/>
  <c r="K88" i="11"/>
  <c r="L88" i="11"/>
  <c r="H89" i="11"/>
  <c r="I89" i="11"/>
  <c r="J89" i="11"/>
  <c r="K89" i="11"/>
  <c r="L89" i="11"/>
  <c r="H90" i="11"/>
  <c r="I90" i="11"/>
  <c r="J90" i="11"/>
  <c r="K90" i="11"/>
  <c r="L90" i="11"/>
  <c r="H91" i="11"/>
  <c r="I91" i="11"/>
  <c r="J91" i="11"/>
  <c r="K91" i="11"/>
  <c r="L91" i="11"/>
  <c r="H92" i="11"/>
  <c r="I92" i="11"/>
  <c r="J92" i="11"/>
  <c r="K92" i="11"/>
  <c r="L92" i="11"/>
  <c r="H93" i="11"/>
  <c r="I93" i="11"/>
  <c r="J93" i="11"/>
  <c r="K93" i="11"/>
  <c r="L93" i="11"/>
  <c r="H94" i="11"/>
  <c r="I94" i="11"/>
  <c r="J94" i="11"/>
  <c r="K94" i="11"/>
  <c r="L94" i="11"/>
  <c r="H95" i="11"/>
  <c r="I95" i="11"/>
  <c r="J95" i="11"/>
  <c r="K95" i="11"/>
  <c r="L95" i="11"/>
  <c r="H96" i="11"/>
  <c r="I96" i="11"/>
  <c r="J96" i="11"/>
  <c r="K96" i="11"/>
  <c r="L96" i="11"/>
  <c r="H97" i="11"/>
  <c r="I97" i="11"/>
  <c r="J97" i="11"/>
  <c r="K97" i="11"/>
  <c r="L97" i="11"/>
  <c r="G87" i="11"/>
  <c r="G88" i="11"/>
  <c r="G89" i="11"/>
  <c r="G90" i="11"/>
  <c r="G91" i="11"/>
  <c r="G92" i="11"/>
  <c r="G93" i="11"/>
  <c r="G94" i="11"/>
  <c r="G95" i="11"/>
  <c r="G96" i="11"/>
  <c r="G97" i="11"/>
  <c r="G86" i="11"/>
  <c r="H82" i="11"/>
  <c r="I82" i="11"/>
  <c r="J82" i="11"/>
  <c r="K82" i="11"/>
  <c r="L82" i="11"/>
  <c r="H83" i="11"/>
  <c r="I83" i="11"/>
  <c r="J83" i="11"/>
  <c r="K83" i="11"/>
  <c r="L83" i="11"/>
  <c r="H84" i="11"/>
  <c r="I84" i="11"/>
  <c r="J84" i="11"/>
  <c r="K84" i="11"/>
  <c r="L84" i="11"/>
  <c r="H85" i="11"/>
  <c r="I85" i="11"/>
  <c r="J85" i="11"/>
  <c r="K85" i="11"/>
  <c r="L85" i="11"/>
  <c r="G83" i="11"/>
  <c r="G84" i="11"/>
  <c r="G85" i="11"/>
  <c r="G82" i="11"/>
  <c r="H76" i="11"/>
  <c r="I76" i="11"/>
  <c r="J76" i="11"/>
  <c r="K76" i="11"/>
  <c r="L76" i="11"/>
  <c r="H77" i="11"/>
  <c r="I77" i="11"/>
  <c r="J77" i="11"/>
  <c r="K77" i="11"/>
  <c r="L77" i="11"/>
  <c r="H78" i="11"/>
  <c r="I78" i="11"/>
  <c r="J78" i="11"/>
  <c r="K78" i="11"/>
  <c r="L78" i="11"/>
  <c r="H79" i="11"/>
  <c r="I79" i="11"/>
  <c r="J79" i="11"/>
  <c r="K79" i="11"/>
  <c r="L79" i="11"/>
  <c r="H80" i="11"/>
  <c r="I80" i="11"/>
  <c r="J80" i="11"/>
  <c r="K80" i="11"/>
  <c r="L80" i="11"/>
  <c r="H81" i="11"/>
  <c r="I81" i="11"/>
  <c r="J81" i="11"/>
  <c r="K81" i="11"/>
  <c r="L81" i="11"/>
  <c r="G77" i="11"/>
  <c r="G78" i="11"/>
  <c r="G79" i="11"/>
  <c r="G80" i="11"/>
  <c r="G81" i="11"/>
  <c r="G76" i="11"/>
  <c r="H68" i="11"/>
  <c r="I68" i="11"/>
  <c r="J68" i="11"/>
  <c r="K68" i="11"/>
  <c r="L68" i="11"/>
  <c r="H69" i="11"/>
  <c r="I69" i="11"/>
  <c r="J69" i="11"/>
  <c r="K69" i="11"/>
  <c r="L69" i="11"/>
  <c r="H70" i="11"/>
  <c r="I70" i="11"/>
  <c r="J70" i="11"/>
  <c r="K70" i="11"/>
  <c r="L70" i="11"/>
  <c r="H71" i="11"/>
  <c r="I71" i="11"/>
  <c r="J71" i="11"/>
  <c r="K71" i="11"/>
  <c r="L71" i="11"/>
  <c r="H72" i="11"/>
  <c r="I72" i="11"/>
  <c r="J72" i="11"/>
  <c r="K72" i="11"/>
  <c r="L72" i="11"/>
  <c r="H73" i="11"/>
  <c r="I73" i="11"/>
  <c r="J73" i="11"/>
  <c r="K73" i="11"/>
  <c r="L73" i="11"/>
  <c r="H74" i="11"/>
  <c r="I74" i="11"/>
  <c r="J74" i="11"/>
  <c r="K74" i="11"/>
  <c r="L74" i="11"/>
  <c r="H75" i="11"/>
  <c r="I75" i="11"/>
  <c r="J75" i="11"/>
  <c r="K75" i="11"/>
  <c r="L75" i="11"/>
  <c r="G69" i="11"/>
  <c r="G70" i="11"/>
  <c r="G71" i="11"/>
  <c r="G72" i="11"/>
  <c r="G73" i="11"/>
  <c r="G74" i="11"/>
  <c r="G75" i="11"/>
  <c r="G68" i="11"/>
  <c r="H66" i="11"/>
  <c r="I66" i="11"/>
  <c r="J66" i="11"/>
  <c r="K66" i="11"/>
  <c r="L66" i="11"/>
  <c r="H67" i="11"/>
  <c r="I67" i="11"/>
  <c r="J67" i="11"/>
  <c r="K67" i="11"/>
  <c r="L67" i="11"/>
  <c r="G67" i="11"/>
  <c r="G66" i="11"/>
  <c r="H62" i="11"/>
  <c r="I62" i="11"/>
  <c r="J62" i="11"/>
  <c r="K62" i="11"/>
  <c r="L62" i="11"/>
  <c r="H63" i="11"/>
  <c r="I63" i="11"/>
  <c r="J63" i="11"/>
  <c r="K63" i="11"/>
  <c r="L63" i="11"/>
  <c r="H64" i="11"/>
  <c r="I64" i="11"/>
  <c r="J64" i="11"/>
  <c r="K64" i="11"/>
  <c r="L64" i="11"/>
  <c r="H65" i="11"/>
  <c r="I65" i="11"/>
  <c r="J65" i="11"/>
  <c r="K65" i="11"/>
  <c r="L65" i="11"/>
  <c r="G63" i="11"/>
  <c r="G64" i="11"/>
  <c r="G65" i="11"/>
  <c r="G62" i="11"/>
  <c r="H58" i="11"/>
  <c r="I58" i="11"/>
  <c r="J58" i="11"/>
  <c r="K58" i="11"/>
  <c r="L58" i="11"/>
  <c r="H59" i="11"/>
  <c r="I59" i="11"/>
  <c r="J59" i="11"/>
  <c r="K59" i="11"/>
  <c r="L59" i="11"/>
  <c r="H60" i="11"/>
  <c r="I60" i="11"/>
  <c r="J60" i="11"/>
  <c r="K60" i="11"/>
  <c r="L60" i="11"/>
  <c r="H61" i="11"/>
  <c r="I61" i="11"/>
  <c r="J61" i="11"/>
  <c r="K61" i="11"/>
  <c r="L61" i="11"/>
  <c r="G59" i="11"/>
  <c r="G60" i="11"/>
  <c r="G61" i="11"/>
  <c r="G58" i="11"/>
  <c r="H56" i="11"/>
  <c r="I56" i="11"/>
  <c r="J56" i="11"/>
  <c r="K56" i="11"/>
  <c r="L56" i="11"/>
  <c r="H57" i="11"/>
  <c r="I57" i="11"/>
  <c r="J57" i="11"/>
  <c r="K57" i="11"/>
  <c r="L57" i="11"/>
  <c r="G57" i="11"/>
  <c r="G56" i="11"/>
  <c r="H54" i="11"/>
  <c r="I54" i="11"/>
  <c r="J54" i="11"/>
  <c r="K54" i="11"/>
  <c r="L54" i="11"/>
  <c r="H55" i="11"/>
  <c r="I55" i="11"/>
  <c r="J55" i="11"/>
  <c r="K55" i="11"/>
  <c r="L55" i="11"/>
  <c r="G55" i="11"/>
  <c r="G54" i="11"/>
  <c r="H50" i="11"/>
  <c r="I50" i="11"/>
  <c r="J50" i="11"/>
  <c r="K50" i="11"/>
  <c r="L50" i="11"/>
  <c r="H51" i="11"/>
  <c r="I51" i="11"/>
  <c r="J51" i="11"/>
  <c r="K51" i="11"/>
  <c r="L51" i="11"/>
  <c r="H52" i="11"/>
  <c r="I52" i="11"/>
  <c r="J52" i="11"/>
  <c r="K52" i="11"/>
  <c r="L52" i="11"/>
  <c r="H53" i="11"/>
  <c r="I53" i="11"/>
  <c r="J53" i="11"/>
  <c r="K53" i="11"/>
  <c r="L53" i="11"/>
  <c r="G51" i="11"/>
  <c r="G52" i="11"/>
  <c r="G53" i="11"/>
  <c r="G50" i="11"/>
  <c r="H48" i="11"/>
  <c r="I48" i="11"/>
  <c r="J48" i="11"/>
  <c r="K48" i="11"/>
  <c r="L48" i="11"/>
  <c r="H49" i="11"/>
  <c r="I49" i="11"/>
  <c r="J49" i="11"/>
  <c r="K49" i="11"/>
  <c r="L49" i="11"/>
  <c r="G49" i="11"/>
  <c r="G48" i="11"/>
  <c r="H44" i="11"/>
  <c r="I44" i="11"/>
  <c r="J44" i="11"/>
  <c r="K44" i="11"/>
  <c r="L44" i="11"/>
  <c r="H45" i="11"/>
  <c r="I45" i="11"/>
  <c r="J45" i="11"/>
  <c r="K45" i="11"/>
  <c r="L45" i="11"/>
  <c r="H46" i="11"/>
  <c r="I46" i="11"/>
  <c r="J46" i="11"/>
  <c r="K46" i="11"/>
  <c r="L46" i="11"/>
  <c r="H47" i="11"/>
  <c r="I47" i="11"/>
  <c r="J47" i="11"/>
  <c r="K47" i="11"/>
  <c r="L47" i="11"/>
  <c r="G45" i="11"/>
  <c r="G46" i="11"/>
  <c r="G47" i="11"/>
  <c r="G44" i="11"/>
  <c r="G43" i="11"/>
  <c r="H43" i="11"/>
  <c r="I43" i="11"/>
  <c r="J43" i="11"/>
  <c r="K43" i="11"/>
  <c r="L43" i="11"/>
  <c r="H42" i="11"/>
  <c r="I42" i="11"/>
  <c r="J42" i="11"/>
  <c r="K42" i="11"/>
  <c r="L42" i="11"/>
  <c r="G42" i="11"/>
  <c r="G39" i="11"/>
  <c r="H39" i="11"/>
  <c r="I39" i="11"/>
  <c r="J39" i="11"/>
  <c r="K39" i="11"/>
  <c r="L39" i="11"/>
  <c r="G40" i="11"/>
  <c r="H40" i="11"/>
  <c r="I40" i="11"/>
  <c r="J40" i="11"/>
  <c r="K40" i="11"/>
  <c r="L40" i="11"/>
  <c r="G41" i="11"/>
  <c r="H41" i="11"/>
  <c r="I41" i="11"/>
  <c r="J41" i="11"/>
  <c r="K41" i="11"/>
  <c r="L41" i="11"/>
  <c r="H38" i="11"/>
  <c r="I38" i="11"/>
  <c r="J38" i="11"/>
  <c r="K38" i="11"/>
  <c r="L38" i="11"/>
  <c r="G38" i="11"/>
  <c r="G25" i="11"/>
  <c r="H25" i="11"/>
  <c r="I25" i="11"/>
  <c r="J25" i="11"/>
  <c r="K25" i="11"/>
  <c r="L25" i="11"/>
  <c r="G26" i="11"/>
  <c r="H26" i="11"/>
  <c r="I26" i="11"/>
  <c r="J26" i="11"/>
  <c r="K26" i="11"/>
  <c r="L26" i="11"/>
  <c r="G27" i="11"/>
  <c r="H27" i="11"/>
  <c r="I27" i="11"/>
  <c r="J27" i="11"/>
  <c r="K27" i="11"/>
  <c r="L27" i="11"/>
  <c r="G28" i="11"/>
  <c r="H28" i="11"/>
  <c r="I28" i="11"/>
  <c r="J28" i="11"/>
  <c r="K28" i="11"/>
  <c r="L28" i="11"/>
  <c r="G29" i="11"/>
  <c r="H29" i="11"/>
  <c r="I29" i="11"/>
  <c r="J29" i="11"/>
  <c r="K29" i="11"/>
  <c r="L29" i="11"/>
  <c r="G30" i="11"/>
  <c r="H30" i="11"/>
  <c r="I30" i="11"/>
  <c r="J30" i="11"/>
  <c r="K30" i="11"/>
  <c r="L30" i="11"/>
  <c r="G31" i="11"/>
  <c r="H31" i="11"/>
  <c r="I31" i="11"/>
  <c r="J31" i="11"/>
  <c r="K31" i="11"/>
  <c r="L31" i="11"/>
  <c r="G32" i="11"/>
  <c r="H32" i="11"/>
  <c r="I32" i="11"/>
  <c r="J32" i="11"/>
  <c r="K32" i="11"/>
  <c r="L32" i="11"/>
  <c r="G33" i="11"/>
  <c r="H33" i="11"/>
  <c r="I33" i="11"/>
  <c r="J33" i="11"/>
  <c r="K33" i="11"/>
  <c r="L33" i="11"/>
  <c r="G34" i="11"/>
  <c r="H34" i="11"/>
  <c r="I34" i="11"/>
  <c r="J34" i="11"/>
  <c r="K34" i="11"/>
  <c r="L34" i="11"/>
  <c r="G35" i="11"/>
  <c r="H35" i="11"/>
  <c r="I35" i="11"/>
  <c r="J35" i="11"/>
  <c r="K35" i="11"/>
  <c r="L35" i="11"/>
  <c r="G36" i="11"/>
  <c r="H36" i="11"/>
  <c r="I36" i="11"/>
  <c r="J36" i="11"/>
  <c r="K36" i="11"/>
  <c r="L36" i="11"/>
  <c r="G37" i="11"/>
  <c r="H37" i="11"/>
  <c r="I37" i="11"/>
  <c r="J37" i="11"/>
  <c r="K37" i="11"/>
  <c r="L37" i="11"/>
  <c r="H24" i="11"/>
  <c r="I24" i="11"/>
  <c r="J24" i="11"/>
  <c r="K24" i="11"/>
  <c r="L24" i="11"/>
  <c r="G24" i="11"/>
  <c r="H16" i="11"/>
  <c r="I16" i="11"/>
  <c r="J16" i="11"/>
  <c r="K16" i="11"/>
  <c r="L16" i="11"/>
  <c r="H17" i="11"/>
  <c r="I17" i="11"/>
  <c r="J17" i="11"/>
  <c r="K17" i="11"/>
  <c r="L17" i="11"/>
  <c r="H18" i="11"/>
  <c r="I18" i="11"/>
  <c r="J18" i="11"/>
  <c r="K18" i="11"/>
  <c r="L18" i="11"/>
  <c r="H19" i="11"/>
  <c r="I19" i="11"/>
  <c r="J19" i="11"/>
  <c r="K19" i="11"/>
  <c r="L19" i="11"/>
  <c r="H20" i="11"/>
  <c r="I20" i="11"/>
  <c r="J20" i="11"/>
  <c r="K20" i="11"/>
  <c r="L20" i="11"/>
  <c r="H21" i="11"/>
  <c r="I21" i="11"/>
  <c r="J21" i="11"/>
  <c r="K21" i="11"/>
  <c r="L21" i="11"/>
  <c r="H22" i="11"/>
  <c r="I22" i="11"/>
  <c r="J22" i="11"/>
  <c r="K22" i="11"/>
  <c r="L22" i="11"/>
  <c r="H23" i="11"/>
  <c r="I23" i="11"/>
  <c r="J23" i="11"/>
  <c r="K23" i="11"/>
  <c r="L23" i="11"/>
  <c r="G17" i="11"/>
  <c r="G18" i="11"/>
  <c r="G19" i="11"/>
  <c r="G20" i="11"/>
  <c r="G21" i="11"/>
  <c r="G22" i="11"/>
  <c r="G23" i="11"/>
  <c r="G16" i="11"/>
  <c r="H12" i="11"/>
  <c r="I12" i="11"/>
  <c r="J12" i="11"/>
  <c r="K12" i="11"/>
  <c r="L12" i="11"/>
  <c r="H13" i="11"/>
  <c r="I13" i="11"/>
  <c r="J13" i="11"/>
  <c r="K13" i="11"/>
  <c r="L13" i="11"/>
  <c r="H14" i="11"/>
  <c r="I14" i="11"/>
  <c r="J14" i="11"/>
  <c r="K14" i="11"/>
  <c r="L14" i="11"/>
  <c r="H15" i="11"/>
  <c r="I15" i="11"/>
  <c r="J15" i="11"/>
  <c r="K15" i="11"/>
  <c r="L15" i="11"/>
  <c r="G13" i="11"/>
  <c r="G14" i="11"/>
  <c r="G15" i="11"/>
  <c r="G12" i="11"/>
  <c r="H4" i="11"/>
  <c r="I4" i="11"/>
  <c r="J4" i="11"/>
  <c r="K4" i="11"/>
  <c r="L4" i="11"/>
  <c r="H5" i="11"/>
  <c r="I5" i="11"/>
  <c r="J5" i="11"/>
  <c r="K5" i="11"/>
  <c r="L5" i="11"/>
  <c r="H6" i="11"/>
  <c r="I6" i="11"/>
  <c r="J6" i="11"/>
  <c r="K6" i="11"/>
  <c r="L6" i="11"/>
  <c r="H7" i="11"/>
  <c r="I7" i="11"/>
  <c r="J7" i="11"/>
  <c r="K7" i="11"/>
  <c r="L7" i="11"/>
  <c r="H8" i="11"/>
  <c r="I8" i="11"/>
  <c r="J8" i="11"/>
  <c r="K8" i="11"/>
  <c r="L8" i="11"/>
  <c r="H9" i="11"/>
  <c r="I9" i="11"/>
  <c r="J9" i="11"/>
  <c r="K9" i="11"/>
  <c r="L9" i="11"/>
  <c r="H10" i="11"/>
  <c r="I10" i="11"/>
  <c r="J10" i="11"/>
  <c r="K10" i="11"/>
  <c r="L10" i="11"/>
  <c r="H11" i="11"/>
  <c r="I11" i="11"/>
  <c r="J11" i="11"/>
  <c r="K11" i="11"/>
  <c r="L11" i="11"/>
  <c r="G5" i="11"/>
  <c r="G6" i="11"/>
  <c r="G7" i="11"/>
  <c r="G8" i="11"/>
  <c r="G9" i="11"/>
  <c r="G10" i="11"/>
  <c r="G11" i="11"/>
  <c r="G4" i="11"/>
  <c r="G3" i="11"/>
  <c r="H3" i="11"/>
  <c r="I3" i="11"/>
  <c r="J3" i="11"/>
  <c r="K3" i="11"/>
  <c r="L3" i="11"/>
  <c r="H2" i="11"/>
  <c r="I2" i="11"/>
  <c r="J2" i="11"/>
  <c r="K2" i="11"/>
  <c r="L2" i="11"/>
  <c r="G2" i="11"/>
  <c r="AF165" i="3" l="1"/>
  <c r="AE165" i="3"/>
  <c r="AD165" i="3"/>
  <c r="AC165" i="3"/>
  <c r="AA165" i="3"/>
  <c r="Z165" i="3"/>
  <c r="Y165" i="3"/>
  <c r="X165" i="3"/>
  <c r="V165" i="3"/>
  <c r="U165" i="3"/>
  <c r="T165" i="3"/>
  <c r="S165" i="3"/>
  <c r="Q165" i="3"/>
  <c r="P165" i="3"/>
  <c r="O165" i="3"/>
  <c r="N165" i="3"/>
  <c r="L165" i="3"/>
  <c r="K165" i="3"/>
  <c r="J165" i="3"/>
  <c r="I165" i="3"/>
  <c r="G165" i="3"/>
  <c r="F165" i="3"/>
  <c r="AH165" i="3" s="1"/>
  <c r="AF164" i="3"/>
  <c r="AE164" i="3"/>
  <c r="AD164" i="3"/>
  <c r="AC164" i="3"/>
  <c r="AA164" i="3"/>
  <c r="Z164" i="3"/>
  <c r="Y164" i="3"/>
  <c r="X164" i="3"/>
  <c r="V164" i="3"/>
  <c r="U164" i="3"/>
  <c r="T164" i="3"/>
  <c r="S164" i="3"/>
  <c r="Q164" i="3"/>
  <c r="P164" i="3"/>
  <c r="O164" i="3"/>
  <c r="N164" i="3"/>
  <c r="L164" i="3"/>
  <c r="K164" i="3"/>
  <c r="J164" i="3"/>
  <c r="I164" i="3"/>
  <c r="G164" i="3"/>
  <c r="F164" i="3"/>
  <c r="AF163" i="3"/>
  <c r="AE163" i="3"/>
  <c r="AD163" i="3"/>
  <c r="AC163" i="3"/>
  <c r="AA163" i="3"/>
  <c r="Z163" i="3"/>
  <c r="Y163" i="3"/>
  <c r="X163" i="3"/>
  <c r="V163" i="3"/>
  <c r="U163" i="3"/>
  <c r="T163" i="3"/>
  <c r="S163" i="3"/>
  <c r="Q163" i="3"/>
  <c r="P163" i="3"/>
  <c r="O163" i="3"/>
  <c r="N163" i="3"/>
  <c r="L163" i="3"/>
  <c r="K163" i="3"/>
  <c r="J163" i="3"/>
  <c r="I163" i="3"/>
  <c r="G163" i="3"/>
  <c r="F163" i="3"/>
  <c r="AF162" i="3"/>
  <c r="AE162" i="3"/>
  <c r="AD162" i="3"/>
  <c r="AC162" i="3"/>
  <c r="AA162" i="3"/>
  <c r="Z162" i="3"/>
  <c r="Y162" i="3"/>
  <c r="X162" i="3"/>
  <c r="V162" i="3"/>
  <c r="U162" i="3"/>
  <c r="T162" i="3"/>
  <c r="S162" i="3"/>
  <c r="Q162" i="3"/>
  <c r="P162" i="3"/>
  <c r="O162" i="3"/>
  <c r="N162" i="3"/>
  <c r="L162" i="3"/>
  <c r="K162" i="3"/>
  <c r="J162" i="3"/>
  <c r="I162" i="3"/>
  <c r="G162" i="3"/>
  <c r="F162" i="3"/>
  <c r="AF161" i="3"/>
  <c r="AE161" i="3"/>
  <c r="AD161" i="3"/>
  <c r="AC161" i="3"/>
  <c r="AA161" i="3"/>
  <c r="Z161" i="3"/>
  <c r="Y161" i="3"/>
  <c r="X161" i="3"/>
  <c r="V161" i="3"/>
  <c r="U161" i="3"/>
  <c r="T161" i="3"/>
  <c r="S161" i="3"/>
  <c r="Q161" i="3"/>
  <c r="P161" i="3"/>
  <c r="O161" i="3"/>
  <c r="N161" i="3"/>
  <c r="L161" i="3"/>
  <c r="K161" i="3"/>
  <c r="J161" i="3"/>
  <c r="I161" i="3"/>
  <c r="G161" i="3"/>
  <c r="F161" i="3"/>
  <c r="AH161" i="3" s="1"/>
  <c r="AF160" i="3"/>
  <c r="AE160" i="3"/>
  <c r="AD160" i="3"/>
  <c r="AC160" i="3"/>
  <c r="AA160" i="3"/>
  <c r="Z160" i="3"/>
  <c r="Y160" i="3"/>
  <c r="X160" i="3"/>
  <c r="V160" i="3"/>
  <c r="U160" i="3"/>
  <c r="T160" i="3"/>
  <c r="S160" i="3"/>
  <c r="Q160" i="3"/>
  <c r="P160" i="3"/>
  <c r="O160" i="3"/>
  <c r="N160" i="3"/>
  <c r="L160" i="3"/>
  <c r="K160" i="3"/>
  <c r="J160" i="3"/>
  <c r="I160" i="3"/>
  <c r="G160" i="3"/>
  <c r="F160" i="3"/>
  <c r="AF159" i="3"/>
  <c r="AE159" i="3"/>
  <c r="AD159" i="3"/>
  <c r="AC159" i="3"/>
  <c r="AA159" i="3"/>
  <c r="Z159" i="3"/>
  <c r="Y159" i="3"/>
  <c r="X159" i="3"/>
  <c r="V159" i="3"/>
  <c r="U159" i="3"/>
  <c r="T159" i="3"/>
  <c r="S159" i="3"/>
  <c r="Q159" i="3"/>
  <c r="P159" i="3"/>
  <c r="O159" i="3"/>
  <c r="N159" i="3"/>
  <c r="L159" i="3"/>
  <c r="K159" i="3"/>
  <c r="J159" i="3"/>
  <c r="I159" i="3"/>
  <c r="G159" i="3"/>
  <c r="F159" i="3"/>
  <c r="AF158" i="3"/>
  <c r="AE158" i="3"/>
  <c r="AD158" i="3"/>
  <c r="AC158" i="3"/>
  <c r="AA158" i="3"/>
  <c r="Z158" i="3"/>
  <c r="Y158" i="3"/>
  <c r="X158" i="3"/>
  <c r="V158" i="3"/>
  <c r="U158" i="3"/>
  <c r="T158" i="3"/>
  <c r="S158" i="3"/>
  <c r="Q158" i="3"/>
  <c r="P158" i="3"/>
  <c r="O158" i="3"/>
  <c r="N158" i="3"/>
  <c r="L158" i="3"/>
  <c r="K158" i="3"/>
  <c r="J158" i="3"/>
  <c r="I158" i="3"/>
  <c r="G158" i="3"/>
  <c r="F158" i="3"/>
  <c r="AF157" i="3"/>
  <c r="AE157" i="3"/>
  <c r="AD157" i="3"/>
  <c r="AC157" i="3"/>
  <c r="AA157" i="3"/>
  <c r="Z157" i="3"/>
  <c r="Y157" i="3"/>
  <c r="X157" i="3"/>
  <c r="V157" i="3"/>
  <c r="U157" i="3"/>
  <c r="T157" i="3"/>
  <c r="S157" i="3"/>
  <c r="Q157" i="3"/>
  <c r="P157" i="3"/>
  <c r="O157" i="3"/>
  <c r="N157" i="3"/>
  <c r="L157" i="3"/>
  <c r="K157" i="3"/>
  <c r="J157" i="3"/>
  <c r="I157" i="3"/>
  <c r="G157" i="3"/>
  <c r="F157" i="3"/>
  <c r="AH157" i="3" s="1"/>
  <c r="AF156" i="3"/>
  <c r="AE156" i="3"/>
  <c r="AD156" i="3"/>
  <c r="AC156" i="3"/>
  <c r="AA156" i="3"/>
  <c r="Z156" i="3"/>
  <c r="Y156" i="3"/>
  <c r="X156" i="3"/>
  <c r="V156" i="3"/>
  <c r="U156" i="3"/>
  <c r="T156" i="3"/>
  <c r="S156" i="3"/>
  <c r="Q156" i="3"/>
  <c r="P156" i="3"/>
  <c r="O156" i="3"/>
  <c r="N156" i="3"/>
  <c r="L156" i="3"/>
  <c r="K156" i="3"/>
  <c r="J156" i="3"/>
  <c r="I156" i="3"/>
  <c r="G156" i="3"/>
  <c r="F156" i="3"/>
  <c r="AF155" i="3"/>
  <c r="AE155" i="3"/>
  <c r="AD155" i="3"/>
  <c r="AC155" i="3"/>
  <c r="AA155" i="3"/>
  <c r="Z155" i="3"/>
  <c r="Y155" i="3"/>
  <c r="X155" i="3"/>
  <c r="V155" i="3"/>
  <c r="U155" i="3"/>
  <c r="T155" i="3"/>
  <c r="S155" i="3"/>
  <c r="Q155" i="3"/>
  <c r="P155" i="3"/>
  <c r="O155" i="3"/>
  <c r="N155" i="3"/>
  <c r="L155" i="3"/>
  <c r="K155" i="3"/>
  <c r="J155" i="3"/>
  <c r="I155" i="3"/>
  <c r="G155" i="3"/>
  <c r="F155" i="3"/>
  <c r="AF154" i="3"/>
  <c r="AE154" i="3"/>
  <c r="AD154" i="3"/>
  <c r="AC154" i="3"/>
  <c r="AA154" i="3"/>
  <c r="Z154" i="3"/>
  <c r="Y154" i="3"/>
  <c r="X154" i="3"/>
  <c r="V154" i="3"/>
  <c r="U154" i="3"/>
  <c r="T154" i="3"/>
  <c r="S154" i="3"/>
  <c r="Q154" i="3"/>
  <c r="P154" i="3"/>
  <c r="O154" i="3"/>
  <c r="N154" i="3"/>
  <c r="L154" i="3"/>
  <c r="K154" i="3"/>
  <c r="J154" i="3"/>
  <c r="I154" i="3"/>
  <c r="G154" i="3"/>
  <c r="F154" i="3"/>
  <c r="AF153" i="3"/>
  <c r="AE153" i="3"/>
  <c r="AD153" i="3"/>
  <c r="AC153" i="3"/>
  <c r="AA153" i="3"/>
  <c r="Z153" i="3"/>
  <c r="Y153" i="3"/>
  <c r="X153" i="3"/>
  <c r="V153" i="3"/>
  <c r="U153" i="3"/>
  <c r="T153" i="3"/>
  <c r="S153" i="3"/>
  <c r="Q153" i="3"/>
  <c r="P153" i="3"/>
  <c r="O153" i="3"/>
  <c r="N153" i="3"/>
  <c r="L153" i="3"/>
  <c r="K153" i="3"/>
  <c r="J153" i="3"/>
  <c r="I153" i="3"/>
  <c r="G153" i="3"/>
  <c r="F153" i="3"/>
  <c r="AH153" i="3" s="1"/>
  <c r="AF152" i="3"/>
  <c r="AE152" i="3"/>
  <c r="AD152" i="3"/>
  <c r="AC152" i="3"/>
  <c r="AA152" i="3"/>
  <c r="Z152" i="3"/>
  <c r="Y152" i="3"/>
  <c r="X152" i="3"/>
  <c r="V152" i="3"/>
  <c r="U152" i="3"/>
  <c r="T152" i="3"/>
  <c r="S152" i="3"/>
  <c r="Q152" i="3"/>
  <c r="P152" i="3"/>
  <c r="O152" i="3"/>
  <c r="N152" i="3"/>
  <c r="L152" i="3"/>
  <c r="K152" i="3"/>
  <c r="J152" i="3"/>
  <c r="I152" i="3"/>
  <c r="G152" i="3"/>
  <c r="F152" i="3"/>
  <c r="AF151" i="3"/>
  <c r="AE151" i="3"/>
  <c r="AD151" i="3"/>
  <c r="AC151" i="3"/>
  <c r="AA151" i="3"/>
  <c r="Z151" i="3"/>
  <c r="Y151" i="3"/>
  <c r="X151" i="3"/>
  <c r="V151" i="3"/>
  <c r="U151" i="3"/>
  <c r="T151" i="3"/>
  <c r="S151" i="3"/>
  <c r="Q151" i="3"/>
  <c r="P151" i="3"/>
  <c r="O151" i="3"/>
  <c r="N151" i="3"/>
  <c r="L151" i="3"/>
  <c r="K151" i="3"/>
  <c r="J151" i="3"/>
  <c r="I151" i="3"/>
  <c r="G151" i="3"/>
  <c r="F151" i="3"/>
  <c r="AF150" i="3"/>
  <c r="AE150" i="3"/>
  <c r="AD150" i="3"/>
  <c r="AC150" i="3"/>
  <c r="AA150" i="3"/>
  <c r="Z150" i="3"/>
  <c r="Y150" i="3"/>
  <c r="X150" i="3"/>
  <c r="V150" i="3"/>
  <c r="U150" i="3"/>
  <c r="T150" i="3"/>
  <c r="S150" i="3"/>
  <c r="Q150" i="3"/>
  <c r="P150" i="3"/>
  <c r="O150" i="3"/>
  <c r="N150" i="3"/>
  <c r="L150" i="3"/>
  <c r="K150" i="3"/>
  <c r="J150" i="3"/>
  <c r="I150" i="3"/>
  <c r="G150" i="3"/>
  <c r="F150" i="3"/>
  <c r="AF149" i="3"/>
  <c r="AE149" i="3"/>
  <c r="AD149" i="3"/>
  <c r="AC149" i="3"/>
  <c r="AA149" i="3"/>
  <c r="Z149" i="3"/>
  <c r="Y149" i="3"/>
  <c r="X149" i="3"/>
  <c r="V149" i="3"/>
  <c r="U149" i="3"/>
  <c r="T149" i="3"/>
  <c r="S149" i="3"/>
  <c r="Q149" i="3"/>
  <c r="P149" i="3"/>
  <c r="O149" i="3"/>
  <c r="N149" i="3"/>
  <c r="L149" i="3"/>
  <c r="K149" i="3"/>
  <c r="J149" i="3"/>
  <c r="I149" i="3"/>
  <c r="G149" i="3"/>
  <c r="F149" i="3"/>
  <c r="AH149" i="3" s="1"/>
  <c r="AF148" i="3"/>
  <c r="AE148" i="3"/>
  <c r="AD148" i="3"/>
  <c r="AC148" i="3"/>
  <c r="AA148" i="3"/>
  <c r="Z148" i="3"/>
  <c r="Y148" i="3"/>
  <c r="X148" i="3"/>
  <c r="V148" i="3"/>
  <c r="U148" i="3"/>
  <c r="T148" i="3"/>
  <c r="S148" i="3"/>
  <c r="Q148" i="3"/>
  <c r="P148" i="3"/>
  <c r="O148" i="3"/>
  <c r="N148" i="3"/>
  <c r="L148" i="3"/>
  <c r="K148" i="3"/>
  <c r="J148" i="3"/>
  <c r="I148" i="3"/>
  <c r="G148" i="3"/>
  <c r="F148" i="3"/>
  <c r="AF147" i="3"/>
  <c r="AE147" i="3"/>
  <c r="AD147" i="3"/>
  <c r="AC147" i="3"/>
  <c r="AA147" i="3"/>
  <c r="Z147" i="3"/>
  <c r="Y147" i="3"/>
  <c r="X147" i="3"/>
  <c r="V147" i="3"/>
  <c r="U147" i="3"/>
  <c r="T147" i="3"/>
  <c r="S147" i="3"/>
  <c r="Q147" i="3"/>
  <c r="P147" i="3"/>
  <c r="O147" i="3"/>
  <c r="N147" i="3"/>
  <c r="L147" i="3"/>
  <c r="K147" i="3"/>
  <c r="J147" i="3"/>
  <c r="I147" i="3"/>
  <c r="G147" i="3"/>
  <c r="F147" i="3"/>
  <c r="AF146" i="3"/>
  <c r="AE146" i="3"/>
  <c r="AD146" i="3"/>
  <c r="AC146" i="3"/>
  <c r="AA146" i="3"/>
  <c r="Z146" i="3"/>
  <c r="Y146" i="3"/>
  <c r="X146" i="3"/>
  <c r="V146" i="3"/>
  <c r="U146" i="3"/>
  <c r="T146" i="3"/>
  <c r="S146" i="3"/>
  <c r="Q146" i="3"/>
  <c r="P146" i="3"/>
  <c r="O146" i="3"/>
  <c r="N146" i="3"/>
  <c r="L146" i="3"/>
  <c r="K146" i="3"/>
  <c r="J146" i="3"/>
  <c r="I146" i="3"/>
  <c r="G146" i="3"/>
  <c r="F146" i="3"/>
  <c r="AF145" i="3"/>
  <c r="AE145" i="3"/>
  <c r="AD145" i="3"/>
  <c r="AC145" i="3"/>
  <c r="AA145" i="3"/>
  <c r="Z145" i="3"/>
  <c r="Y145" i="3"/>
  <c r="X145" i="3"/>
  <c r="V145" i="3"/>
  <c r="U145" i="3"/>
  <c r="T145" i="3"/>
  <c r="S145" i="3"/>
  <c r="Q145" i="3"/>
  <c r="P145" i="3"/>
  <c r="O145" i="3"/>
  <c r="N145" i="3"/>
  <c r="L145" i="3"/>
  <c r="K145" i="3"/>
  <c r="J145" i="3"/>
  <c r="I145" i="3"/>
  <c r="G145" i="3"/>
  <c r="F145" i="3"/>
  <c r="AH145" i="3" s="1"/>
  <c r="AF144" i="3"/>
  <c r="AE144" i="3"/>
  <c r="AD144" i="3"/>
  <c r="AC144" i="3"/>
  <c r="AA144" i="3"/>
  <c r="Z144" i="3"/>
  <c r="Y144" i="3"/>
  <c r="X144" i="3"/>
  <c r="V144" i="3"/>
  <c r="U144" i="3"/>
  <c r="T144" i="3"/>
  <c r="S144" i="3"/>
  <c r="Q144" i="3"/>
  <c r="P144" i="3"/>
  <c r="O144" i="3"/>
  <c r="N144" i="3"/>
  <c r="L144" i="3"/>
  <c r="K144" i="3"/>
  <c r="J144" i="3"/>
  <c r="I144" i="3"/>
  <c r="G144" i="3"/>
  <c r="F144" i="3"/>
  <c r="AF143" i="3"/>
  <c r="AE143" i="3"/>
  <c r="AD143" i="3"/>
  <c r="AC143" i="3"/>
  <c r="AA143" i="3"/>
  <c r="Z143" i="3"/>
  <c r="Y143" i="3"/>
  <c r="X143" i="3"/>
  <c r="V143" i="3"/>
  <c r="U143" i="3"/>
  <c r="T143" i="3"/>
  <c r="S143" i="3"/>
  <c r="Q143" i="3"/>
  <c r="P143" i="3"/>
  <c r="O143" i="3"/>
  <c r="N143" i="3"/>
  <c r="L143" i="3"/>
  <c r="K143" i="3"/>
  <c r="J143" i="3"/>
  <c r="I143" i="3"/>
  <c r="G143" i="3"/>
  <c r="F143" i="3"/>
  <c r="AF142" i="3"/>
  <c r="AE142" i="3"/>
  <c r="AD142" i="3"/>
  <c r="AC142" i="3"/>
  <c r="AA142" i="3"/>
  <c r="Z142" i="3"/>
  <c r="Y142" i="3"/>
  <c r="X142" i="3"/>
  <c r="V142" i="3"/>
  <c r="U142" i="3"/>
  <c r="T142" i="3"/>
  <c r="S142" i="3"/>
  <c r="Q142" i="3"/>
  <c r="P142" i="3"/>
  <c r="O142" i="3"/>
  <c r="N142" i="3"/>
  <c r="L142" i="3"/>
  <c r="K142" i="3"/>
  <c r="J142" i="3"/>
  <c r="I142" i="3"/>
  <c r="G142" i="3"/>
  <c r="F142" i="3"/>
  <c r="AF141" i="3"/>
  <c r="AE141" i="3"/>
  <c r="AD141" i="3"/>
  <c r="AC141" i="3"/>
  <c r="AA141" i="3"/>
  <c r="Z141" i="3"/>
  <c r="Y141" i="3"/>
  <c r="X141" i="3"/>
  <c r="V141" i="3"/>
  <c r="U141" i="3"/>
  <c r="T141" i="3"/>
  <c r="S141" i="3"/>
  <c r="Q141" i="3"/>
  <c r="P141" i="3"/>
  <c r="O141" i="3"/>
  <c r="N141" i="3"/>
  <c r="L141" i="3"/>
  <c r="K141" i="3"/>
  <c r="J141" i="3"/>
  <c r="I141" i="3"/>
  <c r="G141" i="3"/>
  <c r="F141" i="3"/>
  <c r="AH141" i="3" s="1"/>
  <c r="AF140" i="3"/>
  <c r="AE140" i="3"/>
  <c r="AD140" i="3"/>
  <c r="AC140" i="3"/>
  <c r="AA140" i="3"/>
  <c r="Z140" i="3"/>
  <c r="Y140" i="3"/>
  <c r="X140" i="3"/>
  <c r="V140" i="3"/>
  <c r="U140" i="3"/>
  <c r="T140" i="3"/>
  <c r="S140" i="3"/>
  <c r="Q140" i="3"/>
  <c r="P140" i="3"/>
  <c r="O140" i="3"/>
  <c r="N140" i="3"/>
  <c r="L140" i="3"/>
  <c r="K140" i="3"/>
  <c r="J140" i="3"/>
  <c r="I140" i="3"/>
  <c r="G140" i="3"/>
  <c r="F140" i="3"/>
  <c r="AF139" i="3"/>
  <c r="AE139" i="3"/>
  <c r="AD139" i="3"/>
  <c r="AC139" i="3"/>
  <c r="AA139" i="3"/>
  <c r="Z139" i="3"/>
  <c r="Y139" i="3"/>
  <c r="X139" i="3"/>
  <c r="V139" i="3"/>
  <c r="U139" i="3"/>
  <c r="T139" i="3"/>
  <c r="S139" i="3"/>
  <c r="Q139" i="3"/>
  <c r="P139" i="3"/>
  <c r="O139" i="3"/>
  <c r="N139" i="3"/>
  <c r="L139" i="3"/>
  <c r="K139" i="3"/>
  <c r="J139" i="3"/>
  <c r="I139" i="3"/>
  <c r="G139" i="3"/>
  <c r="F139" i="3"/>
  <c r="AF138" i="3"/>
  <c r="AE138" i="3"/>
  <c r="AD138" i="3"/>
  <c r="AC138" i="3"/>
  <c r="AA138" i="3"/>
  <c r="Z138" i="3"/>
  <c r="Y138" i="3"/>
  <c r="X138" i="3"/>
  <c r="V138" i="3"/>
  <c r="U138" i="3"/>
  <c r="T138" i="3"/>
  <c r="S138" i="3"/>
  <c r="Q138" i="3"/>
  <c r="P138" i="3"/>
  <c r="O138" i="3"/>
  <c r="N138" i="3"/>
  <c r="L138" i="3"/>
  <c r="K138" i="3"/>
  <c r="J138" i="3"/>
  <c r="I138" i="3"/>
  <c r="G138" i="3"/>
  <c r="F138" i="3"/>
  <c r="AF137" i="3"/>
  <c r="AE137" i="3"/>
  <c r="AD137" i="3"/>
  <c r="AC137" i="3"/>
  <c r="AA137" i="3"/>
  <c r="Z137" i="3"/>
  <c r="Y137" i="3"/>
  <c r="X137" i="3"/>
  <c r="V137" i="3"/>
  <c r="U137" i="3"/>
  <c r="T137" i="3"/>
  <c r="S137" i="3"/>
  <c r="Q137" i="3"/>
  <c r="P137" i="3"/>
  <c r="O137" i="3"/>
  <c r="N137" i="3"/>
  <c r="L137" i="3"/>
  <c r="K137" i="3"/>
  <c r="J137" i="3"/>
  <c r="I137" i="3"/>
  <c r="G137" i="3"/>
  <c r="F137" i="3"/>
  <c r="AH137" i="3" s="1"/>
  <c r="AF136" i="3"/>
  <c r="AE136" i="3"/>
  <c r="AD136" i="3"/>
  <c r="AC136" i="3"/>
  <c r="AA136" i="3"/>
  <c r="Z136" i="3"/>
  <c r="Y136" i="3"/>
  <c r="X136" i="3"/>
  <c r="V136" i="3"/>
  <c r="U136" i="3"/>
  <c r="T136" i="3"/>
  <c r="S136" i="3"/>
  <c r="Q136" i="3"/>
  <c r="P136" i="3"/>
  <c r="O136" i="3"/>
  <c r="N136" i="3"/>
  <c r="L136" i="3"/>
  <c r="K136" i="3"/>
  <c r="J136" i="3"/>
  <c r="I136" i="3"/>
  <c r="G136" i="3"/>
  <c r="F136" i="3"/>
  <c r="AF135" i="3"/>
  <c r="AE135" i="3"/>
  <c r="AD135" i="3"/>
  <c r="AC135" i="3"/>
  <c r="AA135" i="3"/>
  <c r="Z135" i="3"/>
  <c r="Y135" i="3"/>
  <c r="X135" i="3"/>
  <c r="V135" i="3"/>
  <c r="U135" i="3"/>
  <c r="T135" i="3"/>
  <c r="S135" i="3"/>
  <c r="Q135" i="3"/>
  <c r="P135" i="3"/>
  <c r="O135" i="3"/>
  <c r="N135" i="3"/>
  <c r="L135" i="3"/>
  <c r="K135" i="3"/>
  <c r="J135" i="3"/>
  <c r="I135" i="3"/>
  <c r="G135" i="3"/>
  <c r="F135" i="3"/>
  <c r="AF134" i="3"/>
  <c r="AE134" i="3"/>
  <c r="AD134" i="3"/>
  <c r="AC134" i="3"/>
  <c r="AA134" i="3"/>
  <c r="Z134" i="3"/>
  <c r="Y134" i="3"/>
  <c r="X134" i="3"/>
  <c r="V134" i="3"/>
  <c r="U134" i="3"/>
  <c r="T134" i="3"/>
  <c r="S134" i="3"/>
  <c r="Q134" i="3"/>
  <c r="P134" i="3"/>
  <c r="O134" i="3"/>
  <c r="N134" i="3"/>
  <c r="L134" i="3"/>
  <c r="K134" i="3"/>
  <c r="J134" i="3"/>
  <c r="I134" i="3"/>
  <c r="G134" i="3"/>
  <c r="F134" i="3"/>
  <c r="AF133" i="3"/>
  <c r="AE133" i="3"/>
  <c r="AD133" i="3"/>
  <c r="AC133" i="3"/>
  <c r="AA133" i="3"/>
  <c r="Z133" i="3"/>
  <c r="Y133" i="3"/>
  <c r="X133" i="3"/>
  <c r="V133" i="3"/>
  <c r="U133" i="3"/>
  <c r="T133" i="3"/>
  <c r="S133" i="3"/>
  <c r="Q133" i="3"/>
  <c r="P133" i="3"/>
  <c r="O133" i="3"/>
  <c r="N133" i="3"/>
  <c r="L133" i="3"/>
  <c r="K133" i="3"/>
  <c r="J133" i="3"/>
  <c r="I133" i="3"/>
  <c r="G133" i="3"/>
  <c r="F133" i="3"/>
  <c r="AH133" i="3" s="1"/>
  <c r="AF132" i="3"/>
  <c r="AE132" i="3"/>
  <c r="AD132" i="3"/>
  <c r="AC132" i="3"/>
  <c r="AA132" i="3"/>
  <c r="Z132" i="3"/>
  <c r="Y132" i="3"/>
  <c r="X132" i="3"/>
  <c r="V132" i="3"/>
  <c r="U132" i="3"/>
  <c r="T132" i="3"/>
  <c r="S132" i="3"/>
  <c r="Q132" i="3"/>
  <c r="P132" i="3"/>
  <c r="O132" i="3"/>
  <c r="N132" i="3"/>
  <c r="L132" i="3"/>
  <c r="K132" i="3"/>
  <c r="J132" i="3"/>
  <c r="I132" i="3"/>
  <c r="G132" i="3"/>
  <c r="F132" i="3"/>
  <c r="AF131" i="3"/>
  <c r="AE131" i="3"/>
  <c r="AD131" i="3"/>
  <c r="AC131" i="3"/>
  <c r="AA131" i="3"/>
  <c r="Z131" i="3"/>
  <c r="Y131" i="3"/>
  <c r="X131" i="3"/>
  <c r="V131" i="3"/>
  <c r="U131" i="3"/>
  <c r="T131" i="3"/>
  <c r="S131" i="3"/>
  <c r="Q131" i="3"/>
  <c r="P131" i="3"/>
  <c r="O131" i="3"/>
  <c r="N131" i="3"/>
  <c r="L131" i="3"/>
  <c r="K131" i="3"/>
  <c r="J131" i="3"/>
  <c r="I131" i="3"/>
  <c r="G131" i="3"/>
  <c r="F131" i="3"/>
  <c r="AF130" i="3"/>
  <c r="AE130" i="3"/>
  <c r="AD130" i="3"/>
  <c r="AC130" i="3"/>
  <c r="AA130" i="3"/>
  <c r="Z130" i="3"/>
  <c r="Y130" i="3"/>
  <c r="X130" i="3"/>
  <c r="V130" i="3"/>
  <c r="U130" i="3"/>
  <c r="T130" i="3"/>
  <c r="S130" i="3"/>
  <c r="Q130" i="3"/>
  <c r="P130" i="3"/>
  <c r="O130" i="3"/>
  <c r="N130" i="3"/>
  <c r="L130" i="3"/>
  <c r="K130" i="3"/>
  <c r="J130" i="3"/>
  <c r="I130" i="3"/>
  <c r="G130" i="3"/>
  <c r="F130" i="3"/>
  <c r="AF129" i="3"/>
  <c r="AE129" i="3"/>
  <c r="AD129" i="3"/>
  <c r="AC129" i="3"/>
  <c r="AA129" i="3"/>
  <c r="Z129" i="3"/>
  <c r="Y129" i="3"/>
  <c r="X129" i="3"/>
  <c r="V129" i="3"/>
  <c r="U129" i="3"/>
  <c r="T129" i="3"/>
  <c r="S129" i="3"/>
  <c r="Q129" i="3"/>
  <c r="P129" i="3"/>
  <c r="O129" i="3"/>
  <c r="N129" i="3"/>
  <c r="L129" i="3"/>
  <c r="K129" i="3"/>
  <c r="J129" i="3"/>
  <c r="I129" i="3"/>
  <c r="G129" i="3"/>
  <c r="F129" i="3"/>
  <c r="AH129" i="3" s="1"/>
  <c r="AF128" i="3"/>
  <c r="AE128" i="3"/>
  <c r="AD128" i="3"/>
  <c r="AC128" i="3"/>
  <c r="AA128" i="3"/>
  <c r="Z128" i="3"/>
  <c r="Y128" i="3"/>
  <c r="X128" i="3"/>
  <c r="V128" i="3"/>
  <c r="U128" i="3"/>
  <c r="T128" i="3"/>
  <c r="S128" i="3"/>
  <c r="Q128" i="3"/>
  <c r="P128" i="3"/>
  <c r="O128" i="3"/>
  <c r="N128" i="3"/>
  <c r="L128" i="3"/>
  <c r="K128" i="3"/>
  <c r="J128" i="3"/>
  <c r="I128" i="3"/>
  <c r="G128" i="3"/>
  <c r="F128" i="3"/>
  <c r="AF127" i="3"/>
  <c r="AE127" i="3"/>
  <c r="AD127" i="3"/>
  <c r="AC127" i="3"/>
  <c r="AA127" i="3"/>
  <c r="Z127" i="3"/>
  <c r="Y127" i="3"/>
  <c r="X127" i="3"/>
  <c r="V127" i="3"/>
  <c r="U127" i="3"/>
  <c r="T127" i="3"/>
  <c r="S127" i="3"/>
  <c r="Q127" i="3"/>
  <c r="P127" i="3"/>
  <c r="O127" i="3"/>
  <c r="N127" i="3"/>
  <c r="L127" i="3"/>
  <c r="K127" i="3"/>
  <c r="J127" i="3"/>
  <c r="I127" i="3"/>
  <c r="G127" i="3"/>
  <c r="F127" i="3"/>
  <c r="AF126" i="3"/>
  <c r="AE126" i="3"/>
  <c r="AD126" i="3"/>
  <c r="AC126" i="3"/>
  <c r="AA126" i="3"/>
  <c r="Z126" i="3"/>
  <c r="Y126" i="3"/>
  <c r="X126" i="3"/>
  <c r="V126" i="3"/>
  <c r="U126" i="3"/>
  <c r="T126" i="3"/>
  <c r="S126" i="3"/>
  <c r="Q126" i="3"/>
  <c r="P126" i="3"/>
  <c r="O126" i="3"/>
  <c r="N126" i="3"/>
  <c r="L126" i="3"/>
  <c r="K126" i="3"/>
  <c r="J126" i="3"/>
  <c r="I126" i="3"/>
  <c r="G126" i="3"/>
  <c r="F126" i="3"/>
  <c r="AF125" i="3"/>
  <c r="AE125" i="3"/>
  <c r="AD125" i="3"/>
  <c r="AC125" i="3"/>
  <c r="AA125" i="3"/>
  <c r="Z125" i="3"/>
  <c r="Y125" i="3"/>
  <c r="X125" i="3"/>
  <c r="V125" i="3"/>
  <c r="U125" i="3"/>
  <c r="T125" i="3"/>
  <c r="S125" i="3"/>
  <c r="Q125" i="3"/>
  <c r="P125" i="3"/>
  <c r="O125" i="3"/>
  <c r="N125" i="3"/>
  <c r="L125" i="3"/>
  <c r="K125" i="3"/>
  <c r="J125" i="3"/>
  <c r="I125" i="3"/>
  <c r="G125" i="3"/>
  <c r="F125" i="3"/>
  <c r="AH125" i="3" s="1"/>
  <c r="AF124" i="3"/>
  <c r="AE124" i="3"/>
  <c r="AD124" i="3"/>
  <c r="AC124" i="3"/>
  <c r="AA124" i="3"/>
  <c r="Z124" i="3"/>
  <c r="Y124" i="3"/>
  <c r="X124" i="3"/>
  <c r="V124" i="3"/>
  <c r="U124" i="3"/>
  <c r="T124" i="3"/>
  <c r="S124" i="3"/>
  <c r="Q124" i="3"/>
  <c r="P124" i="3"/>
  <c r="O124" i="3"/>
  <c r="N124" i="3"/>
  <c r="L124" i="3"/>
  <c r="K124" i="3"/>
  <c r="J124" i="3"/>
  <c r="I124" i="3"/>
  <c r="G124" i="3"/>
  <c r="F124" i="3"/>
  <c r="AF123" i="3"/>
  <c r="AE123" i="3"/>
  <c r="AD123" i="3"/>
  <c r="AC123" i="3"/>
  <c r="AA123" i="3"/>
  <c r="Z123" i="3"/>
  <c r="Y123" i="3"/>
  <c r="X123" i="3"/>
  <c r="V123" i="3"/>
  <c r="U123" i="3"/>
  <c r="T123" i="3"/>
  <c r="S123" i="3"/>
  <c r="Q123" i="3"/>
  <c r="P123" i="3"/>
  <c r="O123" i="3"/>
  <c r="N123" i="3"/>
  <c r="L123" i="3"/>
  <c r="K123" i="3"/>
  <c r="J123" i="3"/>
  <c r="I123" i="3"/>
  <c r="G123" i="3"/>
  <c r="F123" i="3"/>
  <c r="AF122" i="3"/>
  <c r="AE122" i="3"/>
  <c r="AD122" i="3"/>
  <c r="AC122" i="3"/>
  <c r="AA122" i="3"/>
  <c r="Z122" i="3"/>
  <c r="Y122" i="3"/>
  <c r="X122" i="3"/>
  <c r="V122" i="3"/>
  <c r="U122" i="3"/>
  <c r="T122" i="3"/>
  <c r="S122" i="3"/>
  <c r="Q122" i="3"/>
  <c r="P122" i="3"/>
  <c r="O122" i="3"/>
  <c r="N122" i="3"/>
  <c r="L122" i="3"/>
  <c r="K122" i="3"/>
  <c r="J122" i="3"/>
  <c r="I122" i="3"/>
  <c r="G122" i="3"/>
  <c r="F122" i="3"/>
  <c r="AF121" i="3"/>
  <c r="AE121" i="3"/>
  <c r="AD121" i="3"/>
  <c r="AC121" i="3"/>
  <c r="AA121" i="3"/>
  <c r="Z121" i="3"/>
  <c r="Y121" i="3"/>
  <c r="X121" i="3"/>
  <c r="V121" i="3"/>
  <c r="U121" i="3"/>
  <c r="T121" i="3"/>
  <c r="S121" i="3"/>
  <c r="Q121" i="3"/>
  <c r="P121" i="3"/>
  <c r="O121" i="3"/>
  <c r="N121" i="3"/>
  <c r="L121" i="3"/>
  <c r="K121" i="3"/>
  <c r="J121" i="3"/>
  <c r="I121" i="3"/>
  <c r="G121" i="3"/>
  <c r="F121" i="3"/>
  <c r="AF120" i="3"/>
  <c r="AE120" i="3"/>
  <c r="AD120" i="3"/>
  <c r="AC120" i="3"/>
  <c r="AA120" i="3"/>
  <c r="Z120" i="3"/>
  <c r="Y120" i="3"/>
  <c r="X120" i="3"/>
  <c r="V120" i="3"/>
  <c r="U120" i="3"/>
  <c r="T120" i="3"/>
  <c r="S120" i="3"/>
  <c r="Q120" i="3"/>
  <c r="P120" i="3"/>
  <c r="O120" i="3"/>
  <c r="N120" i="3"/>
  <c r="L120" i="3"/>
  <c r="K120" i="3"/>
  <c r="J120" i="3"/>
  <c r="I120" i="3"/>
  <c r="G120" i="3"/>
  <c r="F120" i="3"/>
  <c r="AF119" i="3"/>
  <c r="AE119" i="3"/>
  <c r="AD119" i="3"/>
  <c r="AC119" i="3"/>
  <c r="AA119" i="3"/>
  <c r="Z119" i="3"/>
  <c r="Y119" i="3"/>
  <c r="X119" i="3"/>
  <c r="V119" i="3"/>
  <c r="U119" i="3"/>
  <c r="T119" i="3"/>
  <c r="S119" i="3"/>
  <c r="Q119" i="3"/>
  <c r="P119" i="3"/>
  <c r="O119" i="3"/>
  <c r="N119" i="3"/>
  <c r="L119" i="3"/>
  <c r="K119" i="3"/>
  <c r="J119" i="3"/>
  <c r="I119" i="3"/>
  <c r="G119" i="3"/>
  <c r="F119" i="3"/>
  <c r="AF118" i="3"/>
  <c r="AE118" i="3"/>
  <c r="AD118" i="3"/>
  <c r="AC118" i="3"/>
  <c r="AA118" i="3"/>
  <c r="Z118" i="3"/>
  <c r="Y118" i="3"/>
  <c r="X118" i="3"/>
  <c r="V118" i="3"/>
  <c r="U118" i="3"/>
  <c r="T118" i="3"/>
  <c r="S118" i="3"/>
  <c r="Q118" i="3"/>
  <c r="P118" i="3"/>
  <c r="O118" i="3"/>
  <c r="N118" i="3"/>
  <c r="L118" i="3"/>
  <c r="K118" i="3"/>
  <c r="J118" i="3"/>
  <c r="I118" i="3"/>
  <c r="G118" i="3"/>
  <c r="F118" i="3"/>
  <c r="AF117" i="3"/>
  <c r="AE117" i="3"/>
  <c r="AD117" i="3"/>
  <c r="AC117" i="3"/>
  <c r="AA117" i="3"/>
  <c r="Z117" i="3"/>
  <c r="Y117" i="3"/>
  <c r="X117" i="3"/>
  <c r="V117" i="3"/>
  <c r="U117" i="3"/>
  <c r="T117" i="3"/>
  <c r="S117" i="3"/>
  <c r="Q117" i="3"/>
  <c r="P117" i="3"/>
  <c r="O117" i="3"/>
  <c r="N117" i="3"/>
  <c r="L117" i="3"/>
  <c r="K117" i="3"/>
  <c r="J117" i="3"/>
  <c r="I117" i="3"/>
  <c r="G117" i="3"/>
  <c r="F117" i="3"/>
  <c r="AH117" i="3" s="1"/>
  <c r="AF116" i="3"/>
  <c r="AE116" i="3"/>
  <c r="AD116" i="3"/>
  <c r="AC116" i="3"/>
  <c r="AA116" i="3"/>
  <c r="Z116" i="3"/>
  <c r="Y116" i="3"/>
  <c r="X116" i="3"/>
  <c r="V116" i="3"/>
  <c r="U116" i="3"/>
  <c r="T116" i="3"/>
  <c r="S116" i="3"/>
  <c r="Q116" i="3"/>
  <c r="P116" i="3"/>
  <c r="O116" i="3"/>
  <c r="N116" i="3"/>
  <c r="L116" i="3"/>
  <c r="K116" i="3"/>
  <c r="J116" i="3"/>
  <c r="I116" i="3"/>
  <c r="G116" i="3"/>
  <c r="F116" i="3"/>
  <c r="AF115" i="3"/>
  <c r="AE115" i="3"/>
  <c r="AD115" i="3"/>
  <c r="AC115" i="3"/>
  <c r="AA115" i="3"/>
  <c r="Z115" i="3"/>
  <c r="Y115" i="3"/>
  <c r="X115" i="3"/>
  <c r="V115" i="3"/>
  <c r="U115" i="3"/>
  <c r="T115" i="3"/>
  <c r="S115" i="3"/>
  <c r="Q115" i="3"/>
  <c r="P115" i="3"/>
  <c r="O115" i="3"/>
  <c r="N115" i="3"/>
  <c r="L115" i="3"/>
  <c r="K115" i="3"/>
  <c r="J115" i="3"/>
  <c r="I115" i="3"/>
  <c r="G115" i="3"/>
  <c r="F115" i="3"/>
  <c r="AF114" i="3"/>
  <c r="AE114" i="3"/>
  <c r="AD114" i="3"/>
  <c r="AC114" i="3"/>
  <c r="AA114" i="3"/>
  <c r="Z114" i="3"/>
  <c r="Y114" i="3"/>
  <c r="X114" i="3"/>
  <c r="V114" i="3"/>
  <c r="U114" i="3"/>
  <c r="T114" i="3"/>
  <c r="S114" i="3"/>
  <c r="Q114" i="3"/>
  <c r="P114" i="3"/>
  <c r="O114" i="3"/>
  <c r="N114" i="3"/>
  <c r="L114" i="3"/>
  <c r="K114" i="3"/>
  <c r="J114" i="3"/>
  <c r="I114" i="3"/>
  <c r="G114" i="3"/>
  <c r="F114" i="3"/>
  <c r="AF113" i="3"/>
  <c r="AE113" i="3"/>
  <c r="AD113" i="3"/>
  <c r="AC113" i="3"/>
  <c r="AA113" i="3"/>
  <c r="Z113" i="3"/>
  <c r="Y113" i="3"/>
  <c r="X113" i="3"/>
  <c r="V113" i="3"/>
  <c r="U113" i="3"/>
  <c r="T113" i="3"/>
  <c r="S113" i="3"/>
  <c r="Q113" i="3"/>
  <c r="P113" i="3"/>
  <c r="O113" i="3"/>
  <c r="N113" i="3"/>
  <c r="L113" i="3"/>
  <c r="K113" i="3"/>
  <c r="J113" i="3"/>
  <c r="I113" i="3"/>
  <c r="G113" i="3"/>
  <c r="F113" i="3"/>
  <c r="AF112" i="3"/>
  <c r="AE112" i="3"/>
  <c r="AD112" i="3"/>
  <c r="AC112" i="3"/>
  <c r="AA112" i="3"/>
  <c r="Z112" i="3"/>
  <c r="Y112" i="3"/>
  <c r="X112" i="3"/>
  <c r="V112" i="3"/>
  <c r="U112" i="3"/>
  <c r="T112" i="3"/>
  <c r="S112" i="3"/>
  <c r="Q112" i="3"/>
  <c r="P112" i="3"/>
  <c r="O112" i="3"/>
  <c r="N112" i="3"/>
  <c r="L112" i="3"/>
  <c r="K112" i="3"/>
  <c r="J112" i="3"/>
  <c r="I112" i="3"/>
  <c r="G112" i="3"/>
  <c r="F112" i="3"/>
  <c r="AF111" i="3"/>
  <c r="AE111" i="3"/>
  <c r="AD111" i="3"/>
  <c r="AC111" i="3"/>
  <c r="AA111" i="3"/>
  <c r="Z111" i="3"/>
  <c r="Y111" i="3"/>
  <c r="X111" i="3"/>
  <c r="V111" i="3"/>
  <c r="U111" i="3"/>
  <c r="T111" i="3"/>
  <c r="S111" i="3"/>
  <c r="Q111" i="3"/>
  <c r="P111" i="3"/>
  <c r="O111" i="3"/>
  <c r="N111" i="3"/>
  <c r="L111" i="3"/>
  <c r="K111" i="3"/>
  <c r="J111" i="3"/>
  <c r="I111" i="3"/>
  <c r="G111" i="3"/>
  <c r="F111" i="3"/>
  <c r="AF110" i="3"/>
  <c r="AE110" i="3"/>
  <c r="AD110" i="3"/>
  <c r="AC110" i="3"/>
  <c r="AA110" i="3"/>
  <c r="Z110" i="3"/>
  <c r="Y110" i="3"/>
  <c r="X110" i="3"/>
  <c r="V110" i="3"/>
  <c r="U110" i="3"/>
  <c r="T110" i="3"/>
  <c r="S110" i="3"/>
  <c r="Q110" i="3"/>
  <c r="P110" i="3"/>
  <c r="O110" i="3"/>
  <c r="N110" i="3"/>
  <c r="L110" i="3"/>
  <c r="K110" i="3"/>
  <c r="J110" i="3"/>
  <c r="I110" i="3"/>
  <c r="G110" i="3"/>
  <c r="F110" i="3"/>
  <c r="AF109" i="3"/>
  <c r="AE109" i="3"/>
  <c r="AD109" i="3"/>
  <c r="AC109" i="3"/>
  <c r="AA109" i="3"/>
  <c r="Z109" i="3"/>
  <c r="Y109" i="3"/>
  <c r="X109" i="3"/>
  <c r="V109" i="3"/>
  <c r="U109" i="3"/>
  <c r="T109" i="3"/>
  <c r="S109" i="3"/>
  <c r="Q109" i="3"/>
  <c r="P109" i="3"/>
  <c r="O109" i="3"/>
  <c r="N109" i="3"/>
  <c r="L109" i="3"/>
  <c r="K109" i="3"/>
  <c r="J109" i="3"/>
  <c r="I109" i="3"/>
  <c r="G109" i="3"/>
  <c r="F109" i="3"/>
  <c r="AF108" i="3"/>
  <c r="AE108" i="3"/>
  <c r="AD108" i="3"/>
  <c r="AC108" i="3"/>
  <c r="AA108" i="3"/>
  <c r="Z108" i="3"/>
  <c r="Y108" i="3"/>
  <c r="X108" i="3"/>
  <c r="V108" i="3"/>
  <c r="U108" i="3"/>
  <c r="T108" i="3"/>
  <c r="S108" i="3"/>
  <c r="Q108" i="3"/>
  <c r="P108" i="3"/>
  <c r="O108" i="3"/>
  <c r="N108" i="3"/>
  <c r="L108" i="3"/>
  <c r="K108" i="3"/>
  <c r="J108" i="3"/>
  <c r="I108" i="3"/>
  <c r="G108" i="3"/>
  <c r="F108" i="3"/>
  <c r="AF107" i="3"/>
  <c r="AE107" i="3"/>
  <c r="AD107" i="3"/>
  <c r="AC107" i="3"/>
  <c r="AA107" i="3"/>
  <c r="Z107" i="3"/>
  <c r="Y107" i="3"/>
  <c r="X107" i="3"/>
  <c r="V107" i="3"/>
  <c r="U107" i="3"/>
  <c r="T107" i="3"/>
  <c r="S107" i="3"/>
  <c r="Q107" i="3"/>
  <c r="P107" i="3"/>
  <c r="O107" i="3"/>
  <c r="N107" i="3"/>
  <c r="L107" i="3"/>
  <c r="K107" i="3"/>
  <c r="J107" i="3"/>
  <c r="I107" i="3"/>
  <c r="G107" i="3"/>
  <c r="F107" i="3"/>
  <c r="AF106" i="3"/>
  <c r="AE106" i="3"/>
  <c r="AD106" i="3"/>
  <c r="AC106" i="3"/>
  <c r="AA106" i="3"/>
  <c r="Z106" i="3"/>
  <c r="Y106" i="3"/>
  <c r="X106" i="3"/>
  <c r="V106" i="3"/>
  <c r="U106" i="3"/>
  <c r="T106" i="3"/>
  <c r="S106" i="3"/>
  <c r="Q106" i="3"/>
  <c r="P106" i="3"/>
  <c r="O106" i="3"/>
  <c r="N106" i="3"/>
  <c r="L106" i="3"/>
  <c r="K106" i="3"/>
  <c r="J106" i="3"/>
  <c r="I106" i="3"/>
  <c r="G106" i="3"/>
  <c r="F106" i="3"/>
  <c r="AF105" i="3"/>
  <c r="AE105" i="3"/>
  <c r="AD105" i="3"/>
  <c r="AC105" i="3"/>
  <c r="AA105" i="3"/>
  <c r="Z105" i="3"/>
  <c r="Y105" i="3"/>
  <c r="X105" i="3"/>
  <c r="V105" i="3"/>
  <c r="U105" i="3"/>
  <c r="T105" i="3"/>
  <c r="S105" i="3"/>
  <c r="Q105" i="3"/>
  <c r="P105" i="3"/>
  <c r="O105" i="3"/>
  <c r="N105" i="3"/>
  <c r="L105" i="3"/>
  <c r="K105" i="3"/>
  <c r="J105" i="3"/>
  <c r="I105" i="3"/>
  <c r="G105" i="3"/>
  <c r="F105" i="3"/>
  <c r="AF104" i="3"/>
  <c r="AE104" i="3"/>
  <c r="AD104" i="3"/>
  <c r="AC104" i="3"/>
  <c r="AA104" i="3"/>
  <c r="Z104" i="3"/>
  <c r="Y104" i="3"/>
  <c r="X104" i="3"/>
  <c r="V104" i="3"/>
  <c r="U104" i="3"/>
  <c r="T104" i="3"/>
  <c r="S104" i="3"/>
  <c r="Q104" i="3"/>
  <c r="P104" i="3"/>
  <c r="O104" i="3"/>
  <c r="N104" i="3"/>
  <c r="L104" i="3"/>
  <c r="K104" i="3"/>
  <c r="J104" i="3"/>
  <c r="I104" i="3"/>
  <c r="G104" i="3"/>
  <c r="F104" i="3"/>
  <c r="AF103" i="3"/>
  <c r="AE103" i="3"/>
  <c r="AD103" i="3"/>
  <c r="AC103" i="3"/>
  <c r="AA103" i="3"/>
  <c r="Z103" i="3"/>
  <c r="Y103" i="3"/>
  <c r="X103" i="3"/>
  <c r="V103" i="3"/>
  <c r="U103" i="3"/>
  <c r="T103" i="3"/>
  <c r="S103" i="3"/>
  <c r="Q103" i="3"/>
  <c r="P103" i="3"/>
  <c r="O103" i="3"/>
  <c r="N103" i="3"/>
  <c r="L103" i="3"/>
  <c r="K103" i="3"/>
  <c r="J103" i="3"/>
  <c r="I103" i="3"/>
  <c r="G103" i="3"/>
  <c r="F103" i="3"/>
  <c r="AF102" i="3"/>
  <c r="AE102" i="3"/>
  <c r="AD102" i="3"/>
  <c r="AC102" i="3"/>
  <c r="AA102" i="3"/>
  <c r="Z102" i="3"/>
  <c r="Y102" i="3"/>
  <c r="X102" i="3"/>
  <c r="V102" i="3"/>
  <c r="U102" i="3"/>
  <c r="T102" i="3"/>
  <c r="S102" i="3"/>
  <c r="Q102" i="3"/>
  <c r="P102" i="3"/>
  <c r="O102" i="3"/>
  <c r="N102" i="3"/>
  <c r="L102" i="3"/>
  <c r="K102" i="3"/>
  <c r="J102" i="3"/>
  <c r="I102" i="3"/>
  <c r="G102" i="3"/>
  <c r="F102" i="3"/>
  <c r="AF101" i="3"/>
  <c r="AE101" i="3"/>
  <c r="AD101" i="3"/>
  <c r="AC101" i="3"/>
  <c r="AA101" i="3"/>
  <c r="Z101" i="3"/>
  <c r="Y101" i="3"/>
  <c r="X101" i="3"/>
  <c r="V101" i="3"/>
  <c r="U101" i="3"/>
  <c r="T101" i="3"/>
  <c r="S101" i="3"/>
  <c r="Q101" i="3"/>
  <c r="P101" i="3"/>
  <c r="O101" i="3"/>
  <c r="N101" i="3"/>
  <c r="L101" i="3"/>
  <c r="K101" i="3"/>
  <c r="J101" i="3"/>
  <c r="I101" i="3"/>
  <c r="G101" i="3"/>
  <c r="F101" i="3"/>
  <c r="AF100" i="3"/>
  <c r="AE100" i="3"/>
  <c r="AD100" i="3"/>
  <c r="AC100" i="3"/>
  <c r="AA100" i="3"/>
  <c r="Z100" i="3"/>
  <c r="Y100" i="3"/>
  <c r="X100" i="3"/>
  <c r="V100" i="3"/>
  <c r="U100" i="3"/>
  <c r="T100" i="3"/>
  <c r="S100" i="3"/>
  <c r="Q100" i="3"/>
  <c r="P100" i="3"/>
  <c r="O100" i="3"/>
  <c r="N100" i="3"/>
  <c r="L100" i="3"/>
  <c r="K100" i="3"/>
  <c r="J100" i="3"/>
  <c r="I100" i="3"/>
  <c r="G100" i="3"/>
  <c r="F100" i="3"/>
  <c r="AF99" i="3"/>
  <c r="AE99" i="3"/>
  <c r="AD99" i="3"/>
  <c r="AC99" i="3"/>
  <c r="AA99" i="3"/>
  <c r="Z99" i="3"/>
  <c r="Y99" i="3"/>
  <c r="X99" i="3"/>
  <c r="V99" i="3"/>
  <c r="U99" i="3"/>
  <c r="T99" i="3"/>
  <c r="S99" i="3"/>
  <c r="Q99" i="3"/>
  <c r="P99" i="3"/>
  <c r="O99" i="3"/>
  <c r="N99" i="3"/>
  <c r="L99" i="3"/>
  <c r="K99" i="3"/>
  <c r="J99" i="3"/>
  <c r="I99" i="3"/>
  <c r="G99" i="3"/>
  <c r="F99" i="3"/>
  <c r="AF98" i="3"/>
  <c r="AE98" i="3"/>
  <c r="AD98" i="3"/>
  <c r="AC98" i="3"/>
  <c r="AA98" i="3"/>
  <c r="Z98" i="3"/>
  <c r="Y98" i="3"/>
  <c r="X98" i="3"/>
  <c r="V98" i="3"/>
  <c r="U98" i="3"/>
  <c r="T98" i="3"/>
  <c r="S98" i="3"/>
  <c r="Q98" i="3"/>
  <c r="P98" i="3"/>
  <c r="O98" i="3"/>
  <c r="N98" i="3"/>
  <c r="L98" i="3"/>
  <c r="K98" i="3"/>
  <c r="J98" i="3"/>
  <c r="I98" i="3"/>
  <c r="G98" i="3"/>
  <c r="F98" i="3"/>
  <c r="AF97" i="3"/>
  <c r="AE97" i="3"/>
  <c r="AD97" i="3"/>
  <c r="AC97" i="3"/>
  <c r="AA97" i="3"/>
  <c r="Z97" i="3"/>
  <c r="Y97" i="3"/>
  <c r="X97" i="3"/>
  <c r="V97" i="3"/>
  <c r="U97" i="3"/>
  <c r="T97" i="3"/>
  <c r="S97" i="3"/>
  <c r="Q97" i="3"/>
  <c r="P97" i="3"/>
  <c r="O97" i="3"/>
  <c r="N97" i="3"/>
  <c r="L97" i="3"/>
  <c r="K97" i="3"/>
  <c r="J97" i="3"/>
  <c r="I97" i="3"/>
  <c r="G97" i="3"/>
  <c r="F97" i="3"/>
  <c r="AF96" i="3"/>
  <c r="AE96" i="3"/>
  <c r="AD96" i="3"/>
  <c r="AC96" i="3"/>
  <c r="AA96" i="3"/>
  <c r="Z96" i="3"/>
  <c r="Y96" i="3"/>
  <c r="X96" i="3"/>
  <c r="V96" i="3"/>
  <c r="U96" i="3"/>
  <c r="T96" i="3"/>
  <c r="S96" i="3"/>
  <c r="Q96" i="3"/>
  <c r="P96" i="3"/>
  <c r="O96" i="3"/>
  <c r="N96" i="3"/>
  <c r="L96" i="3"/>
  <c r="K96" i="3"/>
  <c r="J96" i="3"/>
  <c r="I96" i="3"/>
  <c r="G96" i="3"/>
  <c r="F96" i="3"/>
  <c r="AF95" i="3"/>
  <c r="AE95" i="3"/>
  <c r="AD95" i="3"/>
  <c r="AC95" i="3"/>
  <c r="AA95" i="3"/>
  <c r="Z95" i="3"/>
  <c r="Y95" i="3"/>
  <c r="X95" i="3"/>
  <c r="V95" i="3"/>
  <c r="U95" i="3"/>
  <c r="T95" i="3"/>
  <c r="S95" i="3"/>
  <c r="Q95" i="3"/>
  <c r="P95" i="3"/>
  <c r="O95" i="3"/>
  <c r="N95" i="3"/>
  <c r="L95" i="3"/>
  <c r="K95" i="3"/>
  <c r="J95" i="3"/>
  <c r="I95" i="3"/>
  <c r="G95" i="3"/>
  <c r="F95" i="3"/>
  <c r="AF94" i="3"/>
  <c r="AE94" i="3"/>
  <c r="AD94" i="3"/>
  <c r="AC94" i="3"/>
  <c r="AA94" i="3"/>
  <c r="Z94" i="3"/>
  <c r="Y94" i="3"/>
  <c r="X94" i="3"/>
  <c r="V94" i="3"/>
  <c r="U94" i="3"/>
  <c r="T94" i="3"/>
  <c r="S94" i="3"/>
  <c r="Q94" i="3"/>
  <c r="P94" i="3"/>
  <c r="O94" i="3"/>
  <c r="N94" i="3"/>
  <c r="L94" i="3"/>
  <c r="K94" i="3"/>
  <c r="J94" i="3"/>
  <c r="I94" i="3"/>
  <c r="G94" i="3"/>
  <c r="F94" i="3"/>
  <c r="AF93" i="3"/>
  <c r="AE93" i="3"/>
  <c r="AD93" i="3"/>
  <c r="AC93" i="3"/>
  <c r="AA93" i="3"/>
  <c r="Z93" i="3"/>
  <c r="Y93" i="3"/>
  <c r="X93" i="3"/>
  <c r="V93" i="3"/>
  <c r="U93" i="3"/>
  <c r="T93" i="3"/>
  <c r="S93" i="3"/>
  <c r="Q93" i="3"/>
  <c r="P93" i="3"/>
  <c r="O93" i="3"/>
  <c r="N93" i="3"/>
  <c r="L93" i="3"/>
  <c r="K93" i="3"/>
  <c r="J93" i="3"/>
  <c r="I93" i="3"/>
  <c r="G93" i="3"/>
  <c r="F93" i="3"/>
  <c r="AF92" i="3"/>
  <c r="AE92" i="3"/>
  <c r="AD92" i="3"/>
  <c r="AC92" i="3"/>
  <c r="AA92" i="3"/>
  <c r="Z92" i="3"/>
  <c r="Y92" i="3"/>
  <c r="X92" i="3"/>
  <c r="V92" i="3"/>
  <c r="U92" i="3"/>
  <c r="T92" i="3"/>
  <c r="S92" i="3"/>
  <c r="Q92" i="3"/>
  <c r="P92" i="3"/>
  <c r="O92" i="3"/>
  <c r="N92" i="3"/>
  <c r="L92" i="3"/>
  <c r="K92" i="3"/>
  <c r="J92" i="3"/>
  <c r="I92" i="3"/>
  <c r="G92" i="3"/>
  <c r="F92" i="3"/>
  <c r="AF91" i="3"/>
  <c r="AE91" i="3"/>
  <c r="AD91" i="3"/>
  <c r="AC91" i="3"/>
  <c r="AA91" i="3"/>
  <c r="Z91" i="3"/>
  <c r="Y91" i="3"/>
  <c r="X91" i="3"/>
  <c r="V91" i="3"/>
  <c r="U91" i="3"/>
  <c r="T91" i="3"/>
  <c r="S91" i="3"/>
  <c r="Q91" i="3"/>
  <c r="P91" i="3"/>
  <c r="O91" i="3"/>
  <c r="N91" i="3"/>
  <c r="L91" i="3"/>
  <c r="K91" i="3"/>
  <c r="J91" i="3"/>
  <c r="I91" i="3"/>
  <c r="G91" i="3"/>
  <c r="F91" i="3"/>
  <c r="AF90" i="3"/>
  <c r="AE90" i="3"/>
  <c r="AD90" i="3"/>
  <c r="AC90" i="3"/>
  <c r="AA90" i="3"/>
  <c r="Z90" i="3"/>
  <c r="Y90" i="3"/>
  <c r="X90" i="3"/>
  <c r="V90" i="3"/>
  <c r="U90" i="3"/>
  <c r="T90" i="3"/>
  <c r="S90" i="3"/>
  <c r="Q90" i="3"/>
  <c r="P90" i="3"/>
  <c r="O90" i="3"/>
  <c r="N90" i="3"/>
  <c r="L90" i="3"/>
  <c r="K90" i="3"/>
  <c r="J90" i="3"/>
  <c r="I90" i="3"/>
  <c r="G90" i="3"/>
  <c r="F90" i="3"/>
  <c r="AF89" i="3"/>
  <c r="AE89" i="3"/>
  <c r="AD89" i="3"/>
  <c r="AC89" i="3"/>
  <c r="AA89" i="3"/>
  <c r="Z89" i="3"/>
  <c r="Y89" i="3"/>
  <c r="X89" i="3"/>
  <c r="V89" i="3"/>
  <c r="U89" i="3"/>
  <c r="T89" i="3"/>
  <c r="S89" i="3"/>
  <c r="Q89" i="3"/>
  <c r="P89" i="3"/>
  <c r="O89" i="3"/>
  <c r="N89" i="3"/>
  <c r="L89" i="3"/>
  <c r="K89" i="3"/>
  <c r="J89" i="3"/>
  <c r="I89" i="3"/>
  <c r="G89" i="3"/>
  <c r="F89" i="3"/>
  <c r="AF88" i="3"/>
  <c r="AE88" i="3"/>
  <c r="AD88" i="3"/>
  <c r="AC88" i="3"/>
  <c r="AA88" i="3"/>
  <c r="Z88" i="3"/>
  <c r="Y88" i="3"/>
  <c r="X88" i="3"/>
  <c r="V88" i="3"/>
  <c r="U88" i="3"/>
  <c r="T88" i="3"/>
  <c r="S88" i="3"/>
  <c r="Q88" i="3"/>
  <c r="P88" i="3"/>
  <c r="O88" i="3"/>
  <c r="N88" i="3"/>
  <c r="L88" i="3"/>
  <c r="K88" i="3"/>
  <c r="J88" i="3"/>
  <c r="I88" i="3"/>
  <c r="G88" i="3"/>
  <c r="F88" i="3"/>
  <c r="AF87" i="3"/>
  <c r="AE87" i="3"/>
  <c r="AD87" i="3"/>
  <c r="AC87" i="3"/>
  <c r="AA87" i="3"/>
  <c r="Z87" i="3"/>
  <c r="Y87" i="3"/>
  <c r="X87" i="3"/>
  <c r="V87" i="3"/>
  <c r="U87" i="3"/>
  <c r="T87" i="3"/>
  <c r="S87" i="3"/>
  <c r="Q87" i="3"/>
  <c r="P87" i="3"/>
  <c r="O87" i="3"/>
  <c r="N87" i="3"/>
  <c r="L87" i="3"/>
  <c r="K87" i="3"/>
  <c r="J87" i="3"/>
  <c r="I87" i="3"/>
  <c r="G87" i="3"/>
  <c r="F87" i="3"/>
  <c r="AF86" i="3"/>
  <c r="AE86" i="3"/>
  <c r="AD86" i="3"/>
  <c r="AC86" i="3"/>
  <c r="AA86" i="3"/>
  <c r="Z86" i="3"/>
  <c r="Y86" i="3"/>
  <c r="X86" i="3"/>
  <c r="V86" i="3"/>
  <c r="U86" i="3"/>
  <c r="T86" i="3"/>
  <c r="S86" i="3"/>
  <c r="Q86" i="3"/>
  <c r="P86" i="3"/>
  <c r="O86" i="3"/>
  <c r="N86" i="3"/>
  <c r="L86" i="3"/>
  <c r="K86" i="3"/>
  <c r="J86" i="3"/>
  <c r="I86" i="3"/>
  <c r="G86" i="3"/>
  <c r="F86" i="3"/>
  <c r="AF85" i="3"/>
  <c r="AE85" i="3"/>
  <c r="AD85" i="3"/>
  <c r="AC85" i="3"/>
  <c r="AA85" i="3"/>
  <c r="Z85" i="3"/>
  <c r="Y85" i="3"/>
  <c r="X85" i="3"/>
  <c r="V85" i="3"/>
  <c r="U85" i="3"/>
  <c r="T85" i="3"/>
  <c r="S85" i="3"/>
  <c r="Q85" i="3"/>
  <c r="P85" i="3"/>
  <c r="O85" i="3"/>
  <c r="N85" i="3"/>
  <c r="L85" i="3"/>
  <c r="K85" i="3"/>
  <c r="J85" i="3"/>
  <c r="I85" i="3"/>
  <c r="G85" i="3"/>
  <c r="F85" i="3"/>
  <c r="AF84" i="3"/>
  <c r="AE84" i="3"/>
  <c r="AD84" i="3"/>
  <c r="AC84" i="3"/>
  <c r="AA84" i="3"/>
  <c r="Z84" i="3"/>
  <c r="Y84" i="3"/>
  <c r="X84" i="3"/>
  <c r="V84" i="3"/>
  <c r="U84" i="3"/>
  <c r="T84" i="3"/>
  <c r="S84" i="3"/>
  <c r="Q84" i="3"/>
  <c r="P84" i="3"/>
  <c r="O84" i="3"/>
  <c r="N84" i="3"/>
  <c r="L84" i="3"/>
  <c r="K84" i="3"/>
  <c r="J84" i="3"/>
  <c r="I84" i="3"/>
  <c r="G84" i="3"/>
  <c r="F84" i="3"/>
  <c r="AF83" i="3"/>
  <c r="AE83" i="3"/>
  <c r="AD83" i="3"/>
  <c r="AC83" i="3"/>
  <c r="AA83" i="3"/>
  <c r="Z83" i="3"/>
  <c r="Y83" i="3"/>
  <c r="X83" i="3"/>
  <c r="V83" i="3"/>
  <c r="U83" i="3"/>
  <c r="T83" i="3"/>
  <c r="S83" i="3"/>
  <c r="Q83" i="3"/>
  <c r="P83" i="3"/>
  <c r="O83" i="3"/>
  <c r="N83" i="3"/>
  <c r="L83" i="3"/>
  <c r="K83" i="3"/>
  <c r="J83" i="3"/>
  <c r="I83" i="3"/>
  <c r="G83" i="3"/>
  <c r="F83" i="3"/>
  <c r="AF82" i="3"/>
  <c r="AE82" i="3"/>
  <c r="AD82" i="3"/>
  <c r="AC82" i="3"/>
  <c r="AA82" i="3"/>
  <c r="Z82" i="3"/>
  <c r="Y82" i="3"/>
  <c r="X82" i="3"/>
  <c r="V82" i="3"/>
  <c r="U82" i="3"/>
  <c r="T82" i="3"/>
  <c r="S82" i="3"/>
  <c r="Q82" i="3"/>
  <c r="P82" i="3"/>
  <c r="O82" i="3"/>
  <c r="N82" i="3"/>
  <c r="L82" i="3"/>
  <c r="K82" i="3"/>
  <c r="J82" i="3"/>
  <c r="I82" i="3"/>
  <c r="G82" i="3"/>
  <c r="F82" i="3"/>
  <c r="AF81" i="3"/>
  <c r="AE81" i="3"/>
  <c r="AD81" i="3"/>
  <c r="AC81" i="3"/>
  <c r="AA81" i="3"/>
  <c r="Z81" i="3"/>
  <c r="Y81" i="3"/>
  <c r="X81" i="3"/>
  <c r="V81" i="3"/>
  <c r="U81" i="3"/>
  <c r="T81" i="3"/>
  <c r="S81" i="3"/>
  <c r="Q81" i="3"/>
  <c r="P81" i="3"/>
  <c r="O81" i="3"/>
  <c r="N81" i="3"/>
  <c r="L81" i="3"/>
  <c r="K81" i="3"/>
  <c r="J81" i="3"/>
  <c r="I81" i="3"/>
  <c r="G81" i="3"/>
  <c r="F81" i="3"/>
  <c r="AF80" i="3"/>
  <c r="AE80" i="3"/>
  <c r="AD80" i="3"/>
  <c r="AC80" i="3"/>
  <c r="AA80" i="3"/>
  <c r="Z80" i="3"/>
  <c r="Y80" i="3"/>
  <c r="X80" i="3"/>
  <c r="V80" i="3"/>
  <c r="U80" i="3"/>
  <c r="T80" i="3"/>
  <c r="S80" i="3"/>
  <c r="Q80" i="3"/>
  <c r="P80" i="3"/>
  <c r="O80" i="3"/>
  <c r="N80" i="3"/>
  <c r="L80" i="3"/>
  <c r="K80" i="3"/>
  <c r="J80" i="3"/>
  <c r="I80" i="3"/>
  <c r="G80" i="3"/>
  <c r="F80" i="3"/>
  <c r="AF79" i="3"/>
  <c r="AE79" i="3"/>
  <c r="AD79" i="3"/>
  <c r="AC79" i="3"/>
  <c r="AA79" i="3"/>
  <c r="Z79" i="3"/>
  <c r="Y79" i="3"/>
  <c r="X79" i="3"/>
  <c r="V79" i="3"/>
  <c r="U79" i="3"/>
  <c r="T79" i="3"/>
  <c r="S79" i="3"/>
  <c r="Q79" i="3"/>
  <c r="P79" i="3"/>
  <c r="O79" i="3"/>
  <c r="N79" i="3"/>
  <c r="L79" i="3"/>
  <c r="K79" i="3"/>
  <c r="J79" i="3"/>
  <c r="I79" i="3"/>
  <c r="G79" i="3"/>
  <c r="F79" i="3"/>
  <c r="AF78" i="3"/>
  <c r="AE78" i="3"/>
  <c r="AD78" i="3"/>
  <c r="AC78" i="3"/>
  <c r="AA78" i="3"/>
  <c r="Z78" i="3"/>
  <c r="Y78" i="3"/>
  <c r="X78" i="3"/>
  <c r="V78" i="3"/>
  <c r="U78" i="3"/>
  <c r="T78" i="3"/>
  <c r="S78" i="3"/>
  <c r="Q78" i="3"/>
  <c r="P78" i="3"/>
  <c r="O78" i="3"/>
  <c r="N78" i="3"/>
  <c r="L78" i="3"/>
  <c r="K78" i="3"/>
  <c r="J78" i="3"/>
  <c r="I78" i="3"/>
  <c r="G78" i="3"/>
  <c r="F78" i="3"/>
  <c r="AF77" i="3"/>
  <c r="AE77" i="3"/>
  <c r="AD77" i="3"/>
  <c r="AC77" i="3"/>
  <c r="AA77" i="3"/>
  <c r="Z77" i="3"/>
  <c r="Y77" i="3"/>
  <c r="X77" i="3"/>
  <c r="V77" i="3"/>
  <c r="U77" i="3"/>
  <c r="T77" i="3"/>
  <c r="S77" i="3"/>
  <c r="Q77" i="3"/>
  <c r="P77" i="3"/>
  <c r="O77" i="3"/>
  <c r="N77" i="3"/>
  <c r="L77" i="3"/>
  <c r="K77" i="3"/>
  <c r="J77" i="3"/>
  <c r="I77" i="3"/>
  <c r="G77" i="3"/>
  <c r="F77" i="3"/>
  <c r="AF76" i="3"/>
  <c r="AE76" i="3"/>
  <c r="AD76" i="3"/>
  <c r="AC76" i="3"/>
  <c r="AA76" i="3"/>
  <c r="Z76" i="3"/>
  <c r="Y76" i="3"/>
  <c r="X76" i="3"/>
  <c r="V76" i="3"/>
  <c r="U76" i="3"/>
  <c r="T76" i="3"/>
  <c r="S76" i="3"/>
  <c r="Q76" i="3"/>
  <c r="P76" i="3"/>
  <c r="O76" i="3"/>
  <c r="N76" i="3"/>
  <c r="L76" i="3"/>
  <c r="K76" i="3"/>
  <c r="J76" i="3"/>
  <c r="I76" i="3"/>
  <c r="G76" i="3"/>
  <c r="F76" i="3"/>
  <c r="AF75" i="3"/>
  <c r="AE75" i="3"/>
  <c r="AD75" i="3"/>
  <c r="AC75" i="3"/>
  <c r="AA75" i="3"/>
  <c r="Z75" i="3"/>
  <c r="Y75" i="3"/>
  <c r="X75" i="3"/>
  <c r="V75" i="3"/>
  <c r="U75" i="3"/>
  <c r="T75" i="3"/>
  <c r="S75" i="3"/>
  <c r="Q75" i="3"/>
  <c r="P75" i="3"/>
  <c r="O75" i="3"/>
  <c r="N75" i="3"/>
  <c r="L75" i="3"/>
  <c r="K75" i="3"/>
  <c r="J75" i="3"/>
  <c r="I75" i="3"/>
  <c r="G75" i="3"/>
  <c r="F75" i="3"/>
  <c r="AF74" i="3"/>
  <c r="AE74" i="3"/>
  <c r="AD74" i="3"/>
  <c r="AC74" i="3"/>
  <c r="AA74" i="3"/>
  <c r="Z74" i="3"/>
  <c r="Y74" i="3"/>
  <c r="X74" i="3"/>
  <c r="V74" i="3"/>
  <c r="U74" i="3"/>
  <c r="T74" i="3"/>
  <c r="S74" i="3"/>
  <c r="Q74" i="3"/>
  <c r="P74" i="3"/>
  <c r="O74" i="3"/>
  <c r="N74" i="3"/>
  <c r="L74" i="3"/>
  <c r="K74" i="3"/>
  <c r="J74" i="3"/>
  <c r="I74" i="3"/>
  <c r="G74" i="3"/>
  <c r="F74" i="3"/>
  <c r="AF73" i="3"/>
  <c r="AE73" i="3"/>
  <c r="AD73" i="3"/>
  <c r="AC73" i="3"/>
  <c r="AA73" i="3"/>
  <c r="Z73" i="3"/>
  <c r="Y73" i="3"/>
  <c r="X73" i="3"/>
  <c r="V73" i="3"/>
  <c r="U73" i="3"/>
  <c r="T73" i="3"/>
  <c r="S73" i="3"/>
  <c r="Q73" i="3"/>
  <c r="P73" i="3"/>
  <c r="O73" i="3"/>
  <c r="N73" i="3"/>
  <c r="L73" i="3"/>
  <c r="K73" i="3"/>
  <c r="J73" i="3"/>
  <c r="I73" i="3"/>
  <c r="G73" i="3"/>
  <c r="F73" i="3"/>
  <c r="AF72" i="3"/>
  <c r="AE72" i="3"/>
  <c r="AD72" i="3"/>
  <c r="AC72" i="3"/>
  <c r="AA72" i="3"/>
  <c r="Z72" i="3"/>
  <c r="Y72" i="3"/>
  <c r="X72" i="3"/>
  <c r="V72" i="3"/>
  <c r="U72" i="3"/>
  <c r="T72" i="3"/>
  <c r="S72" i="3"/>
  <c r="Q72" i="3"/>
  <c r="P72" i="3"/>
  <c r="O72" i="3"/>
  <c r="N72" i="3"/>
  <c r="L72" i="3"/>
  <c r="K72" i="3"/>
  <c r="J72" i="3"/>
  <c r="I72" i="3"/>
  <c r="G72" i="3"/>
  <c r="F72" i="3"/>
  <c r="AF71" i="3"/>
  <c r="AE71" i="3"/>
  <c r="AD71" i="3"/>
  <c r="AC71" i="3"/>
  <c r="AA71" i="3"/>
  <c r="Z71" i="3"/>
  <c r="Y71" i="3"/>
  <c r="X71" i="3"/>
  <c r="V71" i="3"/>
  <c r="U71" i="3"/>
  <c r="T71" i="3"/>
  <c r="S71" i="3"/>
  <c r="Q71" i="3"/>
  <c r="P71" i="3"/>
  <c r="O71" i="3"/>
  <c r="N71" i="3"/>
  <c r="L71" i="3"/>
  <c r="K71" i="3"/>
  <c r="J71" i="3"/>
  <c r="I71" i="3"/>
  <c r="G71" i="3"/>
  <c r="F71" i="3"/>
  <c r="AF70" i="3"/>
  <c r="AE70" i="3"/>
  <c r="AD70" i="3"/>
  <c r="AC70" i="3"/>
  <c r="AA70" i="3"/>
  <c r="Z70" i="3"/>
  <c r="Y70" i="3"/>
  <c r="X70" i="3"/>
  <c r="V70" i="3"/>
  <c r="U70" i="3"/>
  <c r="T70" i="3"/>
  <c r="S70" i="3"/>
  <c r="Q70" i="3"/>
  <c r="P70" i="3"/>
  <c r="O70" i="3"/>
  <c r="N70" i="3"/>
  <c r="L70" i="3"/>
  <c r="K70" i="3"/>
  <c r="J70" i="3"/>
  <c r="I70" i="3"/>
  <c r="G70" i="3"/>
  <c r="F70" i="3"/>
  <c r="AF69" i="3"/>
  <c r="AE69" i="3"/>
  <c r="AD69" i="3"/>
  <c r="AC69" i="3"/>
  <c r="AA69" i="3"/>
  <c r="Z69" i="3"/>
  <c r="Y69" i="3"/>
  <c r="X69" i="3"/>
  <c r="V69" i="3"/>
  <c r="U69" i="3"/>
  <c r="T69" i="3"/>
  <c r="S69" i="3"/>
  <c r="Q69" i="3"/>
  <c r="P69" i="3"/>
  <c r="O69" i="3"/>
  <c r="N69" i="3"/>
  <c r="L69" i="3"/>
  <c r="K69" i="3"/>
  <c r="J69" i="3"/>
  <c r="I69" i="3"/>
  <c r="G69" i="3"/>
  <c r="F69" i="3"/>
  <c r="AF68" i="3"/>
  <c r="AE68" i="3"/>
  <c r="AD68" i="3"/>
  <c r="AC68" i="3"/>
  <c r="AA68" i="3"/>
  <c r="Z68" i="3"/>
  <c r="Y68" i="3"/>
  <c r="X68" i="3"/>
  <c r="V68" i="3"/>
  <c r="U68" i="3"/>
  <c r="T68" i="3"/>
  <c r="S68" i="3"/>
  <c r="Q68" i="3"/>
  <c r="P68" i="3"/>
  <c r="O68" i="3"/>
  <c r="N68" i="3"/>
  <c r="L68" i="3"/>
  <c r="K68" i="3"/>
  <c r="J68" i="3"/>
  <c r="I68" i="3"/>
  <c r="G68" i="3"/>
  <c r="F68" i="3"/>
  <c r="AF67" i="3"/>
  <c r="AE67" i="3"/>
  <c r="AD67" i="3"/>
  <c r="AC67" i="3"/>
  <c r="AA67" i="3"/>
  <c r="Z67" i="3"/>
  <c r="Y67" i="3"/>
  <c r="X67" i="3"/>
  <c r="V67" i="3"/>
  <c r="U67" i="3"/>
  <c r="T67" i="3"/>
  <c r="S67" i="3"/>
  <c r="Q67" i="3"/>
  <c r="P67" i="3"/>
  <c r="O67" i="3"/>
  <c r="N67" i="3"/>
  <c r="L67" i="3"/>
  <c r="K67" i="3"/>
  <c r="J67" i="3"/>
  <c r="I67" i="3"/>
  <c r="G67" i="3"/>
  <c r="F67" i="3"/>
  <c r="AF66" i="3"/>
  <c r="AE66" i="3"/>
  <c r="AD66" i="3"/>
  <c r="AC66" i="3"/>
  <c r="AA66" i="3"/>
  <c r="Z66" i="3"/>
  <c r="Y66" i="3"/>
  <c r="X66" i="3"/>
  <c r="V66" i="3"/>
  <c r="U66" i="3"/>
  <c r="T66" i="3"/>
  <c r="S66" i="3"/>
  <c r="Q66" i="3"/>
  <c r="P66" i="3"/>
  <c r="O66" i="3"/>
  <c r="N66" i="3"/>
  <c r="L66" i="3"/>
  <c r="K66" i="3"/>
  <c r="J66" i="3"/>
  <c r="I66" i="3"/>
  <c r="G66" i="3"/>
  <c r="F66" i="3"/>
  <c r="AF65" i="3"/>
  <c r="AE65" i="3"/>
  <c r="AD65" i="3"/>
  <c r="AC65" i="3"/>
  <c r="AA65" i="3"/>
  <c r="Z65" i="3"/>
  <c r="Y65" i="3"/>
  <c r="X65" i="3"/>
  <c r="V65" i="3"/>
  <c r="U65" i="3"/>
  <c r="T65" i="3"/>
  <c r="S65" i="3"/>
  <c r="Q65" i="3"/>
  <c r="P65" i="3"/>
  <c r="O65" i="3"/>
  <c r="N65" i="3"/>
  <c r="L65" i="3"/>
  <c r="K65" i="3"/>
  <c r="J65" i="3"/>
  <c r="I65" i="3"/>
  <c r="G65" i="3"/>
  <c r="F65" i="3"/>
  <c r="AF64" i="3"/>
  <c r="AE64" i="3"/>
  <c r="AD64" i="3"/>
  <c r="AC64" i="3"/>
  <c r="AA64" i="3"/>
  <c r="Z64" i="3"/>
  <c r="Y64" i="3"/>
  <c r="X64" i="3"/>
  <c r="V64" i="3"/>
  <c r="U64" i="3"/>
  <c r="T64" i="3"/>
  <c r="S64" i="3"/>
  <c r="Q64" i="3"/>
  <c r="P64" i="3"/>
  <c r="O64" i="3"/>
  <c r="N64" i="3"/>
  <c r="L64" i="3"/>
  <c r="K64" i="3"/>
  <c r="J64" i="3"/>
  <c r="I64" i="3"/>
  <c r="G64" i="3"/>
  <c r="F64" i="3"/>
  <c r="AF63" i="3"/>
  <c r="AE63" i="3"/>
  <c r="AD63" i="3"/>
  <c r="AC63" i="3"/>
  <c r="AA63" i="3"/>
  <c r="Z63" i="3"/>
  <c r="Y63" i="3"/>
  <c r="X63" i="3"/>
  <c r="V63" i="3"/>
  <c r="U63" i="3"/>
  <c r="T63" i="3"/>
  <c r="S63" i="3"/>
  <c r="Q63" i="3"/>
  <c r="P63" i="3"/>
  <c r="O63" i="3"/>
  <c r="N63" i="3"/>
  <c r="L63" i="3"/>
  <c r="K63" i="3"/>
  <c r="J63" i="3"/>
  <c r="I63" i="3"/>
  <c r="G63" i="3"/>
  <c r="F63" i="3"/>
  <c r="AF62" i="3"/>
  <c r="AE62" i="3"/>
  <c r="AD62" i="3"/>
  <c r="AC62" i="3"/>
  <c r="AA62" i="3"/>
  <c r="Z62" i="3"/>
  <c r="Y62" i="3"/>
  <c r="X62" i="3"/>
  <c r="V62" i="3"/>
  <c r="U62" i="3"/>
  <c r="T62" i="3"/>
  <c r="S62" i="3"/>
  <c r="Q62" i="3"/>
  <c r="P62" i="3"/>
  <c r="O62" i="3"/>
  <c r="N62" i="3"/>
  <c r="L62" i="3"/>
  <c r="K62" i="3"/>
  <c r="J62" i="3"/>
  <c r="I62" i="3"/>
  <c r="G62" i="3"/>
  <c r="F62" i="3"/>
  <c r="AF61" i="3"/>
  <c r="AE61" i="3"/>
  <c r="AD61" i="3"/>
  <c r="AC61" i="3"/>
  <c r="AA61" i="3"/>
  <c r="Z61" i="3"/>
  <c r="Y61" i="3"/>
  <c r="X61" i="3"/>
  <c r="V61" i="3"/>
  <c r="U61" i="3"/>
  <c r="T61" i="3"/>
  <c r="S61" i="3"/>
  <c r="Q61" i="3"/>
  <c r="P61" i="3"/>
  <c r="O61" i="3"/>
  <c r="N61" i="3"/>
  <c r="L61" i="3"/>
  <c r="K61" i="3"/>
  <c r="J61" i="3"/>
  <c r="I61" i="3"/>
  <c r="G61" i="3"/>
  <c r="F61" i="3"/>
  <c r="AF60" i="3"/>
  <c r="AE60" i="3"/>
  <c r="AD60" i="3"/>
  <c r="AC60" i="3"/>
  <c r="AA60" i="3"/>
  <c r="Z60" i="3"/>
  <c r="Y60" i="3"/>
  <c r="X60" i="3"/>
  <c r="V60" i="3"/>
  <c r="U60" i="3"/>
  <c r="T60" i="3"/>
  <c r="S60" i="3"/>
  <c r="Q60" i="3"/>
  <c r="P60" i="3"/>
  <c r="O60" i="3"/>
  <c r="N60" i="3"/>
  <c r="L60" i="3"/>
  <c r="K60" i="3"/>
  <c r="J60" i="3"/>
  <c r="I60" i="3"/>
  <c r="G60" i="3"/>
  <c r="F60" i="3"/>
  <c r="AF59" i="3"/>
  <c r="AE59" i="3"/>
  <c r="AD59" i="3"/>
  <c r="AC59" i="3"/>
  <c r="AA59" i="3"/>
  <c r="Z59" i="3"/>
  <c r="Y59" i="3"/>
  <c r="X59" i="3"/>
  <c r="V59" i="3"/>
  <c r="U59" i="3"/>
  <c r="T59" i="3"/>
  <c r="S59" i="3"/>
  <c r="Q59" i="3"/>
  <c r="P59" i="3"/>
  <c r="O59" i="3"/>
  <c r="N59" i="3"/>
  <c r="L59" i="3"/>
  <c r="K59" i="3"/>
  <c r="J59" i="3"/>
  <c r="I59" i="3"/>
  <c r="G59" i="3"/>
  <c r="F59" i="3"/>
  <c r="AF58" i="3"/>
  <c r="AE58" i="3"/>
  <c r="AD58" i="3"/>
  <c r="AC58" i="3"/>
  <c r="AA58" i="3"/>
  <c r="Z58" i="3"/>
  <c r="Y58" i="3"/>
  <c r="X58" i="3"/>
  <c r="V58" i="3"/>
  <c r="U58" i="3"/>
  <c r="T58" i="3"/>
  <c r="S58" i="3"/>
  <c r="Q58" i="3"/>
  <c r="P58" i="3"/>
  <c r="O58" i="3"/>
  <c r="N58" i="3"/>
  <c r="L58" i="3"/>
  <c r="K58" i="3"/>
  <c r="J58" i="3"/>
  <c r="I58" i="3"/>
  <c r="G58" i="3"/>
  <c r="F58" i="3"/>
  <c r="AF57" i="3"/>
  <c r="AE57" i="3"/>
  <c r="AD57" i="3"/>
  <c r="AC57" i="3"/>
  <c r="AA57" i="3"/>
  <c r="Z57" i="3"/>
  <c r="Y57" i="3"/>
  <c r="X57" i="3"/>
  <c r="V57" i="3"/>
  <c r="U57" i="3"/>
  <c r="T57" i="3"/>
  <c r="S57" i="3"/>
  <c r="Q57" i="3"/>
  <c r="P57" i="3"/>
  <c r="O57" i="3"/>
  <c r="N57" i="3"/>
  <c r="L57" i="3"/>
  <c r="K57" i="3"/>
  <c r="J57" i="3"/>
  <c r="I57" i="3"/>
  <c r="G57" i="3"/>
  <c r="F57" i="3"/>
  <c r="AF56" i="3"/>
  <c r="AE56" i="3"/>
  <c r="AD56" i="3"/>
  <c r="AC56" i="3"/>
  <c r="AA56" i="3"/>
  <c r="Z56" i="3"/>
  <c r="Y56" i="3"/>
  <c r="X56" i="3"/>
  <c r="V56" i="3"/>
  <c r="U56" i="3"/>
  <c r="T56" i="3"/>
  <c r="S56" i="3"/>
  <c r="Q56" i="3"/>
  <c r="P56" i="3"/>
  <c r="O56" i="3"/>
  <c r="N56" i="3"/>
  <c r="L56" i="3"/>
  <c r="K56" i="3"/>
  <c r="J56" i="3"/>
  <c r="I56" i="3"/>
  <c r="G56" i="3"/>
  <c r="F56" i="3"/>
  <c r="AF55" i="3"/>
  <c r="AE55" i="3"/>
  <c r="AD55" i="3"/>
  <c r="AC55" i="3"/>
  <c r="AA55" i="3"/>
  <c r="Z55" i="3"/>
  <c r="Y55" i="3"/>
  <c r="X55" i="3"/>
  <c r="V55" i="3"/>
  <c r="U55" i="3"/>
  <c r="T55" i="3"/>
  <c r="S55" i="3"/>
  <c r="Q55" i="3"/>
  <c r="P55" i="3"/>
  <c r="O55" i="3"/>
  <c r="N55" i="3"/>
  <c r="L55" i="3"/>
  <c r="K55" i="3"/>
  <c r="J55" i="3"/>
  <c r="I55" i="3"/>
  <c r="G55" i="3"/>
  <c r="F55" i="3"/>
  <c r="AF54" i="3"/>
  <c r="AE54" i="3"/>
  <c r="AD54" i="3"/>
  <c r="AC54" i="3"/>
  <c r="AA54" i="3"/>
  <c r="Z54" i="3"/>
  <c r="Y54" i="3"/>
  <c r="X54" i="3"/>
  <c r="V54" i="3"/>
  <c r="U54" i="3"/>
  <c r="T54" i="3"/>
  <c r="S54" i="3"/>
  <c r="Q54" i="3"/>
  <c r="P54" i="3"/>
  <c r="O54" i="3"/>
  <c r="N54" i="3"/>
  <c r="L54" i="3"/>
  <c r="K54" i="3"/>
  <c r="J54" i="3"/>
  <c r="I54" i="3"/>
  <c r="G54" i="3"/>
  <c r="F54" i="3"/>
  <c r="AF53" i="3"/>
  <c r="AE53" i="3"/>
  <c r="AD53" i="3"/>
  <c r="AC53" i="3"/>
  <c r="AA53" i="3"/>
  <c r="Z53" i="3"/>
  <c r="Y53" i="3"/>
  <c r="X53" i="3"/>
  <c r="V53" i="3"/>
  <c r="U53" i="3"/>
  <c r="T53" i="3"/>
  <c r="S53" i="3"/>
  <c r="Q53" i="3"/>
  <c r="P53" i="3"/>
  <c r="O53" i="3"/>
  <c r="N53" i="3"/>
  <c r="L53" i="3"/>
  <c r="K53" i="3"/>
  <c r="J53" i="3"/>
  <c r="I53" i="3"/>
  <c r="G53" i="3"/>
  <c r="F53" i="3"/>
  <c r="AF52" i="3"/>
  <c r="AE52" i="3"/>
  <c r="AD52" i="3"/>
  <c r="AC52" i="3"/>
  <c r="AA52" i="3"/>
  <c r="Z52" i="3"/>
  <c r="Y52" i="3"/>
  <c r="X52" i="3"/>
  <c r="V52" i="3"/>
  <c r="U52" i="3"/>
  <c r="T52" i="3"/>
  <c r="S52" i="3"/>
  <c r="Q52" i="3"/>
  <c r="P52" i="3"/>
  <c r="O52" i="3"/>
  <c r="N52" i="3"/>
  <c r="L52" i="3"/>
  <c r="K52" i="3"/>
  <c r="J52" i="3"/>
  <c r="I52" i="3"/>
  <c r="G52" i="3"/>
  <c r="F52" i="3"/>
  <c r="AF51" i="3"/>
  <c r="AE51" i="3"/>
  <c r="AD51" i="3"/>
  <c r="AC51" i="3"/>
  <c r="AA51" i="3"/>
  <c r="Z51" i="3"/>
  <c r="Y51" i="3"/>
  <c r="X51" i="3"/>
  <c r="V51" i="3"/>
  <c r="U51" i="3"/>
  <c r="T51" i="3"/>
  <c r="S51" i="3"/>
  <c r="Q51" i="3"/>
  <c r="P51" i="3"/>
  <c r="O51" i="3"/>
  <c r="N51" i="3"/>
  <c r="L51" i="3"/>
  <c r="K51" i="3"/>
  <c r="J51" i="3"/>
  <c r="I51" i="3"/>
  <c r="G51" i="3"/>
  <c r="F51" i="3"/>
  <c r="AF50" i="3"/>
  <c r="AE50" i="3"/>
  <c r="AD50" i="3"/>
  <c r="AC50" i="3"/>
  <c r="AA50" i="3"/>
  <c r="Z50" i="3"/>
  <c r="Y50" i="3"/>
  <c r="X50" i="3"/>
  <c r="V50" i="3"/>
  <c r="U50" i="3"/>
  <c r="T50" i="3"/>
  <c r="S50" i="3"/>
  <c r="Q50" i="3"/>
  <c r="P50" i="3"/>
  <c r="O50" i="3"/>
  <c r="N50" i="3"/>
  <c r="L50" i="3"/>
  <c r="K50" i="3"/>
  <c r="J50" i="3"/>
  <c r="I50" i="3"/>
  <c r="G50" i="3"/>
  <c r="F50" i="3"/>
  <c r="AF49" i="3"/>
  <c r="AE49" i="3"/>
  <c r="AD49" i="3"/>
  <c r="AC49" i="3"/>
  <c r="AA49" i="3"/>
  <c r="Z49" i="3"/>
  <c r="Y49" i="3"/>
  <c r="X49" i="3"/>
  <c r="V49" i="3"/>
  <c r="U49" i="3"/>
  <c r="T49" i="3"/>
  <c r="S49" i="3"/>
  <c r="Q49" i="3"/>
  <c r="P49" i="3"/>
  <c r="O49" i="3"/>
  <c r="N49" i="3"/>
  <c r="L49" i="3"/>
  <c r="K49" i="3"/>
  <c r="J49" i="3"/>
  <c r="I49" i="3"/>
  <c r="G49" i="3"/>
  <c r="F49" i="3"/>
  <c r="AF48" i="3"/>
  <c r="AE48" i="3"/>
  <c r="AD48" i="3"/>
  <c r="AC48" i="3"/>
  <c r="AA48" i="3"/>
  <c r="Z48" i="3"/>
  <c r="Y48" i="3"/>
  <c r="X48" i="3"/>
  <c r="V48" i="3"/>
  <c r="U48" i="3"/>
  <c r="T48" i="3"/>
  <c r="S48" i="3"/>
  <c r="Q48" i="3"/>
  <c r="P48" i="3"/>
  <c r="O48" i="3"/>
  <c r="N48" i="3"/>
  <c r="L48" i="3"/>
  <c r="K48" i="3"/>
  <c r="J48" i="3"/>
  <c r="I48" i="3"/>
  <c r="G48" i="3"/>
  <c r="F48" i="3"/>
  <c r="AF47" i="3"/>
  <c r="AE47" i="3"/>
  <c r="AD47" i="3"/>
  <c r="AC47" i="3"/>
  <c r="AA47" i="3"/>
  <c r="Z47" i="3"/>
  <c r="Y47" i="3"/>
  <c r="X47" i="3"/>
  <c r="V47" i="3"/>
  <c r="U47" i="3"/>
  <c r="T47" i="3"/>
  <c r="S47" i="3"/>
  <c r="Q47" i="3"/>
  <c r="P47" i="3"/>
  <c r="O47" i="3"/>
  <c r="N47" i="3"/>
  <c r="L47" i="3"/>
  <c r="K47" i="3"/>
  <c r="J47" i="3"/>
  <c r="I47" i="3"/>
  <c r="G47" i="3"/>
  <c r="F47" i="3"/>
  <c r="AF46" i="3"/>
  <c r="AE46" i="3"/>
  <c r="AD46" i="3"/>
  <c r="AC46" i="3"/>
  <c r="AA46" i="3"/>
  <c r="Z46" i="3"/>
  <c r="Y46" i="3"/>
  <c r="X46" i="3"/>
  <c r="V46" i="3"/>
  <c r="U46" i="3"/>
  <c r="T46" i="3"/>
  <c r="S46" i="3"/>
  <c r="Q46" i="3"/>
  <c r="P46" i="3"/>
  <c r="O46" i="3"/>
  <c r="N46" i="3"/>
  <c r="L46" i="3"/>
  <c r="K46" i="3"/>
  <c r="J46" i="3"/>
  <c r="I46" i="3"/>
  <c r="G46" i="3"/>
  <c r="F46" i="3"/>
  <c r="AF45" i="3"/>
  <c r="AE45" i="3"/>
  <c r="AD45" i="3"/>
  <c r="AC45" i="3"/>
  <c r="AA45" i="3"/>
  <c r="Z45" i="3"/>
  <c r="Y45" i="3"/>
  <c r="X45" i="3"/>
  <c r="V45" i="3"/>
  <c r="U45" i="3"/>
  <c r="T45" i="3"/>
  <c r="S45" i="3"/>
  <c r="Q45" i="3"/>
  <c r="P45" i="3"/>
  <c r="O45" i="3"/>
  <c r="N45" i="3"/>
  <c r="L45" i="3"/>
  <c r="K45" i="3"/>
  <c r="J45" i="3"/>
  <c r="I45" i="3"/>
  <c r="G45" i="3"/>
  <c r="F45" i="3"/>
  <c r="AF44" i="3"/>
  <c r="AE44" i="3"/>
  <c r="AD44" i="3"/>
  <c r="AC44" i="3"/>
  <c r="AA44" i="3"/>
  <c r="Z44" i="3"/>
  <c r="Y44" i="3"/>
  <c r="X44" i="3"/>
  <c r="V44" i="3"/>
  <c r="U44" i="3"/>
  <c r="T44" i="3"/>
  <c r="S44" i="3"/>
  <c r="Q44" i="3"/>
  <c r="P44" i="3"/>
  <c r="O44" i="3"/>
  <c r="N44" i="3"/>
  <c r="L44" i="3"/>
  <c r="K44" i="3"/>
  <c r="J44" i="3"/>
  <c r="I44" i="3"/>
  <c r="G44" i="3"/>
  <c r="F44" i="3"/>
  <c r="AF43" i="3"/>
  <c r="AE43" i="3"/>
  <c r="AD43" i="3"/>
  <c r="AC43" i="3"/>
  <c r="AA43" i="3"/>
  <c r="Z43" i="3"/>
  <c r="Y43" i="3"/>
  <c r="X43" i="3"/>
  <c r="V43" i="3"/>
  <c r="U43" i="3"/>
  <c r="T43" i="3"/>
  <c r="S43" i="3"/>
  <c r="Q43" i="3"/>
  <c r="P43" i="3"/>
  <c r="O43" i="3"/>
  <c r="N43" i="3"/>
  <c r="L43" i="3"/>
  <c r="K43" i="3"/>
  <c r="J43" i="3"/>
  <c r="I43" i="3"/>
  <c r="G43" i="3"/>
  <c r="F43" i="3"/>
  <c r="AF42" i="3"/>
  <c r="AE42" i="3"/>
  <c r="AD42" i="3"/>
  <c r="AC42" i="3"/>
  <c r="AA42" i="3"/>
  <c r="Z42" i="3"/>
  <c r="Y42" i="3"/>
  <c r="X42" i="3"/>
  <c r="V42" i="3"/>
  <c r="U42" i="3"/>
  <c r="T42" i="3"/>
  <c r="S42" i="3"/>
  <c r="Q42" i="3"/>
  <c r="P42" i="3"/>
  <c r="O42" i="3"/>
  <c r="N42" i="3"/>
  <c r="L42" i="3"/>
  <c r="K42" i="3"/>
  <c r="J42" i="3"/>
  <c r="I42" i="3"/>
  <c r="G42" i="3"/>
  <c r="F42" i="3"/>
  <c r="AF41" i="3"/>
  <c r="AE41" i="3"/>
  <c r="AD41" i="3"/>
  <c r="AC41" i="3"/>
  <c r="AA41" i="3"/>
  <c r="Z41" i="3"/>
  <c r="Y41" i="3"/>
  <c r="X41" i="3"/>
  <c r="V41" i="3"/>
  <c r="U41" i="3"/>
  <c r="T41" i="3"/>
  <c r="S41" i="3"/>
  <c r="Q41" i="3"/>
  <c r="P41" i="3"/>
  <c r="O41" i="3"/>
  <c r="N41" i="3"/>
  <c r="L41" i="3"/>
  <c r="K41" i="3"/>
  <c r="J41" i="3"/>
  <c r="I41" i="3"/>
  <c r="G41" i="3"/>
  <c r="F41" i="3"/>
  <c r="AF40" i="3"/>
  <c r="AE40" i="3"/>
  <c r="AD40" i="3"/>
  <c r="AC40" i="3"/>
  <c r="AA40" i="3"/>
  <c r="Z40" i="3"/>
  <c r="Y40" i="3"/>
  <c r="X40" i="3"/>
  <c r="V40" i="3"/>
  <c r="U40" i="3"/>
  <c r="T40" i="3"/>
  <c r="S40" i="3"/>
  <c r="Q40" i="3"/>
  <c r="P40" i="3"/>
  <c r="O40" i="3"/>
  <c r="N40" i="3"/>
  <c r="L40" i="3"/>
  <c r="K40" i="3"/>
  <c r="J40" i="3"/>
  <c r="I40" i="3"/>
  <c r="G40" i="3"/>
  <c r="F40" i="3"/>
  <c r="AF39" i="3"/>
  <c r="AE39" i="3"/>
  <c r="AD39" i="3"/>
  <c r="AC39" i="3"/>
  <c r="AA39" i="3"/>
  <c r="Z39" i="3"/>
  <c r="Y39" i="3"/>
  <c r="X39" i="3"/>
  <c r="V39" i="3"/>
  <c r="U39" i="3"/>
  <c r="T39" i="3"/>
  <c r="S39" i="3"/>
  <c r="Q39" i="3"/>
  <c r="P39" i="3"/>
  <c r="O39" i="3"/>
  <c r="N39" i="3"/>
  <c r="L39" i="3"/>
  <c r="K39" i="3"/>
  <c r="J39" i="3"/>
  <c r="I39" i="3"/>
  <c r="G39" i="3"/>
  <c r="F39" i="3"/>
  <c r="AF38" i="3"/>
  <c r="AE38" i="3"/>
  <c r="AD38" i="3"/>
  <c r="AC38" i="3"/>
  <c r="AA38" i="3"/>
  <c r="Z38" i="3"/>
  <c r="Y38" i="3"/>
  <c r="X38" i="3"/>
  <c r="V38" i="3"/>
  <c r="U38" i="3"/>
  <c r="T38" i="3"/>
  <c r="S38" i="3"/>
  <c r="Q38" i="3"/>
  <c r="P38" i="3"/>
  <c r="O38" i="3"/>
  <c r="N38" i="3"/>
  <c r="L38" i="3"/>
  <c r="K38" i="3"/>
  <c r="J38" i="3"/>
  <c r="I38" i="3"/>
  <c r="G38" i="3"/>
  <c r="F38" i="3"/>
  <c r="AF37" i="3"/>
  <c r="AE37" i="3"/>
  <c r="AD37" i="3"/>
  <c r="AC37" i="3"/>
  <c r="AA37" i="3"/>
  <c r="Z37" i="3"/>
  <c r="Y37" i="3"/>
  <c r="X37" i="3"/>
  <c r="V37" i="3"/>
  <c r="U37" i="3"/>
  <c r="T37" i="3"/>
  <c r="S37" i="3"/>
  <c r="Q37" i="3"/>
  <c r="P37" i="3"/>
  <c r="O37" i="3"/>
  <c r="N37" i="3"/>
  <c r="L37" i="3"/>
  <c r="K37" i="3"/>
  <c r="J37" i="3"/>
  <c r="I37" i="3"/>
  <c r="G37" i="3"/>
  <c r="F37" i="3"/>
  <c r="AF36" i="3"/>
  <c r="AE36" i="3"/>
  <c r="AD36" i="3"/>
  <c r="AC36" i="3"/>
  <c r="AA36" i="3"/>
  <c r="Z36" i="3"/>
  <c r="Y36" i="3"/>
  <c r="X36" i="3"/>
  <c r="V36" i="3"/>
  <c r="U36" i="3"/>
  <c r="T36" i="3"/>
  <c r="S36" i="3"/>
  <c r="Q36" i="3"/>
  <c r="P36" i="3"/>
  <c r="O36" i="3"/>
  <c r="N36" i="3"/>
  <c r="L36" i="3"/>
  <c r="K36" i="3"/>
  <c r="J36" i="3"/>
  <c r="I36" i="3"/>
  <c r="G36" i="3"/>
  <c r="F36" i="3"/>
  <c r="AF35" i="3"/>
  <c r="AE35" i="3"/>
  <c r="AD35" i="3"/>
  <c r="AC35" i="3"/>
  <c r="AA35" i="3"/>
  <c r="Z35" i="3"/>
  <c r="Y35" i="3"/>
  <c r="X35" i="3"/>
  <c r="V35" i="3"/>
  <c r="U35" i="3"/>
  <c r="T35" i="3"/>
  <c r="S35" i="3"/>
  <c r="Q35" i="3"/>
  <c r="P35" i="3"/>
  <c r="O35" i="3"/>
  <c r="N35" i="3"/>
  <c r="L35" i="3"/>
  <c r="K35" i="3"/>
  <c r="J35" i="3"/>
  <c r="I35" i="3"/>
  <c r="G35" i="3"/>
  <c r="F35" i="3"/>
  <c r="AF34" i="3"/>
  <c r="AE34" i="3"/>
  <c r="AD34" i="3"/>
  <c r="AC34" i="3"/>
  <c r="AA34" i="3"/>
  <c r="Z34" i="3"/>
  <c r="Y34" i="3"/>
  <c r="X34" i="3"/>
  <c r="V34" i="3"/>
  <c r="U34" i="3"/>
  <c r="T34" i="3"/>
  <c r="S34" i="3"/>
  <c r="Q34" i="3"/>
  <c r="P34" i="3"/>
  <c r="O34" i="3"/>
  <c r="N34" i="3"/>
  <c r="L34" i="3"/>
  <c r="K34" i="3"/>
  <c r="J34" i="3"/>
  <c r="I34" i="3"/>
  <c r="G34" i="3"/>
  <c r="F34" i="3"/>
  <c r="AF33" i="3"/>
  <c r="AE33" i="3"/>
  <c r="AD33" i="3"/>
  <c r="AC33" i="3"/>
  <c r="AA33" i="3"/>
  <c r="Z33" i="3"/>
  <c r="Y33" i="3"/>
  <c r="X33" i="3"/>
  <c r="V33" i="3"/>
  <c r="U33" i="3"/>
  <c r="T33" i="3"/>
  <c r="S33" i="3"/>
  <c r="Q33" i="3"/>
  <c r="P33" i="3"/>
  <c r="O33" i="3"/>
  <c r="N33" i="3"/>
  <c r="L33" i="3"/>
  <c r="K33" i="3"/>
  <c r="J33" i="3"/>
  <c r="I33" i="3"/>
  <c r="G33" i="3"/>
  <c r="F33" i="3"/>
  <c r="AF32" i="3"/>
  <c r="AE32" i="3"/>
  <c r="AD32" i="3"/>
  <c r="AC32" i="3"/>
  <c r="AA32" i="3"/>
  <c r="Z32" i="3"/>
  <c r="Y32" i="3"/>
  <c r="X32" i="3"/>
  <c r="V32" i="3"/>
  <c r="U32" i="3"/>
  <c r="T32" i="3"/>
  <c r="S32" i="3"/>
  <c r="Q32" i="3"/>
  <c r="P32" i="3"/>
  <c r="O32" i="3"/>
  <c r="N32" i="3"/>
  <c r="L32" i="3"/>
  <c r="K32" i="3"/>
  <c r="J32" i="3"/>
  <c r="I32" i="3"/>
  <c r="G32" i="3"/>
  <c r="F32" i="3"/>
  <c r="AF31" i="3"/>
  <c r="AE31" i="3"/>
  <c r="AD31" i="3"/>
  <c r="AC31" i="3"/>
  <c r="AA31" i="3"/>
  <c r="Z31" i="3"/>
  <c r="Y31" i="3"/>
  <c r="X31" i="3"/>
  <c r="V31" i="3"/>
  <c r="U31" i="3"/>
  <c r="T31" i="3"/>
  <c r="S31" i="3"/>
  <c r="Q31" i="3"/>
  <c r="P31" i="3"/>
  <c r="O31" i="3"/>
  <c r="N31" i="3"/>
  <c r="L31" i="3"/>
  <c r="K31" i="3"/>
  <c r="J31" i="3"/>
  <c r="I31" i="3"/>
  <c r="G31" i="3"/>
  <c r="F31" i="3"/>
  <c r="AF30" i="3"/>
  <c r="AE30" i="3"/>
  <c r="AD30" i="3"/>
  <c r="AC30" i="3"/>
  <c r="AA30" i="3"/>
  <c r="Z30" i="3"/>
  <c r="Y30" i="3"/>
  <c r="X30" i="3"/>
  <c r="V30" i="3"/>
  <c r="U30" i="3"/>
  <c r="T30" i="3"/>
  <c r="S30" i="3"/>
  <c r="Q30" i="3"/>
  <c r="P30" i="3"/>
  <c r="O30" i="3"/>
  <c r="N30" i="3"/>
  <c r="L30" i="3"/>
  <c r="K30" i="3"/>
  <c r="J30" i="3"/>
  <c r="I30" i="3"/>
  <c r="G30" i="3"/>
  <c r="F30" i="3"/>
  <c r="AF29" i="3"/>
  <c r="AE29" i="3"/>
  <c r="AD29" i="3"/>
  <c r="AC29" i="3"/>
  <c r="AA29" i="3"/>
  <c r="Z29" i="3"/>
  <c r="Y29" i="3"/>
  <c r="X29" i="3"/>
  <c r="V29" i="3"/>
  <c r="U29" i="3"/>
  <c r="T29" i="3"/>
  <c r="S29" i="3"/>
  <c r="Q29" i="3"/>
  <c r="P29" i="3"/>
  <c r="O29" i="3"/>
  <c r="N29" i="3"/>
  <c r="L29" i="3"/>
  <c r="K29" i="3"/>
  <c r="J29" i="3"/>
  <c r="I29" i="3"/>
  <c r="G29" i="3"/>
  <c r="F29" i="3"/>
  <c r="AF28" i="3"/>
  <c r="AE28" i="3"/>
  <c r="AD28" i="3"/>
  <c r="AC28" i="3"/>
  <c r="AA28" i="3"/>
  <c r="Z28" i="3"/>
  <c r="Y28" i="3"/>
  <c r="X28" i="3"/>
  <c r="V28" i="3"/>
  <c r="U28" i="3"/>
  <c r="T28" i="3"/>
  <c r="S28" i="3"/>
  <c r="Q28" i="3"/>
  <c r="P28" i="3"/>
  <c r="O28" i="3"/>
  <c r="N28" i="3"/>
  <c r="L28" i="3"/>
  <c r="K28" i="3"/>
  <c r="J28" i="3"/>
  <c r="I28" i="3"/>
  <c r="G28" i="3"/>
  <c r="F28" i="3"/>
  <c r="AF27" i="3"/>
  <c r="AE27" i="3"/>
  <c r="AD27" i="3"/>
  <c r="AC27" i="3"/>
  <c r="AA27" i="3"/>
  <c r="Z27" i="3"/>
  <c r="Y27" i="3"/>
  <c r="X27" i="3"/>
  <c r="V27" i="3"/>
  <c r="U27" i="3"/>
  <c r="T27" i="3"/>
  <c r="S27" i="3"/>
  <c r="Q27" i="3"/>
  <c r="P27" i="3"/>
  <c r="O27" i="3"/>
  <c r="N27" i="3"/>
  <c r="L27" i="3"/>
  <c r="K27" i="3"/>
  <c r="J27" i="3"/>
  <c r="I27" i="3"/>
  <c r="G27" i="3"/>
  <c r="F27" i="3"/>
  <c r="AF26" i="3"/>
  <c r="AE26" i="3"/>
  <c r="AD26" i="3"/>
  <c r="AC26" i="3"/>
  <c r="AA26" i="3"/>
  <c r="Z26" i="3"/>
  <c r="Y26" i="3"/>
  <c r="X26" i="3"/>
  <c r="V26" i="3"/>
  <c r="U26" i="3"/>
  <c r="T26" i="3"/>
  <c r="S26" i="3"/>
  <c r="Q26" i="3"/>
  <c r="P26" i="3"/>
  <c r="O26" i="3"/>
  <c r="N26" i="3"/>
  <c r="L26" i="3"/>
  <c r="K26" i="3"/>
  <c r="J26" i="3"/>
  <c r="I26" i="3"/>
  <c r="G26" i="3"/>
  <c r="F26" i="3"/>
  <c r="AF25" i="3"/>
  <c r="AE25" i="3"/>
  <c r="AD25" i="3"/>
  <c r="AC25" i="3"/>
  <c r="AA25" i="3"/>
  <c r="Z25" i="3"/>
  <c r="Y25" i="3"/>
  <c r="X25" i="3"/>
  <c r="V25" i="3"/>
  <c r="U25" i="3"/>
  <c r="T25" i="3"/>
  <c r="S25" i="3"/>
  <c r="Q25" i="3"/>
  <c r="P25" i="3"/>
  <c r="O25" i="3"/>
  <c r="N25" i="3"/>
  <c r="L25" i="3"/>
  <c r="K25" i="3"/>
  <c r="J25" i="3"/>
  <c r="I25" i="3"/>
  <c r="G25" i="3"/>
  <c r="F25" i="3"/>
  <c r="AF24" i="3"/>
  <c r="AE24" i="3"/>
  <c r="AD24" i="3"/>
  <c r="AC24" i="3"/>
  <c r="AA24" i="3"/>
  <c r="Z24" i="3"/>
  <c r="Y24" i="3"/>
  <c r="X24" i="3"/>
  <c r="V24" i="3"/>
  <c r="U24" i="3"/>
  <c r="T24" i="3"/>
  <c r="S24" i="3"/>
  <c r="Q24" i="3"/>
  <c r="P24" i="3"/>
  <c r="O24" i="3"/>
  <c r="N24" i="3"/>
  <c r="L24" i="3"/>
  <c r="K24" i="3"/>
  <c r="J24" i="3"/>
  <c r="I24" i="3"/>
  <c r="G24" i="3"/>
  <c r="F24" i="3"/>
  <c r="AF23" i="3"/>
  <c r="AE23" i="3"/>
  <c r="AD23" i="3"/>
  <c r="AC23" i="3"/>
  <c r="AA23" i="3"/>
  <c r="Z23" i="3"/>
  <c r="Y23" i="3"/>
  <c r="X23" i="3"/>
  <c r="V23" i="3"/>
  <c r="U23" i="3"/>
  <c r="T23" i="3"/>
  <c r="S23" i="3"/>
  <c r="Q23" i="3"/>
  <c r="P23" i="3"/>
  <c r="O23" i="3"/>
  <c r="N23" i="3"/>
  <c r="L23" i="3"/>
  <c r="K23" i="3"/>
  <c r="J23" i="3"/>
  <c r="I23" i="3"/>
  <c r="G23" i="3"/>
  <c r="F23" i="3"/>
  <c r="AF22" i="3"/>
  <c r="AE22" i="3"/>
  <c r="AD22" i="3"/>
  <c r="AC22" i="3"/>
  <c r="AA22" i="3"/>
  <c r="Z22" i="3"/>
  <c r="Y22" i="3"/>
  <c r="X22" i="3"/>
  <c r="V22" i="3"/>
  <c r="U22" i="3"/>
  <c r="T22" i="3"/>
  <c r="S22" i="3"/>
  <c r="Q22" i="3"/>
  <c r="P22" i="3"/>
  <c r="O22" i="3"/>
  <c r="N22" i="3"/>
  <c r="L22" i="3"/>
  <c r="K22" i="3"/>
  <c r="J22" i="3"/>
  <c r="I22" i="3"/>
  <c r="G22" i="3"/>
  <c r="F22" i="3"/>
  <c r="AF21" i="3"/>
  <c r="AE21" i="3"/>
  <c r="AD21" i="3"/>
  <c r="AC21" i="3"/>
  <c r="AA21" i="3"/>
  <c r="Z21" i="3"/>
  <c r="Y21" i="3"/>
  <c r="X21" i="3"/>
  <c r="V21" i="3"/>
  <c r="U21" i="3"/>
  <c r="T21" i="3"/>
  <c r="S21" i="3"/>
  <c r="Q21" i="3"/>
  <c r="P21" i="3"/>
  <c r="O21" i="3"/>
  <c r="N21" i="3"/>
  <c r="L21" i="3"/>
  <c r="K21" i="3"/>
  <c r="J21" i="3"/>
  <c r="I21" i="3"/>
  <c r="G21" i="3"/>
  <c r="F21" i="3"/>
  <c r="AF20" i="3"/>
  <c r="AE20" i="3"/>
  <c r="AD20" i="3"/>
  <c r="AC20" i="3"/>
  <c r="AA20" i="3"/>
  <c r="Z20" i="3"/>
  <c r="Y20" i="3"/>
  <c r="X20" i="3"/>
  <c r="V20" i="3"/>
  <c r="U20" i="3"/>
  <c r="T20" i="3"/>
  <c r="S20" i="3"/>
  <c r="Q20" i="3"/>
  <c r="P20" i="3"/>
  <c r="O20" i="3"/>
  <c r="N20" i="3"/>
  <c r="L20" i="3"/>
  <c r="K20" i="3"/>
  <c r="J20" i="3"/>
  <c r="I20" i="3"/>
  <c r="G20" i="3"/>
  <c r="F20" i="3"/>
  <c r="AF19" i="3"/>
  <c r="AE19" i="3"/>
  <c r="AD19" i="3"/>
  <c r="AC19" i="3"/>
  <c r="AA19" i="3"/>
  <c r="Z19" i="3"/>
  <c r="Y19" i="3"/>
  <c r="X19" i="3"/>
  <c r="V19" i="3"/>
  <c r="U19" i="3"/>
  <c r="T19" i="3"/>
  <c r="S19" i="3"/>
  <c r="Q19" i="3"/>
  <c r="P19" i="3"/>
  <c r="O19" i="3"/>
  <c r="N19" i="3"/>
  <c r="L19" i="3"/>
  <c r="K19" i="3"/>
  <c r="J19" i="3"/>
  <c r="I19" i="3"/>
  <c r="G19" i="3"/>
  <c r="F19" i="3"/>
  <c r="AF18" i="3"/>
  <c r="AE18" i="3"/>
  <c r="AD18" i="3"/>
  <c r="AC18" i="3"/>
  <c r="AA18" i="3"/>
  <c r="Z18" i="3"/>
  <c r="Y18" i="3"/>
  <c r="X18" i="3"/>
  <c r="V18" i="3"/>
  <c r="U18" i="3"/>
  <c r="T18" i="3"/>
  <c r="S18" i="3"/>
  <c r="Q18" i="3"/>
  <c r="P18" i="3"/>
  <c r="O18" i="3"/>
  <c r="N18" i="3"/>
  <c r="L18" i="3"/>
  <c r="K18" i="3"/>
  <c r="J18" i="3"/>
  <c r="I18" i="3"/>
  <c r="G18" i="3"/>
  <c r="F18" i="3"/>
  <c r="AF17" i="3"/>
  <c r="AE17" i="3"/>
  <c r="AD17" i="3"/>
  <c r="AC17" i="3"/>
  <c r="AA17" i="3"/>
  <c r="Z17" i="3"/>
  <c r="Y17" i="3"/>
  <c r="X17" i="3"/>
  <c r="V17" i="3"/>
  <c r="U17" i="3"/>
  <c r="T17" i="3"/>
  <c r="S17" i="3"/>
  <c r="Q17" i="3"/>
  <c r="P17" i="3"/>
  <c r="O17" i="3"/>
  <c r="N17" i="3"/>
  <c r="L17" i="3"/>
  <c r="K17" i="3"/>
  <c r="J17" i="3"/>
  <c r="I17" i="3"/>
  <c r="G17" i="3"/>
  <c r="F17" i="3"/>
  <c r="AF16" i="3"/>
  <c r="AE16" i="3"/>
  <c r="AD16" i="3"/>
  <c r="AC16" i="3"/>
  <c r="AA16" i="3"/>
  <c r="Z16" i="3"/>
  <c r="Y16" i="3"/>
  <c r="X16" i="3"/>
  <c r="V16" i="3"/>
  <c r="U16" i="3"/>
  <c r="T16" i="3"/>
  <c r="S16" i="3"/>
  <c r="Q16" i="3"/>
  <c r="P16" i="3"/>
  <c r="O16" i="3"/>
  <c r="N16" i="3"/>
  <c r="L16" i="3"/>
  <c r="K16" i="3"/>
  <c r="J16" i="3"/>
  <c r="I16" i="3"/>
  <c r="G16" i="3"/>
  <c r="F16" i="3"/>
  <c r="AF15" i="3"/>
  <c r="AE15" i="3"/>
  <c r="AD15" i="3"/>
  <c r="AC15" i="3"/>
  <c r="AA15" i="3"/>
  <c r="Z15" i="3"/>
  <c r="Y15" i="3"/>
  <c r="X15" i="3"/>
  <c r="V15" i="3"/>
  <c r="U15" i="3"/>
  <c r="T15" i="3"/>
  <c r="S15" i="3"/>
  <c r="Q15" i="3"/>
  <c r="P15" i="3"/>
  <c r="O15" i="3"/>
  <c r="N15" i="3"/>
  <c r="L15" i="3"/>
  <c r="K15" i="3"/>
  <c r="J15" i="3"/>
  <c r="I15" i="3"/>
  <c r="G15" i="3"/>
  <c r="F15" i="3"/>
  <c r="AF14" i="3"/>
  <c r="AE14" i="3"/>
  <c r="AD14" i="3"/>
  <c r="AC14" i="3"/>
  <c r="AA14" i="3"/>
  <c r="Z14" i="3"/>
  <c r="Y14" i="3"/>
  <c r="X14" i="3"/>
  <c r="V14" i="3"/>
  <c r="U14" i="3"/>
  <c r="T14" i="3"/>
  <c r="S14" i="3"/>
  <c r="Q14" i="3"/>
  <c r="P14" i="3"/>
  <c r="O14" i="3"/>
  <c r="N14" i="3"/>
  <c r="L14" i="3"/>
  <c r="K14" i="3"/>
  <c r="J14" i="3"/>
  <c r="I14" i="3"/>
  <c r="G14" i="3"/>
  <c r="F14" i="3"/>
  <c r="AF13" i="3"/>
  <c r="AE13" i="3"/>
  <c r="AD13" i="3"/>
  <c r="AC13" i="3"/>
  <c r="AA13" i="3"/>
  <c r="Z13" i="3"/>
  <c r="Y13" i="3"/>
  <c r="X13" i="3"/>
  <c r="V13" i="3"/>
  <c r="U13" i="3"/>
  <c r="T13" i="3"/>
  <c r="S13" i="3"/>
  <c r="Q13" i="3"/>
  <c r="P13" i="3"/>
  <c r="O13" i="3"/>
  <c r="N13" i="3"/>
  <c r="L13" i="3"/>
  <c r="K13" i="3"/>
  <c r="J13" i="3"/>
  <c r="I13" i="3"/>
  <c r="G13" i="3"/>
  <c r="F13" i="3"/>
  <c r="AF12" i="3"/>
  <c r="AE12" i="3"/>
  <c r="AD12" i="3"/>
  <c r="AC12" i="3"/>
  <c r="AA12" i="3"/>
  <c r="Z12" i="3"/>
  <c r="Y12" i="3"/>
  <c r="X12" i="3"/>
  <c r="V12" i="3"/>
  <c r="U12" i="3"/>
  <c r="T12" i="3"/>
  <c r="S12" i="3"/>
  <c r="Q12" i="3"/>
  <c r="P12" i="3"/>
  <c r="O12" i="3"/>
  <c r="N12" i="3"/>
  <c r="L12" i="3"/>
  <c r="K12" i="3"/>
  <c r="J12" i="3"/>
  <c r="I12" i="3"/>
  <c r="G12" i="3"/>
  <c r="F12" i="3"/>
  <c r="AF11" i="3"/>
  <c r="AE11" i="3"/>
  <c r="AD11" i="3"/>
  <c r="AC11" i="3"/>
  <c r="AA11" i="3"/>
  <c r="Z11" i="3"/>
  <c r="Y11" i="3"/>
  <c r="X11" i="3"/>
  <c r="V11" i="3"/>
  <c r="U11" i="3"/>
  <c r="T11" i="3"/>
  <c r="S11" i="3"/>
  <c r="Q11" i="3"/>
  <c r="P11" i="3"/>
  <c r="O11" i="3"/>
  <c r="N11" i="3"/>
  <c r="L11" i="3"/>
  <c r="K11" i="3"/>
  <c r="J11" i="3"/>
  <c r="I11" i="3"/>
  <c r="G11" i="3"/>
  <c r="F11" i="3"/>
  <c r="AF10" i="3"/>
  <c r="AE10" i="3"/>
  <c r="AD10" i="3"/>
  <c r="AC10" i="3"/>
  <c r="AA10" i="3"/>
  <c r="Z10" i="3"/>
  <c r="Y10" i="3"/>
  <c r="X10" i="3"/>
  <c r="V10" i="3"/>
  <c r="U10" i="3"/>
  <c r="T10" i="3"/>
  <c r="S10" i="3"/>
  <c r="Q10" i="3"/>
  <c r="P10" i="3"/>
  <c r="O10" i="3"/>
  <c r="N10" i="3"/>
  <c r="L10" i="3"/>
  <c r="K10" i="3"/>
  <c r="J10" i="3"/>
  <c r="I10" i="3"/>
  <c r="G10" i="3"/>
  <c r="F10" i="3"/>
  <c r="AF9" i="3"/>
  <c r="AE9" i="3"/>
  <c r="AD9" i="3"/>
  <c r="AC9" i="3"/>
  <c r="AA9" i="3"/>
  <c r="Z9" i="3"/>
  <c r="Y9" i="3"/>
  <c r="X9" i="3"/>
  <c r="V9" i="3"/>
  <c r="U9" i="3"/>
  <c r="T9" i="3"/>
  <c r="S9" i="3"/>
  <c r="Q9" i="3"/>
  <c r="P9" i="3"/>
  <c r="O9" i="3"/>
  <c r="N9" i="3"/>
  <c r="L9" i="3"/>
  <c r="K9" i="3"/>
  <c r="J9" i="3"/>
  <c r="I9" i="3"/>
  <c r="G9" i="3"/>
  <c r="F9" i="3"/>
  <c r="AF8" i="3"/>
  <c r="AE8" i="3"/>
  <c r="AD8" i="3"/>
  <c r="AC8" i="3"/>
  <c r="AA8" i="3"/>
  <c r="Z8" i="3"/>
  <c r="Y8" i="3"/>
  <c r="X8" i="3"/>
  <c r="V8" i="3"/>
  <c r="U8" i="3"/>
  <c r="T8" i="3"/>
  <c r="S8" i="3"/>
  <c r="Q8" i="3"/>
  <c r="P8" i="3"/>
  <c r="O8" i="3"/>
  <c r="N8" i="3"/>
  <c r="L8" i="3"/>
  <c r="K8" i="3"/>
  <c r="J8" i="3"/>
  <c r="I8" i="3"/>
  <c r="G8" i="3"/>
  <c r="F8" i="3"/>
  <c r="AF7" i="3"/>
  <c r="AE7" i="3"/>
  <c r="AD7" i="3"/>
  <c r="AC7" i="3"/>
  <c r="AA7" i="3"/>
  <c r="Z7" i="3"/>
  <c r="Y7" i="3"/>
  <c r="X7" i="3"/>
  <c r="V7" i="3"/>
  <c r="U7" i="3"/>
  <c r="T7" i="3"/>
  <c r="S7" i="3"/>
  <c r="Q7" i="3"/>
  <c r="P7" i="3"/>
  <c r="O7" i="3"/>
  <c r="N7" i="3"/>
  <c r="L7" i="3"/>
  <c r="K7" i="3"/>
  <c r="J7" i="3"/>
  <c r="I7" i="3"/>
  <c r="G7" i="3"/>
  <c r="F7" i="3"/>
  <c r="AF6" i="3"/>
  <c r="AE6" i="3"/>
  <c r="AD6" i="3"/>
  <c r="AC6" i="3"/>
  <c r="AA6" i="3"/>
  <c r="Z6" i="3"/>
  <c r="Y6" i="3"/>
  <c r="X6" i="3"/>
  <c r="V6" i="3"/>
  <c r="U6" i="3"/>
  <c r="T6" i="3"/>
  <c r="S6" i="3"/>
  <c r="Q6" i="3"/>
  <c r="P6" i="3"/>
  <c r="O6" i="3"/>
  <c r="N6" i="3"/>
  <c r="L6" i="3"/>
  <c r="K6" i="3"/>
  <c r="J6" i="3"/>
  <c r="I6" i="3"/>
  <c r="G6" i="3"/>
  <c r="F6" i="3"/>
  <c r="AF5" i="3"/>
  <c r="AE5" i="3"/>
  <c r="AD5" i="3"/>
  <c r="AC5" i="3"/>
  <c r="AA5" i="3"/>
  <c r="Z5" i="3"/>
  <c r="Y5" i="3"/>
  <c r="X5" i="3"/>
  <c r="V5" i="3"/>
  <c r="U5" i="3"/>
  <c r="T5" i="3"/>
  <c r="S5" i="3"/>
  <c r="Q5" i="3"/>
  <c r="P5" i="3"/>
  <c r="O5" i="3"/>
  <c r="N5" i="3"/>
  <c r="L5" i="3"/>
  <c r="K5" i="3"/>
  <c r="J5" i="3"/>
  <c r="I5" i="3"/>
  <c r="G5" i="3"/>
  <c r="F5" i="3"/>
  <c r="AF4" i="3"/>
  <c r="AE4" i="3"/>
  <c r="AD4" i="3"/>
  <c r="AC4" i="3"/>
  <c r="AA4" i="3"/>
  <c r="Z4" i="3"/>
  <c r="Y4" i="3"/>
  <c r="X4" i="3"/>
  <c r="V4" i="3"/>
  <c r="U4" i="3"/>
  <c r="T4" i="3"/>
  <c r="S4" i="3"/>
  <c r="Q4" i="3"/>
  <c r="P4" i="3"/>
  <c r="O4" i="3"/>
  <c r="N4" i="3"/>
  <c r="L4" i="3"/>
  <c r="K4" i="3"/>
  <c r="J4" i="3"/>
  <c r="I4" i="3"/>
  <c r="G4" i="3"/>
  <c r="F4" i="3"/>
  <c r="AF3" i="3"/>
  <c r="AE3" i="3"/>
  <c r="AD3" i="3"/>
  <c r="AC3" i="3"/>
  <c r="AA3" i="3"/>
  <c r="Z3" i="3"/>
  <c r="Y3" i="3"/>
  <c r="X3" i="3"/>
  <c r="V3" i="3"/>
  <c r="U3" i="3"/>
  <c r="T3" i="3"/>
  <c r="S3" i="3"/>
  <c r="Q3" i="3"/>
  <c r="P3" i="3"/>
  <c r="O3" i="3"/>
  <c r="N3" i="3"/>
  <c r="L3" i="3"/>
  <c r="K3" i="3"/>
  <c r="J3" i="3"/>
  <c r="I3" i="3"/>
  <c r="G3" i="3"/>
  <c r="F3" i="3"/>
  <c r="AF2" i="3"/>
  <c r="AE2" i="3"/>
  <c r="AD2" i="3"/>
  <c r="AC2" i="3"/>
  <c r="AA2" i="3"/>
  <c r="Z2" i="3"/>
  <c r="Y2" i="3"/>
  <c r="X2" i="3"/>
  <c r="V2" i="3"/>
  <c r="U2" i="3"/>
  <c r="T2" i="3"/>
  <c r="S2" i="3"/>
  <c r="Q2" i="3"/>
  <c r="P2" i="3"/>
  <c r="O2" i="3"/>
  <c r="N2" i="3"/>
  <c r="L2" i="3"/>
  <c r="K2" i="3"/>
  <c r="J2" i="3"/>
  <c r="I2" i="3"/>
  <c r="G2" i="3"/>
  <c r="F2" i="3"/>
  <c r="AH7" i="3" l="1"/>
  <c r="AH15" i="3"/>
  <c r="AH31" i="3"/>
  <c r="AH39" i="3"/>
  <c r="AH6" i="3"/>
  <c r="AH14" i="3"/>
  <c r="AH22" i="3"/>
  <c r="AH30" i="3"/>
  <c r="AH38" i="3"/>
  <c r="AH46" i="3"/>
  <c r="AH50" i="3"/>
  <c r="AH58" i="3"/>
  <c r="AH66" i="3"/>
  <c r="AH74" i="3"/>
  <c r="AH82" i="3"/>
  <c r="AH90" i="3"/>
  <c r="AH98" i="3"/>
  <c r="AH106" i="3"/>
  <c r="AH114" i="3"/>
  <c r="AH122" i="3"/>
  <c r="AH130" i="3"/>
  <c r="AH138" i="3"/>
  <c r="AH146" i="3"/>
  <c r="AH154" i="3"/>
  <c r="AH162" i="3"/>
  <c r="AH2" i="3"/>
  <c r="AH10" i="3"/>
  <c r="AH18" i="3"/>
  <c r="AH26" i="3"/>
  <c r="AH34" i="3"/>
  <c r="AH42" i="3"/>
  <c r="AH54" i="3"/>
  <c r="AH62" i="3"/>
  <c r="AH70" i="3"/>
  <c r="AH78" i="3"/>
  <c r="AH86" i="3"/>
  <c r="AH94" i="3"/>
  <c r="AH102" i="3"/>
  <c r="AH110" i="3"/>
  <c r="AH118" i="3"/>
  <c r="AH126" i="3"/>
  <c r="AH134" i="3"/>
  <c r="AH142" i="3"/>
  <c r="AH150" i="3"/>
  <c r="AH158" i="3"/>
  <c r="AH53" i="3"/>
  <c r="AH61" i="3"/>
  <c r="AH77" i="3"/>
  <c r="AH109" i="3"/>
  <c r="AH49" i="3"/>
  <c r="AH57" i="3"/>
  <c r="AH65" i="3"/>
  <c r="AH73" i="3"/>
  <c r="AH81" i="3"/>
  <c r="AH89" i="3"/>
  <c r="AH97" i="3"/>
  <c r="AH105" i="3"/>
  <c r="AH113" i="3"/>
  <c r="AH121" i="3"/>
  <c r="AH17" i="3"/>
  <c r="AH20" i="3"/>
  <c r="AH8" i="3"/>
  <c r="AH13" i="3"/>
  <c r="AH16" i="3"/>
  <c r="AH21" i="3"/>
  <c r="AH24" i="3"/>
  <c r="AH29" i="3"/>
  <c r="AH32" i="3"/>
  <c r="AH37" i="3"/>
  <c r="AH40" i="3"/>
  <c r="AH45" i="3"/>
  <c r="AH48" i="3"/>
  <c r="AH51" i="3"/>
  <c r="AH56" i="3"/>
  <c r="AH59" i="3"/>
  <c r="AH64" i="3"/>
  <c r="AH67" i="3"/>
  <c r="AH72" i="3"/>
  <c r="AH75" i="3"/>
  <c r="AH80" i="3"/>
  <c r="AH83" i="3"/>
  <c r="AH88" i="3"/>
  <c r="AH91" i="3"/>
  <c r="AH96" i="3"/>
  <c r="AH99" i="3"/>
  <c r="AH104" i="3"/>
  <c r="AH107" i="3"/>
  <c r="AH112" i="3"/>
  <c r="AH115" i="3"/>
  <c r="AH116" i="3"/>
  <c r="AH120" i="3"/>
  <c r="AH123" i="3"/>
  <c r="AH124" i="3"/>
  <c r="AH128" i="3"/>
  <c r="AH131" i="3"/>
  <c r="AH132" i="3"/>
  <c r="AH136" i="3"/>
  <c r="AH139" i="3"/>
  <c r="AH140" i="3"/>
  <c r="AH144" i="3"/>
  <c r="AH147" i="3"/>
  <c r="AH148" i="3"/>
  <c r="AH152" i="3"/>
  <c r="AH155" i="3"/>
  <c r="AH156" i="3"/>
  <c r="AH160" i="3"/>
  <c r="AH163" i="3"/>
  <c r="AH164" i="3"/>
  <c r="AH9" i="3"/>
  <c r="AH25" i="3"/>
  <c r="AH33" i="3"/>
  <c r="AH41" i="3"/>
  <c r="AH69" i="3"/>
  <c r="AH85" i="3"/>
  <c r="AH100" i="3"/>
  <c r="AH108" i="3"/>
  <c r="AH23" i="3"/>
  <c r="AH4" i="3"/>
  <c r="AH12" i="3"/>
  <c r="AH28" i="3"/>
  <c r="AH36" i="3"/>
  <c r="AH44" i="3"/>
  <c r="AH93" i="3"/>
  <c r="AH101" i="3"/>
  <c r="AH5" i="3"/>
  <c r="AH3" i="3"/>
  <c r="AH11" i="3"/>
  <c r="AH19" i="3"/>
  <c r="AH27" i="3"/>
  <c r="AH35" i="3"/>
  <c r="AH43" i="3"/>
  <c r="AH52" i="3"/>
  <c r="AH55" i="3"/>
  <c r="AH60" i="3"/>
  <c r="AH63" i="3"/>
  <c r="AH68" i="3"/>
  <c r="AH71" i="3"/>
  <c r="AH76" i="3"/>
  <c r="AH79" i="3"/>
  <c r="AH84" i="3"/>
  <c r="AH87" i="3"/>
  <c r="AH92" i="3"/>
  <c r="AH95" i="3"/>
  <c r="AH103" i="3"/>
  <c r="AH111" i="3"/>
  <c r="AH119" i="3"/>
  <c r="AH127" i="3"/>
  <c r="AH135" i="3"/>
  <c r="AH143" i="3"/>
  <c r="AH151" i="3"/>
  <c r="AH15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tc={913A2E4B-1354-462B-8FD8-ECA53DB68370}</author>
  </authors>
  <commentList>
    <comment ref="D1" authorId="0" shapeId="0" xr:uid="{913A2E4B-1354-462B-8FD8-ECA53DB68370}">
      <text>
        <t>[Threaded comment]
Your version of Excel allows you to read this threaded comment; however, any edits to it will get removed if the file is opened in a newer version of Excel. Learn more: https://go.microsoft.com/fwlink/?linkid=870924
Comment:
    In fact it’s 2023, but we name it 2022 to avoid bug in lca calculation = to be changed soon</t>
      </text>
    </comment>
  </commentList>
</comments>
</file>

<file path=xl/sharedStrings.xml><?xml version="1.0" encoding="utf-8"?>
<sst xmlns="http://schemas.openxmlformats.org/spreadsheetml/2006/main" count="3303" uniqueCount="285">
  <si>
    <t>Metal_proj</t>
  </si>
  <si>
    <t>Metal_ei</t>
  </si>
  <si>
    <t>Aluminium</t>
  </si>
  <si>
    <t>Arsenic</t>
  </si>
  <si>
    <t>Boron</t>
  </si>
  <si>
    <t>Cadmium</t>
  </si>
  <si>
    <t>Chromium</t>
  </si>
  <si>
    <t>Cobalt</t>
  </si>
  <si>
    <t>Copper</t>
  </si>
  <si>
    <t>Dysprosium</t>
  </si>
  <si>
    <t>Gallium</t>
  </si>
  <si>
    <t>Ferromanganese</t>
  </si>
  <si>
    <t>Germanium</t>
  </si>
  <si>
    <t>Ferronickel</t>
  </si>
  <si>
    <t>Graphite</t>
  </si>
  <si>
    <t>Indium</t>
  </si>
  <si>
    <t>Iridium</t>
  </si>
  <si>
    <t>Lead</t>
  </si>
  <si>
    <t>Lithium</t>
  </si>
  <si>
    <t>Manganese</t>
  </si>
  <si>
    <t>Molybdenum</t>
  </si>
  <si>
    <t>Neodymium</t>
  </si>
  <si>
    <t>Nickel</t>
  </si>
  <si>
    <t>PGM</t>
  </si>
  <si>
    <t>Praseodymium</t>
  </si>
  <si>
    <t>Platinum</t>
  </si>
  <si>
    <t>Selenium</t>
  </si>
  <si>
    <t>Silicon</t>
  </si>
  <si>
    <t>Silver</t>
  </si>
  <si>
    <t>Tellurium</t>
  </si>
  <si>
    <t>Terbium</t>
  </si>
  <si>
    <t>Tin</t>
  </si>
  <si>
    <t>Vanadium</t>
  </si>
  <si>
    <t>Yttrium</t>
  </si>
  <si>
    <t>Zinc</t>
  </si>
  <si>
    <t>Zirconium</t>
  </si>
  <si>
    <t>Technology</t>
  </si>
  <si>
    <t>Detail</t>
  </si>
  <si>
    <t>Metal</t>
  </si>
  <si>
    <t>Scenario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</si>
  <si>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</si>
  <si>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</si>
  <si>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</si>
  <si>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</si>
  <si>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</si>
  <si>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</si>
  <si>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</si>
  <si>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</si>
  <si>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</si>
  <si>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</si>
  <si>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</si>
  <si>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</si>
  <si>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</si>
  <si>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</si>
  <si>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</si>
  <si>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</si>
  <si>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</si>
  <si>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</si>
  <si>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</si>
  <si>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</si>
  <si>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</si>
  <si>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</si>
  <si>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</si>
  <si>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</si>
  <si>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</si>
  <si>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</si>
  <si>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</si>
  <si>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</si>
  <si>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</si>
  <si>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cum_demand</t>
  </si>
  <si>
    <t>Electricity Networks</t>
  </si>
  <si>
    <t>Wire</t>
  </si>
  <si>
    <t>SPS</t>
  </si>
  <si>
    <t>APS</t>
  </si>
  <si>
    <t>NZE</t>
  </si>
  <si>
    <t>Solar PV</t>
  </si>
  <si>
    <t>GaAs</t>
  </si>
  <si>
    <t>Wind</t>
  </si>
  <si>
    <t>PMSG</t>
  </si>
  <si>
    <t>CdTe</t>
  </si>
  <si>
    <t>Other</t>
  </si>
  <si>
    <t>Geothermal</t>
  </si>
  <si>
    <t>Steel</t>
  </si>
  <si>
    <t>Battery Storage</t>
  </si>
  <si>
    <t>Battery</t>
  </si>
  <si>
    <t>EV</t>
  </si>
  <si>
    <t>Hydrogen</t>
  </si>
  <si>
    <t>All</t>
  </si>
  <si>
    <t>CIGS, GaAs</t>
  </si>
  <si>
    <t>a-Si</t>
  </si>
  <si>
    <t>CIGS</t>
  </si>
  <si>
    <t>PSC</t>
  </si>
  <si>
    <t>a-Si, c-Si</t>
  </si>
  <si>
    <t>c-Si</t>
  </si>
  <si>
    <t>Coating</t>
  </si>
  <si>
    <t>Market</t>
  </si>
  <si>
    <t>Reference Product</t>
  </si>
  <si>
    <t>Location</t>
  </si>
  <si>
    <t>market for aluminium, wrought alloy (SM)</t>
  </si>
  <si>
    <t>aluminium, wrought alloy</t>
  </si>
  <si>
    <t>World</t>
  </si>
  <si>
    <t>market for arsine</t>
  </si>
  <si>
    <t>arsine</t>
  </si>
  <si>
    <t>GLO</t>
  </si>
  <si>
    <t>market for boric oxide</t>
  </si>
  <si>
    <t>boric oxide</t>
  </si>
  <si>
    <t>market for cadmium, semiconductor-grade</t>
  </si>
  <si>
    <t>cadmium, semiconductor-grade</t>
  </si>
  <si>
    <t>market for ferrochromium, high-carbon, 68% Cr</t>
  </si>
  <si>
    <t>ferrochromium, high-carbon, 68% Cr</t>
  </si>
  <si>
    <t>market for cobalt sulfate (SM)</t>
  </si>
  <si>
    <t>cobalt sulfate</t>
  </si>
  <si>
    <t>market for copper, cathode (SM)</t>
  </si>
  <si>
    <t>copper, cathode</t>
  </si>
  <si>
    <t>market for dysprosium oxide</t>
  </si>
  <si>
    <t>dysprosium oxide</t>
  </si>
  <si>
    <t>market for ferromanganese, high-coal, 74.5% Mn</t>
  </si>
  <si>
    <t>ferromanganese, high-coal, 74.5% Mn</t>
  </si>
  <si>
    <t>market for ferronickel</t>
  </si>
  <si>
    <t>ferronickel</t>
  </si>
  <si>
    <t>market for gallium, semiconductor-grade</t>
  </si>
  <si>
    <t>gallium, semiconductor-grade</t>
  </si>
  <si>
    <t>market for graphite, battery grade</t>
  </si>
  <si>
    <t>graphite, battery grade</t>
  </si>
  <si>
    <t>CN</t>
  </si>
  <si>
    <t>market for indium</t>
  </si>
  <si>
    <t>indium</t>
  </si>
  <si>
    <t>platinum group metal, extraction and refinery operations</t>
  </si>
  <si>
    <t>iridium</t>
  </si>
  <si>
    <t>RU</t>
  </si>
  <si>
    <t>market for lead</t>
  </si>
  <si>
    <t>lead</t>
  </si>
  <si>
    <t>market for lithium carbonate, battery grade (SM)</t>
  </si>
  <si>
    <t>lithium carbonate, battery grade</t>
  </si>
  <si>
    <t>market for lithium carbonate, battery grade</t>
  </si>
  <si>
    <t>market for manganese sulfate</t>
  </si>
  <si>
    <t>manganese sulfate</t>
  </si>
  <si>
    <t>market for molybdenite</t>
  </si>
  <si>
    <t>molybdenite</t>
  </si>
  <si>
    <t>market for neodymium oxide</t>
  </si>
  <si>
    <t>neodymium oxide</t>
  </si>
  <si>
    <t>market for nickel, class 1 (SM)</t>
  </si>
  <si>
    <t>nickel, class 1</t>
  </si>
  <si>
    <t>market for platinum</t>
  </si>
  <si>
    <t>platinum</t>
  </si>
  <si>
    <t>market for praseodymium oxide</t>
  </si>
  <si>
    <t>praseodymium oxide</t>
  </si>
  <si>
    <t>market for selenium</t>
  </si>
  <si>
    <t>selenium</t>
  </si>
  <si>
    <t>market for silicon, metallurgical grade</t>
  </si>
  <si>
    <t>silicon, metallurgical grade</t>
  </si>
  <si>
    <t>market for silver</t>
  </si>
  <si>
    <t>silver</t>
  </si>
  <si>
    <t>market for tellurium, semiconductor-grade</t>
  </si>
  <si>
    <t>tellurium, semiconductor-grade</t>
  </si>
  <si>
    <t>market for terbium oxide</t>
  </si>
  <si>
    <t>terbium oxide</t>
  </si>
  <si>
    <t>market for tin</t>
  </si>
  <si>
    <t>tin</t>
  </si>
  <si>
    <t>vanadium pentoxide production</t>
  </si>
  <si>
    <t>vanadium pentoxide</t>
  </si>
  <si>
    <t>ZA</t>
  </si>
  <si>
    <t>market for zinc</t>
  </si>
  <si>
    <t>zinc</t>
  </si>
  <si>
    <t>market for zirconium oxide</t>
  </si>
  <si>
    <t>zirconium oxide</t>
  </si>
  <si>
    <t>No market in EI3.8?</t>
  </si>
  <si>
    <t>Market for PGM is chosen</t>
  </si>
  <si>
    <t>Market for platinum is chosen</t>
  </si>
  <si>
    <t>Hypothesis made based on manganese</t>
  </si>
  <si>
    <t>Hypothesis made based on nickel</t>
  </si>
  <si>
    <t>Mineral demand for clean energy technologies - by mineral (kt)</t>
  </si>
  <si>
    <t>Stated Policies scenario</t>
  </si>
  <si>
    <t>Announced Pledges scenario</t>
  </si>
  <si>
    <t>Net Zero Emissions by 2050 scenario</t>
  </si>
  <si>
    <t>Battery-grade graphite</t>
  </si>
  <si>
    <t>Hafnium</t>
  </si>
  <si>
    <t>Magnesium</t>
  </si>
  <si>
    <t>Niobium</t>
  </si>
  <si>
    <t>PGMs (other than iridum)</t>
  </si>
  <si>
    <t>Tantalum</t>
  </si>
  <si>
    <t>Titanium</t>
  </si>
  <si>
    <t>Tungsten</t>
  </si>
  <si>
    <t>Lanthanum</t>
  </si>
  <si>
    <t>Total rare earth elements</t>
  </si>
  <si>
    <t>Total</t>
  </si>
  <si>
    <t>No EI3.8 for:</t>
  </si>
  <si>
    <t>Mineral demand for clean energy technologies - by mineral and sector (kt)</t>
  </si>
  <si>
    <t>Other low emissions power generation</t>
  </si>
  <si>
    <t>Total chromium</t>
  </si>
  <si>
    <t>Electric vehicles</t>
  </si>
  <si>
    <t>Grid battery storage</t>
  </si>
  <si>
    <t>Electricity networks</t>
  </si>
  <si>
    <t>Hydrogen technologies</t>
  </si>
  <si>
    <t>Total copper</t>
  </si>
  <si>
    <t>Low emissions power generation</t>
  </si>
  <si>
    <t>Total cobalt</t>
  </si>
  <si>
    <t>Total battery-grade graphite</t>
  </si>
  <si>
    <t>Total Lithium</t>
  </si>
  <si>
    <t>Total Manganese</t>
  </si>
  <si>
    <t>Total Molybdenum</t>
  </si>
  <si>
    <t>Total Nickel</t>
  </si>
  <si>
    <t>PGMs</t>
  </si>
  <si>
    <t>Total PGMs</t>
  </si>
  <si>
    <t>Total Silicon</t>
  </si>
  <si>
    <t>Total Silver</t>
  </si>
  <si>
    <t>Total Zinc</t>
  </si>
  <si>
    <t>Total Neodymium</t>
  </si>
  <si>
    <t>No technology for, to put in 'Other':</t>
  </si>
  <si>
    <t>Graphite (battery-grade)</t>
  </si>
  <si>
    <r>
      <rPr>
        <b/>
        <sz val="11"/>
        <color theme="1"/>
        <rFont val="Calibri"/>
        <family val="2"/>
        <scheme val="minor"/>
      </rPr>
      <t>Title of the article</t>
    </r>
    <r>
      <rPr>
        <sz val="11"/>
        <color theme="1"/>
        <rFont val="Calibri"/>
        <family val="2"/>
        <scheme val="minor"/>
      </rPr>
      <t>:  "Metals for the Energy Transition: A Heavy Environmental Burden to Life?"</t>
    </r>
  </si>
  <si>
    <r>
      <rPr>
        <b/>
        <sz val="11"/>
        <color theme="1"/>
        <rFont val="Calibri"/>
        <family val="2"/>
        <scheme val="minor"/>
      </rPr>
      <t>Authors</t>
    </r>
    <r>
      <rPr>
        <sz val="11"/>
        <color theme="1"/>
        <rFont val="Calibri"/>
        <family val="2"/>
        <scheme val="minor"/>
      </rPr>
      <t>: Anne de Bortoli, Marin Pellan, Marguerite Fauroux</t>
    </r>
  </si>
  <si>
    <r>
      <rPr>
        <b/>
        <sz val="11"/>
        <color theme="1"/>
        <rFont val="Calibri"/>
        <family val="2"/>
        <scheme val="minor"/>
      </rPr>
      <t>Affiliations</t>
    </r>
    <r>
      <rPr>
        <sz val="11"/>
        <color theme="1"/>
        <rFont val="Calibri"/>
        <family val="2"/>
        <scheme val="minor"/>
      </rPr>
      <t xml:space="preserve">: </t>
    </r>
  </si>
  <si>
    <r>
      <rPr>
        <b/>
        <sz val="11"/>
        <color theme="1"/>
        <rFont val="Calibri"/>
        <family val="2"/>
        <scheme val="minor"/>
      </rPr>
      <t>Journal</t>
    </r>
    <r>
      <rPr>
        <sz val="11"/>
        <color theme="1"/>
        <rFont val="Calibri"/>
        <family val="2"/>
        <scheme val="minor"/>
      </rPr>
      <t>: Joule</t>
    </r>
  </si>
  <si>
    <t>TAB_NAME</t>
  </si>
  <si>
    <t>DESCRIPTION</t>
  </si>
  <si>
    <t>SOURCE</t>
  </si>
  <si>
    <t>https://www.iea.org/data-and-statistics/data-tools/critical-minerals-data-explorer
https://www.iea.org/data-and-statistics/data-product/critical-minerals-dataset</t>
  </si>
  <si>
    <t>EI_MARKETS</t>
  </si>
  <si>
    <t>List of 37 metals in the 2024 version with details per technology when available. Data is given in kt.</t>
  </si>
  <si>
    <t>Old list of x metals extracted in January 2024. Data is given in kt.</t>
  </si>
  <si>
    <t>Associated ecoinvent 3.10 activities for each metals and technology.</t>
  </si>
  <si>
    <t>x</t>
  </si>
  <si>
    <t>market for hafnium sponge</t>
  </si>
  <si>
    <t>hafnium sponge</t>
  </si>
  <si>
    <t>market for lanthanum oxide</t>
  </si>
  <si>
    <t>lanthanum oxide</t>
  </si>
  <si>
    <t>market for magnesium</t>
  </si>
  <si>
    <t>magnesium</t>
  </si>
  <si>
    <t>market for ferroniobium, 66% Nb</t>
  </si>
  <si>
    <t>ferroniobium, 66% Nb</t>
  </si>
  <si>
    <t>market for tantalum powder, capacitor-grade</t>
  </si>
  <si>
    <t>tantalum powder, capacitor-grade</t>
  </si>
  <si>
    <t>market for titanium</t>
  </si>
  <si>
    <t>titanium</t>
  </si>
  <si>
    <t>market for tungsten carbide powder</t>
  </si>
  <si>
    <t>tungsten carbide powder</t>
  </si>
  <si>
    <t>market for yttrium oxide</t>
  </si>
  <si>
    <t>yttrium oxide</t>
  </si>
  <si>
    <t>Z</t>
  </si>
  <si>
    <t>Symbol</t>
  </si>
  <si>
    <t>Category</t>
  </si>
  <si>
    <t>REE</t>
  </si>
  <si>
    <t>Al</t>
  </si>
  <si>
    <t>As</t>
  </si>
  <si>
    <t>C</t>
  </si>
  <si>
    <t>B</t>
  </si>
  <si>
    <t>Cd</t>
  </si>
  <si>
    <t>Cr</t>
  </si>
  <si>
    <t>Co</t>
  </si>
  <si>
    <t>Cu</t>
  </si>
  <si>
    <t>Dy</t>
  </si>
  <si>
    <t>Ga</t>
  </si>
  <si>
    <t>Ge</t>
  </si>
  <si>
    <t>Hf</t>
  </si>
  <si>
    <t>In</t>
  </si>
  <si>
    <t>Ir</t>
  </si>
  <si>
    <t>La</t>
  </si>
  <si>
    <t>Pb</t>
  </si>
  <si>
    <t>Li</t>
  </si>
  <si>
    <t>Mg</t>
  </si>
  <si>
    <t>Mn</t>
  </si>
  <si>
    <t>Mo</t>
  </si>
  <si>
    <t>Nd</t>
  </si>
  <si>
    <t>Ni</t>
  </si>
  <si>
    <t>Nb</t>
  </si>
  <si>
    <t>Pr</t>
  </si>
  <si>
    <t>Se</t>
  </si>
  <si>
    <t>Si</t>
  </si>
  <si>
    <t>Ag</t>
  </si>
  <si>
    <t>Ta</t>
  </si>
  <si>
    <t>Te</t>
  </si>
  <si>
    <t>Tb</t>
  </si>
  <si>
    <t>Sn</t>
  </si>
  <si>
    <t>Ti</t>
  </si>
  <si>
    <t>W</t>
  </si>
  <si>
    <t>V</t>
  </si>
  <si>
    <t>Y</t>
  </si>
  <si>
    <t>Zn</t>
  </si>
  <si>
    <t>Zr</t>
  </si>
  <si>
    <t xml:space="preserve">Thus contains: Ruthenium, Rhodium Palladium, Osmium and Platinum </t>
  </si>
  <si>
    <t>Subcategory</t>
  </si>
  <si>
    <t>IEA_demand</t>
  </si>
  <si>
    <t>IEA_demand_old</t>
  </si>
  <si>
    <t>Rest of the economy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</si>
</sst>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"/>
    <numFmt numFmtId="167" formatCode="0.0000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5"/>
      <color theme="0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i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C000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">
    <xf numFmtId="0" fontId="0" fillId="0" borderId="0"/>
    <xf numFmtId="0" fontId="6" fillId="0" borderId="1" applyNumberFormat="0" applyFill="0" applyAlignment="0" applyProtection="0"/>
    <xf numFmtId="0" fontId="7" fillId="0" borderId="2" applyNumberFormat="0" applyFill="0" applyAlignment="0" applyProtection="0"/>
    <xf numFmtId="0" fontId="1" fillId="0" borderId="3" applyNumberFormat="0" applyFill="0" applyAlignment="0" applyProtection="0"/>
    <xf numFmtId="0" fontId="5" fillId="3" borderId="0" applyNumberFormat="0" applyBorder="0" applyAlignment="0" applyProtection="0"/>
    <xf numFmtId="0" fontId="15" fillId="0" borderId="0" applyNumberFormat="0" applyFill="0" applyBorder="0" applyAlignment="0" applyProtection="0"/>
  </cellStyleXfs>
  <cellXfs count="60">
    <xf numFmtId="0" fontId="0" fillId="0" borderId="0" xfId="0"/>
    <xf numFmtId="0" fontId="0" fillId="2" borderId="0" xfId="0" applyFill="1"/>
    <xf numFmtId="0" fontId="2" fillId="0" borderId="0" xfId="0" applyFont="1"/>
    <xf numFmtId="0" fontId="3" fillId="0" borderId="0" xfId="0" applyFon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2" fontId="2" fillId="0" borderId="0" xfId="0" applyNumberFormat="1" applyFont="1"/>
    <xf numFmtId="1" fontId="2" fillId="0" borderId="0" xfId="0" applyNumberFormat="1" applyFont="1" applyAlignment="1">
      <alignment wrapText="1"/>
    </xf>
    <xf numFmtId="1" fontId="4" fillId="0" borderId="0" xfId="0" applyNumberFormat="1" applyFont="1"/>
    <xf numFmtId="165" fontId="4" fillId="0" borderId="0" xfId="0" applyNumberFormat="1" applyFont="1"/>
    <xf numFmtId="0" fontId="1" fillId="0" borderId="0" xfId="0" applyFont="1"/>
    <xf numFmtId="0" fontId="0" fillId="4" borderId="0" xfId="0" applyFill="1"/>
    <xf numFmtId="0" fontId="10" fillId="4" borderId="0" xfId="0" applyFont="1" applyFill="1"/>
    <xf numFmtId="0" fontId="11" fillId="5" borderId="0" xfId="1" applyFont="1" applyFill="1" applyBorder="1" applyAlignment="1">
      <alignment horizontal="centerContinuous"/>
    </xf>
    <xf numFmtId="0" fontId="8" fillId="5" borderId="0" xfId="0" applyFont="1" applyFill="1" applyAlignment="1">
      <alignment horizontal="centerContinuous"/>
    </xf>
    <xf numFmtId="0" fontId="8" fillId="4" borderId="0" xfId="0" applyFont="1" applyFill="1"/>
    <xf numFmtId="0" fontId="11" fillId="6" borderId="0" xfId="1" applyFont="1" applyFill="1" applyBorder="1" applyAlignment="1">
      <alignment horizontal="centerContinuous"/>
    </xf>
    <xf numFmtId="0" fontId="8" fillId="6" borderId="0" xfId="0" applyFont="1" applyFill="1" applyAlignment="1">
      <alignment horizontal="centerContinuous"/>
    </xf>
    <xf numFmtId="0" fontId="11" fillId="7" borderId="0" xfId="1" applyFont="1" applyFill="1" applyBorder="1" applyAlignment="1">
      <alignment horizontal="centerContinuous"/>
    </xf>
    <xf numFmtId="0" fontId="8" fillId="7" borderId="0" xfId="0" applyFont="1" applyFill="1" applyAlignment="1">
      <alignment horizontal="centerContinuous"/>
    </xf>
    <xf numFmtId="0" fontId="6" fillId="4" borderId="1" xfId="1" applyFill="1"/>
    <xf numFmtId="0" fontId="12" fillId="4" borderId="0" xfId="0" applyFont="1" applyFill="1"/>
    <xf numFmtId="164" fontId="0" fillId="4" borderId="0" xfId="0" applyNumberFormat="1" applyFill="1"/>
    <xf numFmtId="0" fontId="13" fillId="4" borderId="0" xfId="4" applyFont="1" applyFill="1"/>
    <xf numFmtId="164" fontId="13" fillId="4" borderId="0" xfId="4" applyNumberFormat="1" applyFont="1" applyFill="1"/>
    <xf numFmtId="0" fontId="1" fillId="4" borderId="3" xfId="3" applyFill="1"/>
    <xf numFmtId="164" fontId="1" fillId="4" borderId="3" xfId="3" applyNumberFormat="1" applyFill="1"/>
    <xf numFmtId="0" fontId="14" fillId="0" borderId="0" xfId="0" applyFont="1"/>
    <xf numFmtId="0" fontId="7" fillId="4" borderId="2" xfId="2" applyFill="1"/>
    <xf numFmtId="2" fontId="0" fillId="4" borderId="0" xfId="0" applyNumberFormat="1" applyFill="1"/>
    <xf numFmtId="0" fontId="13" fillId="4" borderId="0" xfId="0" applyFont="1" applyFill="1"/>
    <xf numFmtId="2" fontId="13" fillId="4" borderId="0" xfId="0" applyNumberFormat="1" applyFont="1" applyFill="1"/>
    <xf numFmtId="2" fontId="1" fillId="4" borderId="3" xfId="3" applyNumberFormat="1" applyFill="1"/>
    <xf numFmtId="165" fontId="0" fillId="4" borderId="0" xfId="0" applyNumberFormat="1" applyFill="1"/>
    <xf numFmtId="165" fontId="1" fillId="4" borderId="3" xfId="3" applyNumberFormat="1" applyFill="1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5" fillId="0" borderId="0" xfId="5" applyAlignment="1">
      <alignment wrapText="1"/>
    </xf>
    <xf numFmtId="0" fontId="9" fillId="0" borderId="0" xfId="0" applyFont="1"/>
    <xf numFmtId="167" fontId="0" fillId="0" borderId="0" xfId="0" applyNumberFormat="1" applyAlignment="1">
      <alignment horizontal="left" vertical="top"/>
    </xf>
    <xf numFmtId="0" fontId="0" fillId="8" borderId="0" xfId="0" applyFill="1"/>
    <xf numFmtId="0" fontId="3" fillId="8" borderId="0" xfId="0" applyFont="1" applyFill="1"/>
    <xf numFmtId="0" fontId="2" fillId="8" borderId="0" xfId="0" applyFont="1" applyFill="1"/>
    <xf numFmtId="1" fontId="2" fillId="8" borderId="0" xfId="0" applyNumberFormat="1" applyFont="1" applyFill="1"/>
    <xf numFmtId="1" fontId="0" fillId="8" borderId="0" xfId="0" applyNumberFormat="1" applyFill="1"/>
    <xf numFmtId="0" fontId="0" fillId="9" borderId="0" xfId="0" applyFill="1"/>
    <xf numFmtId="0" fontId="0" fillId="10" borderId="0" xfId="0" applyFill="1"/>
    <xf numFmtId="167" fontId="0" fillId="10" borderId="0" xfId="0" applyNumberFormat="1" applyFill="1" applyAlignment="1">
      <alignment horizontal="left" vertical="top"/>
    </xf>
    <xf numFmtId="0" fontId="0" fillId="11" borderId="0" xfId="0" applyFill="1"/>
    <xf numFmtId="167" fontId="0" fillId="11" borderId="0" xfId="0" applyNumberFormat="1" applyFill="1" applyAlignment="1">
      <alignment horizontal="left" vertical="top"/>
    </xf>
    <xf numFmtId="2" fontId="2" fillId="0" borderId="0" xfId="0" applyNumberFormat="1" applyFont="1" applyAlignment="1">
      <alignment horizontal="center" vertical="center"/>
    </xf>
    <xf numFmtId="2" fontId="0" fillId="8" borderId="0" xfId="0" applyNumberFormat="1" applyFill="1"/>
    <xf numFmtId="2" fontId="0" fillId="9" borderId="0" xfId="0" applyNumberFormat="1" applyFill="1"/>
    <xf numFmtId="0" fontId="1" fillId="11" borderId="0" xfId="0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11" borderId="0" xfId="0" applyFont="1" applyFill="1" applyAlignment="1">
      <alignment horizontal="center" vertical="center"/>
    </xf>
  </cellXfs>
  <cellStyles count="6">
    <cellStyle name="20% - Accent1" xfId="4" builtinId="30"/>
    <cellStyle name="Heading 1" xfId="1" builtinId="16"/>
    <cellStyle name="Heading 2" xfId="2" builtinId="17"/>
    <cellStyle name="Hyperlink" xfId="5" builtinId="8"/>
    <cellStyle name="Normal" xfId="0" builtinId="0"/>
    <cellStyle name="Total" xfId="3" builtinId="25"/>
  </cellStyles>
  <dxfs count="48">
    <dxf>
      <numFmt numFmtId="164" formatCode="0.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arin PELLAN" id="{F3B32AF7-C3BA-4B87-B03A-106F2556175D}" userId="S::marin.pellan@polymtlus.ca::b769edc3-00f3-432c-88ea-f74fb5c6c1e4" providerId="AD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3CDC87C-E3F1-4F0A-BEED-AF318C5F61DA}" name="Tableau17" displayName="Tableau17" ref="A1:M105" totalsRowShown="0" headerRowDxfId="47">
  <autoFilter ref="A1:M105" xr:uid="{83CDC87C-E3F1-4F0A-BEED-AF318C5F61DA}">
    <filterColumn colId="4">
      <filters>
        <filter val="World"/>
      </filters>
    </filterColumn>
  </autoFilter>
  <tableColumns count="13">
    <tableColumn id="1" xr3:uid="{CC58A815-7A99-4EC9-BACA-BDB40484C388}" name="Metal" dataDxfId="46"/>
    <tableColumn id="2" xr3:uid="{F9284E75-A4C2-42D8-B551-2AA5533627FC}" name="Technology" dataDxfId="45"/>
    <tableColumn id="3" xr3:uid="{1DEAE3A6-1C16-4A11-8B0C-43D770D9878F}" name="Market" dataDxfId="44"/>
    <tableColumn id="14" xr3:uid="{FDFB2A9E-4ECD-466F-B086-41656E750EF1}" name="Reference Product" dataDxfId="43"/>
    <tableColumn id="13" xr3:uid="{8F8EA08C-00C6-49CD-9AEC-648E1CEBF89A}" name="Location" dataDxfId="42"/>
    <tableColumn id="4" xr3:uid="{61EE4466-8C96-4FE2-B4D3-3BAB657D608E}" name="Scenario" dataDxfId="41"/>
    <tableColumn id="5" xr3:uid="{30E1C832-56F9-48C7-8120-12C6E9757CA1}" name="2022" dataDxfId="40"/>
    <tableColumn id="6" xr3:uid="{FF5C53FF-74A3-40F7-97FB-F570D22EDBF7}" name="2025" dataDxfId="39"/>
    <tableColumn id="7" xr3:uid="{FB5723CF-CC5F-41B2-8003-730F5049E188}" name="2030" dataDxfId="38"/>
    <tableColumn id="8" xr3:uid="{0E723534-D57D-4823-99FF-E02106A0E2E5}" name="2035" dataDxfId="37"/>
    <tableColumn id="9" xr3:uid="{5C0A802C-D9F1-42B6-8378-800EFECF84AA}" name="2040" dataDxfId="36"/>
    <tableColumn id="10" xr3:uid="{2A132469-7E0F-437D-B8BD-362C8D0BBD77}" name="2045" dataDxfId="35"/>
    <tableColumn id="11" xr3:uid="{FD709EB4-075F-4B8F-A5A6-7E25BAD8C6A8}" name="2050" dataDxfId="34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83709C-586D-43D8-9B89-F0B93682E03F}" name="Tableau2" displayName="Tableau2" ref="A1:AH165" totalsRowShown="0">
  <autoFilter ref="A1:AH165" xr:uid="{8083709C-586D-43D8-9B89-F0B93682E03F}">
    <filterColumn colId="3">
      <filters>
        <filter val="NZE"/>
        <filter val="SPS"/>
      </filters>
    </filterColumn>
  </autoFilter>
  <sortState xmlns:xlrd2="http://schemas.microsoft.com/office/spreadsheetml/2017/richdata2" ref="A2:AH165">
    <sortCondition ref="C1:C165"/>
  </sortState>
  <tableColumns count="34">
    <tableColumn id="1" xr3:uid="{6FC35335-9A5A-4986-B771-BC9E40BDD8EE}" name="Technology" dataDxfId="33"/>
    <tableColumn id="2" xr3:uid="{27DCF9E6-7F09-47EC-AB16-D68ED400B9BD}" name="Detail" dataDxfId="32"/>
    <tableColumn id="3" xr3:uid="{491D75EE-BD2A-4A4A-9124-D00A347EF59F}" name="Metal" dataDxfId="31"/>
    <tableColumn id="4" xr3:uid="{551F3828-009B-499A-B129-1F5F6A1C7E2D}" name="Scenario" dataDxfId="30"/>
    <tableColumn id="5" xr3:uid="{B4921B8C-D7E6-46E8-9CD4-6E2095996CF4}" name="2022" dataDxfId="29"/>
    <tableColumn id="6" xr3:uid="{92FD0EC1-2A5F-4A32-9912-AC7976F71EB9}" name="2023" dataDxfId="28">
      <calculatedColumnFormula>(($H2-$E2)/($H$1-$E$1))*(F$1-$E$1)+$E2</calculatedColumnFormula>
    </tableColumn>
    <tableColumn id="7" xr3:uid="{20818FE0-8D98-4E36-97D6-807BE5BF1824}" name="2024" dataDxfId="27">
      <calculatedColumnFormula>(($H2-$E2)/($H$1-$E$1))*(G$1-$E$1)+$E2</calculatedColumnFormula>
    </tableColumn>
    <tableColumn id="8" xr3:uid="{C32B358C-85F2-4793-8E98-63326617DC28}" name="2025" dataDxfId="26"/>
    <tableColumn id="9" xr3:uid="{7D45E301-3452-4647-8EEE-D2D9A6A36756}" name="2026" dataDxfId="25">
      <calculatedColumnFormula>(($M2-$H2)/($M$1-$H$1))*(I$1-$H$1)+$H2</calculatedColumnFormula>
    </tableColumn>
    <tableColumn id="10" xr3:uid="{9BB39F37-E511-4FF6-8EC3-85EA6BC96F3A}" name="2027" dataDxfId="24">
      <calculatedColumnFormula>(($M2-$H2)/($M$1-$H$1))*(J$1-$H$1)+$H2</calculatedColumnFormula>
    </tableColumn>
    <tableColumn id="11" xr3:uid="{8A8562CD-9A80-4404-B700-5ACD05B940AA}" name="2028" dataDxfId="23">
      <calculatedColumnFormula>(($M2-$H2)/($M$1-$H$1))*(K$1-$H$1)+$H2</calculatedColumnFormula>
    </tableColumn>
    <tableColumn id="12" xr3:uid="{AC19F95D-805E-4165-BA8B-7BBF9A7AFE52}" name="2029" dataDxfId="22">
      <calculatedColumnFormula>(($M2-$H2)/($M$1-$H$1))*(L$1-$H$1)+$H2</calculatedColumnFormula>
    </tableColumn>
    <tableColumn id="13" xr3:uid="{FD5119BB-0C05-4083-8D00-D03252B9DBBB}" name="2030" dataDxfId="21"/>
    <tableColumn id="14" xr3:uid="{15749264-A385-4FFF-8BF2-7BBDCF1C576D}" name="2031" dataDxfId="20">
      <calculatedColumnFormula>(($R2-$M2)/($R$1-$M$1))*(N$1-$M$1)+$M2</calculatedColumnFormula>
    </tableColumn>
    <tableColumn id="15" xr3:uid="{A9C45379-A145-45A3-859D-6538696E396F}" name="2032" dataDxfId="19">
      <calculatedColumnFormula>(($R2-$M2)/($R$1-$M$1))*(O$1-$M$1)+$M2</calculatedColumnFormula>
    </tableColumn>
    <tableColumn id="16" xr3:uid="{FF063313-8F11-44B6-88AE-F96CEF6A4738}" name="2033" dataDxfId="18">
      <calculatedColumnFormula>(($R2-$M2)/($R$1-$M$1))*(P$1-$M$1)+$M2</calculatedColumnFormula>
    </tableColumn>
    <tableColumn id="17" xr3:uid="{E5E5FBEB-6F55-4EEB-B362-3C6899627531}" name="2034" dataDxfId="17">
      <calculatedColumnFormula>(($R2-$M2)/($R$1-$M$1))*(Q$1-$M$1)+$M2</calculatedColumnFormula>
    </tableColumn>
    <tableColumn id="18" xr3:uid="{1F0F8638-35F1-4B2B-81CE-5F47A80DD7F2}" name="2035" dataDxfId="16"/>
    <tableColumn id="19" xr3:uid="{12D52CAC-FBA9-4E2C-B9D0-A4E58F8CF1CB}" name="2036" dataDxfId="15">
      <calculatedColumnFormula>(($W2-$R2)/($W$1-$R$1))*(S$1-$R$1)+$R2</calculatedColumnFormula>
    </tableColumn>
    <tableColumn id="20" xr3:uid="{1F818EE9-EA76-4F13-AC14-1D4513D5EB14}" name="2037" dataDxfId="14">
      <calculatedColumnFormula>(($W2-$R2)/($W$1-$R$1))*(T$1-$R$1)+$R2</calculatedColumnFormula>
    </tableColumn>
    <tableColumn id="21" xr3:uid="{B0D9B7FB-01F2-4472-968F-70471C1BEE6A}" name="2038" dataDxfId="13">
      <calculatedColumnFormula>(($W2-$R2)/($W$1-$R$1))*(U$1-$R$1)+$R2</calculatedColumnFormula>
    </tableColumn>
    <tableColumn id="22" xr3:uid="{CBF041EC-DFE7-4F87-8AF2-3F010F367B2C}" name="2039" dataDxfId="12">
      <calculatedColumnFormula>(($W2-$R2)/($W$1-$R$1))*(V$1-$R$1)+$R2</calculatedColumnFormula>
    </tableColumn>
    <tableColumn id="23" xr3:uid="{F6DDB4D3-E8C4-467D-9C64-769D9165467C}" name="2040" dataDxfId="11"/>
    <tableColumn id="24" xr3:uid="{99AD1E3C-BA66-4551-B283-D4745A0EA89B}" name="2041" dataDxfId="10">
      <calculatedColumnFormula>(($AB2-$W2)/($AB$1-$W$1))*(X$1-$W$1)+$W2</calculatedColumnFormula>
    </tableColumn>
    <tableColumn id="25" xr3:uid="{FCDC0BEC-F8DE-45C2-B5CC-8A1244D82448}" name="2042" dataDxfId="9">
      <calculatedColumnFormula>(($AB2-$W2)/($AB$1-$W$1))*(Y$1-$W$1)+$W2</calculatedColumnFormula>
    </tableColumn>
    <tableColumn id="26" xr3:uid="{A32339EC-F843-4176-970A-3819D4C325E1}" name="2043" dataDxfId="8">
      <calculatedColumnFormula>(($AB2-$W2)/($AB$1-$W$1))*(Z$1-$W$1)+$W2</calculatedColumnFormula>
    </tableColumn>
    <tableColumn id="27" xr3:uid="{7F88945F-F262-40D8-BF03-5F3850979DC8}" name="2044" dataDxfId="7">
      <calculatedColumnFormula>(($AB2-$W2)/($AB$1-$W$1))*(AA$1-$W$1)+$W2</calculatedColumnFormula>
    </tableColumn>
    <tableColumn id="28" xr3:uid="{D6DB91BE-D5CC-4271-82E7-FF11BBD86C82}" name="2045" dataDxfId="6"/>
    <tableColumn id="29" xr3:uid="{36233501-3724-4077-A7AC-8602B3216D37}" name="2046" dataDxfId="5">
      <calculatedColumnFormula>(($AG2-$AB2)/($AG$1-$AB$1))*(AC$1-$AB$1)+$AB2</calculatedColumnFormula>
    </tableColumn>
    <tableColumn id="30" xr3:uid="{16218DAF-783F-4D65-9C9B-CE1DAF33C2B3}" name="2047" dataDxfId="4">
      <calculatedColumnFormula>(($AG2-$AB2)/($AG$1-$AB$1))*(AD$1-$AB$1)+$AB2</calculatedColumnFormula>
    </tableColumn>
    <tableColumn id="31" xr3:uid="{01D9E0B6-D1F1-4AD1-AC2A-8AB4B3CD5A64}" name="2048" dataDxfId="3">
      <calculatedColumnFormula>(($AG2-$AB2)/($AG$1-$AB$1))*(AE$1-$AB$1)+$AB2</calculatedColumnFormula>
    </tableColumn>
    <tableColumn id="32" xr3:uid="{29699D21-7A7A-43E8-85DC-365BAD02BEB4}" name="2049" dataDxfId="2">
      <calculatedColumnFormula>(($AG2-$AB2)/($AG$1-$AB$1))*(AF$1-$AB$1)+$AB2</calculatedColumnFormula>
    </tableColumn>
    <tableColumn id="33" xr3:uid="{5D29A655-1E62-4F87-AAFE-A145B13A0D1D}" name="2050" dataDxfId="1"/>
    <tableColumn id="34" xr3:uid="{4C12A676-672F-4FC7-A2AB-379B384CAE18}" name="cum_demand" dataDxfId="0">
      <calculatedColumnFormula>SUM(#REF!)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1" dT="2025-04-30T14:43:29.43" personId="{F3B32AF7-C3BA-4B87-B03A-106F2556175D}" id="{913A2E4B-1354-462B-8FD8-ECA53DB68370}">
    <text>In fact it’s 2023, but we name it 2022 to avoid bug in lca calculation = to be changed soon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a.org/data-and-statistics/data-tools/critical-minerals-data-explorer" TargetMode="Externa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C10"/>
  <sheetViews>
    <sheetView workbookViewId="0">
      <selection activeCell="A18" sqref="A18"/>
    </sheetView>
  </sheetViews>
  <sheetFormatPr defaultRowHeight="14.4" x14ac:dyDescent="0.3"/>
  <cols>
    <col min="1" max="1" width="79" bestFit="1" customWidth="1"/>
    <col min="2" max="2" width="67.109375" bestFit="1" customWidth="1"/>
    <col min="3" max="3" width="137.5546875" bestFit="1" customWidth="1"/>
  </cols>
  <sheetData>
    <row r="1" spans="1:3" x14ac:dyDescent="0.3">
      <c r="A1" t="s">
        <v>210</v>
      </c>
    </row>
    <row r="2" spans="1:3" x14ac:dyDescent="0.3">
      <c r="A2" t="s">
        <v>211</v>
      </c>
    </row>
    <row r="3" spans="1:3" x14ac:dyDescent="0.3">
      <c r="A3" t="s">
        <v>212</v>
      </c>
    </row>
    <row r="4" spans="1:3" x14ac:dyDescent="0.3">
      <c r="A4" t="s">
        <v>213</v>
      </c>
    </row>
    <row r="7" spans="1:3" x14ac:dyDescent="0.3">
      <c r="A7" s="14" t="s">
        <v>214</v>
      </c>
      <c r="B7" s="14" t="s">
        <v>215</v>
      </c>
      <c r="C7" s="14" t="s">
        <v>216</v>
      </c>
    </row>
    <row r="8" spans="1:3" ht="43.2" x14ac:dyDescent="0.3">
      <c r="A8" t="s">
        <v>282</v>
      </c>
      <c r="B8" t="s">
        <v>219</v>
      </c>
      <c r="C8" s="41" t="s">
        <v>217</v>
      </c>
    </row>
    <row r="9" spans="1:3" x14ac:dyDescent="0.3">
      <c r="A9" t="s">
        <v>283</v>
      </c>
      <c r="B9" t="s">
        <v>220</v>
      </c>
      <c r="C9" t="s">
        <v>222</v>
      </c>
    </row>
    <row r="10" spans="1:3" x14ac:dyDescent="0.3">
      <c r="A10" t="s">
        <v>218</v>
      </c>
      <c r="B10" t="s">
        <v>221</v>
      </c>
      <c r="C10" t="s">
        <v>222</v>
      </c>
    </row>
  </sheetData>
  <hyperlinks>
    <hyperlink ref="C8" r:id="rId1" display="https://www.iea.org/data-and-statistics/data-tools/critical-minerals-data-explorer" xr:uid="{2B5A35EA-514D-4E0A-999D-836ADEC736B5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88401B-D10E-4787-BDCA-76926E364445}">
  <dimension ref="A1:E39"/>
  <sheetViews>
    <sheetView workbookViewId="0">
      <selection activeCell="H18" sqref="H18"/>
    </sheetView>
  </sheetViews>
  <sheetFormatPr defaultRowHeight="14.4" x14ac:dyDescent="0.3"/>
  <cols>
    <col min="1" max="1" width="4.21875" bestFit="1" customWidth="1"/>
    <col min="2" max="2" width="9.5546875" bestFit="1" customWidth="1"/>
    <col min="3" max="3" width="21.6640625" bestFit="1" customWidth="1"/>
    <col min="4" max="4" width="10.77734375" bestFit="1" customWidth="1"/>
  </cols>
  <sheetData>
    <row r="1" spans="1:5" x14ac:dyDescent="0.3">
      <c r="A1" s="14" t="s">
        <v>239</v>
      </c>
      <c r="B1" s="14" t="s">
        <v>240</v>
      </c>
      <c r="C1" s="14" t="s">
        <v>38</v>
      </c>
      <c r="D1" s="14" t="s">
        <v>241</v>
      </c>
      <c r="E1" s="14" t="s">
        <v>281</v>
      </c>
    </row>
    <row r="2" spans="1:5" x14ac:dyDescent="0.3">
      <c r="A2">
        <v>13</v>
      </c>
      <c r="B2" t="s">
        <v>243</v>
      </c>
      <c r="C2" t="s">
        <v>2</v>
      </c>
    </row>
    <row r="3" spans="1:5" x14ac:dyDescent="0.3">
      <c r="A3">
        <v>33</v>
      </c>
      <c r="B3" t="s">
        <v>244</v>
      </c>
      <c r="C3" t="s">
        <v>3</v>
      </c>
    </row>
    <row r="4" spans="1:5" x14ac:dyDescent="0.3">
      <c r="A4">
        <v>5</v>
      </c>
      <c r="B4" t="s">
        <v>246</v>
      </c>
      <c r="C4" t="s">
        <v>4</v>
      </c>
    </row>
    <row r="5" spans="1:5" x14ac:dyDescent="0.3">
      <c r="A5">
        <v>48</v>
      </c>
      <c r="B5" t="s">
        <v>247</v>
      </c>
      <c r="C5" t="s">
        <v>5</v>
      </c>
    </row>
    <row r="6" spans="1:5" x14ac:dyDescent="0.3">
      <c r="A6">
        <v>24</v>
      </c>
      <c r="B6" t="s">
        <v>248</v>
      </c>
      <c r="C6" t="s">
        <v>6</v>
      </c>
    </row>
    <row r="7" spans="1:5" x14ac:dyDescent="0.3">
      <c r="A7">
        <v>27</v>
      </c>
      <c r="B7" t="s">
        <v>249</v>
      </c>
      <c r="C7" t="s">
        <v>7</v>
      </c>
    </row>
    <row r="8" spans="1:5" x14ac:dyDescent="0.3">
      <c r="A8">
        <v>29</v>
      </c>
      <c r="B8" t="s">
        <v>250</v>
      </c>
      <c r="C8" t="s">
        <v>8</v>
      </c>
    </row>
    <row r="9" spans="1:5" x14ac:dyDescent="0.3">
      <c r="A9">
        <v>66</v>
      </c>
      <c r="B9" t="s">
        <v>251</v>
      </c>
      <c r="C9" t="s">
        <v>9</v>
      </c>
      <c r="D9" t="s">
        <v>242</v>
      </c>
    </row>
    <row r="10" spans="1:5" x14ac:dyDescent="0.3">
      <c r="A10">
        <v>31</v>
      </c>
      <c r="B10" t="s">
        <v>252</v>
      </c>
      <c r="C10" t="s">
        <v>10</v>
      </c>
    </row>
    <row r="11" spans="1:5" x14ac:dyDescent="0.3">
      <c r="A11" s="52">
        <v>32</v>
      </c>
      <c r="B11" s="52" t="s">
        <v>253</v>
      </c>
      <c r="C11" s="52" t="s">
        <v>12</v>
      </c>
    </row>
    <row r="12" spans="1:5" x14ac:dyDescent="0.3">
      <c r="A12">
        <v>6</v>
      </c>
      <c r="B12" t="s">
        <v>245</v>
      </c>
      <c r="C12" t="s">
        <v>209</v>
      </c>
    </row>
    <row r="13" spans="1:5" x14ac:dyDescent="0.3">
      <c r="A13">
        <v>72</v>
      </c>
      <c r="B13" t="s">
        <v>254</v>
      </c>
      <c r="C13" t="s">
        <v>176</v>
      </c>
    </row>
    <row r="14" spans="1:5" x14ac:dyDescent="0.3">
      <c r="A14">
        <v>49</v>
      </c>
      <c r="B14" t="s">
        <v>255</v>
      </c>
      <c r="C14" t="s">
        <v>15</v>
      </c>
    </row>
    <row r="15" spans="1:5" x14ac:dyDescent="0.3">
      <c r="A15">
        <v>77</v>
      </c>
      <c r="B15" t="s">
        <v>256</v>
      </c>
      <c r="C15" t="s">
        <v>16</v>
      </c>
      <c r="D15" t="s">
        <v>23</v>
      </c>
    </row>
    <row r="16" spans="1:5" x14ac:dyDescent="0.3">
      <c r="A16">
        <v>57</v>
      </c>
      <c r="B16" t="s">
        <v>257</v>
      </c>
      <c r="C16" t="s">
        <v>183</v>
      </c>
      <c r="D16" t="s">
        <v>242</v>
      </c>
    </row>
    <row r="17" spans="1:5" x14ac:dyDescent="0.3">
      <c r="A17">
        <v>82</v>
      </c>
      <c r="B17" t="s">
        <v>258</v>
      </c>
      <c r="C17" t="s">
        <v>17</v>
      </c>
    </row>
    <row r="18" spans="1:5" x14ac:dyDescent="0.3">
      <c r="A18">
        <v>3</v>
      </c>
      <c r="B18" t="s">
        <v>259</v>
      </c>
      <c r="C18" t="s">
        <v>18</v>
      </c>
    </row>
    <row r="19" spans="1:5" x14ac:dyDescent="0.3">
      <c r="A19">
        <v>12</v>
      </c>
      <c r="B19" t="s">
        <v>260</v>
      </c>
      <c r="C19" t="s">
        <v>177</v>
      </c>
    </row>
    <row r="20" spans="1:5" x14ac:dyDescent="0.3">
      <c r="A20">
        <v>25</v>
      </c>
      <c r="B20" t="s">
        <v>261</v>
      </c>
      <c r="C20" t="s">
        <v>19</v>
      </c>
    </row>
    <row r="21" spans="1:5" x14ac:dyDescent="0.3">
      <c r="A21">
        <v>42</v>
      </c>
      <c r="B21" t="s">
        <v>262</v>
      </c>
      <c r="C21" t="s">
        <v>20</v>
      </c>
    </row>
    <row r="22" spans="1:5" x14ac:dyDescent="0.3">
      <c r="A22">
        <v>60</v>
      </c>
      <c r="B22" t="s">
        <v>263</v>
      </c>
      <c r="C22" t="s">
        <v>21</v>
      </c>
      <c r="D22" t="s">
        <v>242</v>
      </c>
    </row>
    <row r="23" spans="1:5" x14ac:dyDescent="0.3">
      <c r="A23">
        <v>28</v>
      </c>
      <c r="B23" t="s">
        <v>264</v>
      </c>
      <c r="C23" t="s">
        <v>22</v>
      </c>
    </row>
    <row r="24" spans="1:5" x14ac:dyDescent="0.3">
      <c r="A24">
        <v>41</v>
      </c>
      <c r="B24" t="s">
        <v>265</v>
      </c>
      <c r="C24" t="s">
        <v>178</v>
      </c>
    </row>
    <row r="25" spans="1:5" x14ac:dyDescent="0.3">
      <c r="A25" t="s">
        <v>222</v>
      </c>
      <c r="B25" t="s">
        <v>222</v>
      </c>
      <c r="C25" t="s">
        <v>179</v>
      </c>
      <c r="D25" t="s">
        <v>23</v>
      </c>
      <c r="E25" t="s">
        <v>280</v>
      </c>
    </row>
    <row r="26" spans="1:5" x14ac:dyDescent="0.3">
      <c r="A26">
        <v>59</v>
      </c>
      <c r="B26" t="s">
        <v>266</v>
      </c>
      <c r="C26" t="s">
        <v>24</v>
      </c>
      <c r="D26" t="s">
        <v>242</v>
      </c>
    </row>
    <row r="27" spans="1:5" x14ac:dyDescent="0.3">
      <c r="A27">
        <v>34</v>
      </c>
      <c r="B27" t="s">
        <v>267</v>
      </c>
      <c r="C27" t="s">
        <v>26</v>
      </c>
    </row>
    <row r="28" spans="1:5" x14ac:dyDescent="0.3">
      <c r="A28">
        <v>14</v>
      </c>
      <c r="B28" t="s">
        <v>268</v>
      </c>
      <c r="C28" t="s">
        <v>27</v>
      </c>
    </row>
    <row r="29" spans="1:5" x14ac:dyDescent="0.3">
      <c r="A29">
        <v>47</v>
      </c>
      <c r="B29" t="s">
        <v>269</v>
      </c>
      <c r="C29" t="s">
        <v>28</v>
      </c>
    </row>
    <row r="30" spans="1:5" x14ac:dyDescent="0.3">
      <c r="A30">
        <v>73</v>
      </c>
      <c r="B30" t="s">
        <v>270</v>
      </c>
      <c r="C30" t="s">
        <v>180</v>
      </c>
    </row>
    <row r="31" spans="1:5" x14ac:dyDescent="0.3">
      <c r="A31">
        <v>52</v>
      </c>
      <c r="B31" t="s">
        <v>271</v>
      </c>
      <c r="C31" t="s">
        <v>29</v>
      </c>
    </row>
    <row r="32" spans="1:5" x14ac:dyDescent="0.3">
      <c r="A32">
        <v>65</v>
      </c>
      <c r="B32" t="s">
        <v>272</v>
      </c>
      <c r="C32" t="s">
        <v>30</v>
      </c>
      <c r="D32" t="s">
        <v>242</v>
      </c>
    </row>
    <row r="33" spans="1:4" x14ac:dyDescent="0.3">
      <c r="A33">
        <v>50</v>
      </c>
      <c r="B33" t="s">
        <v>273</v>
      </c>
      <c r="C33" t="s">
        <v>31</v>
      </c>
    </row>
    <row r="34" spans="1:4" x14ac:dyDescent="0.3">
      <c r="A34">
        <v>22</v>
      </c>
      <c r="B34" t="s">
        <v>274</v>
      </c>
      <c r="C34" t="s">
        <v>181</v>
      </c>
    </row>
    <row r="35" spans="1:4" x14ac:dyDescent="0.3">
      <c r="A35">
        <v>74</v>
      </c>
      <c r="B35" t="s">
        <v>275</v>
      </c>
      <c r="C35" t="s">
        <v>182</v>
      </c>
    </row>
    <row r="36" spans="1:4" x14ac:dyDescent="0.3">
      <c r="A36">
        <v>23</v>
      </c>
      <c r="B36" t="s">
        <v>276</v>
      </c>
      <c r="C36" t="s">
        <v>32</v>
      </c>
    </row>
    <row r="37" spans="1:4" x14ac:dyDescent="0.3">
      <c r="A37">
        <v>39</v>
      </c>
      <c r="B37" t="s">
        <v>277</v>
      </c>
      <c r="C37" t="s">
        <v>33</v>
      </c>
      <c r="D37" t="s">
        <v>242</v>
      </c>
    </row>
    <row r="38" spans="1:4" x14ac:dyDescent="0.3">
      <c r="A38">
        <v>30</v>
      </c>
      <c r="B38" t="s">
        <v>278</v>
      </c>
      <c r="C38" t="s">
        <v>34</v>
      </c>
    </row>
    <row r="39" spans="1:4" x14ac:dyDescent="0.3">
      <c r="A39">
        <v>40</v>
      </c>
      <c r="B39" t="s">
        <v>279</v>
      </c>
      <c r="C39" t="s">
        <v>35</v>
      </c>
    </row>
  </sheetData>
  <autoFilter ref="A1:D1" xr:uid="{D888401B-D10E-4787-BDCA-76926E364445}">
    <sortState xmlns:xlrd2="http://schemas.microsoft.com/office/spreadsheetml/2017/richdata2" ref="A2:D39">
      <sortCondition ref="C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CC281D-988A-4EA5-BF8F-9A82D748F4DD}">
  <dimension ref="A1:L149"/>
  <sheetViews>
    <sheetView tabSelected="1" workbookViewId="0">
      <selection activeCell="C10" sqref="C10"/>
    </sheetView>
  </sheetViews>
  <sheetFormatPr defaultRowHeight="14.4" x14ac:dyDescent="0.3"/>
  <cols>
    <col min="1" max="1" width="22" bestFit="1" customWidth="1"/>
    <col min="2" max="2" width="32.88671875" bestFit="1" customWidth="1"/>
    <col min="3" max="3" width="46.109375" bestFit="1" customWidth="1"/>
    <col min="4" max="4" width="33.109375" bestFit="1" customWidth="1"/>
    <col min="5" max="5" width="12" bestFit="1" customWidth="1"/>
    <col min="6" max="6" width="12.109375" bestFit="1" customWidth="1"/>
    <col min="7" max="12" width="9.44140625" bestFit="1" customWidth="1"/>
  </cols>
  <sheetData>
    <row r="1" spans="1:12" s="39" customFormat="1" x14ac:dyDescent="0.3">
      <c r="A1" s="40" t="s">
        <v>38</v>
      </c>
      <c r="B1" s="58" t="s">
        <v>36</v>
      </c>
      <c r="C1" s="58" t="s">
        <v>95</v>
      </c>
      <c r="D1" s="58" t="s">
        <v>96</v>
      </c>
      <c r="E1" s="58" t="s">
        <v>97</v>
      </c>
      <c r="F1" s="58" t="s">
        <v>39</v>
      </c>
      <c r="G1" s="59">
        <v>2022</v>
      </c>
      <c r="H1" s="58">
        <v>2030</v>
      </c>
      <c r="I1" s="40">
        <v>2035</v>
      </c>
      <c r="J1" s="40">
        <v>2040</v>
      </c>
      <c r="K1" s="40">
        <v>2045</v>
      </c>
      <c r="L1" s="40">
        <v>2050</v>
      </c>
    </row>
    <row r="2" spans="1:12" s="39" customFormat="1" x14ac:dyDescent="0.3">
      <c r="A2" s="2" t="s">
        <v>2</v>
      </c>
      <c r="B2" s="2" t="s">
        <v>70</v>
      </c>
      <c r="C2" s="2" t="s">
        <v>98</v>
      </c>
      <c r="D2" s="2" t="s">
        <v>99</v>
      </c>
      <c r="E2" s="2" t="s">
        <v>100</v>
      </c>
      <c r="F2" s="2" t="s">
        <v>72</v>
      </c>
      <c r="G2" s="54">
        <f>IEA_demand!D2</f>
        <v>10773.333333333334</v>
      </c>
      <c r="H2" s="54">
        <f>IEA_demand!E2</f>
        <v>14527</v>
      </c>
      <c r="I2" s="54">
        <f>IEA_demand!F2</f>
        <v>14482</v>
      </c>
      <c r="J2" s="54">
        <f>IEA_demand!G2</f>
        <v>14174</v>
      </c>
      <c r="K2" s="54">
        <f>IEA_demand!H2</f>
        <v>14943</v>
      </c>
      <c r="L2" s="54">
        <f>IEA_demand!I2</f>
        <v>14343</v>
      </c>
    </row>
    <row r="3" spans="1:12" s="39" customFormat="1" x14ac:dyDescent="0.3">
      <c r="A3" s="2" t="s">
        <v>2</v>
      </c>
      <c r="B3" s="2" t="s">
        <v>70</v>
      </c>
      <c r="C3" s="2" t="s">
        <v>98</v>
      </c>
      <c r="D3" s="2" t="s">
        <v>99</v>
      </c>
      <c r="E3" s="2" t="s">
        <v>100</v>
      </c>
      <c r="F3" s="2" t="s">
        <v>74</v>
      </c>
      <c r="G3" s="54">
        <f>IEA_demand!D3</f>
        <v>11045.666666666666</v>
      </c>
      <c r="H3" s="54">
        <f>IEA_demand!E3</f>
        <v>17872</v>
      </c>
      <c r="I3" s="54">
        <f>IEA_demand!F3</f>
        <v>22818</v>
      </c>
      <c r="J3" s="54">
        <f>IEA_demand!G3</f>
        <v>26403</v>
      </c>
      <c r="K3" s="54">
        <f>IEA_demand!H3</f>
        <v>25148</v>
      </c>
      <c r="L3" s="54">
        <f>IEA_demand!I3</f>
        <v>20759</v>
      </c>
    </row>
    <row r="4" spans="1:12" s="39" customFormat="1" x14ac:dyDescent="0.3">
      <c r="A4" t="s">
        <v>3</v>
      </c>
      <c r="B4" t="s">
        <v>75</v>
      </c>
      <c r="C4" s="2" t="s">
        <v>101</v>
      </c>
      <c r="D4" s="2" t="s">
        <v>102</v>
      </c>
      <c r="E4" s="2" t="s">
        <v>103</v>
      </c>
      <c r="F4" t="s">
        <v>72</v>
      </c>
      <c r="G4" s="54">
        <f>IEA_demand!D4</f>
        <v>0</v>
      </c>
      <c r="H4" s="54">
        <f>IEA_demand!E4</f>
        <v>0.343221</v>
      </c>
      <c r="I4" s="54">
        <f>IEA_demand!F4</f>
        <v>1.9767399999999999</v>
      </c>
      <c r="J4" s="54">
        <f>IEA_demand!G4</f>
        <v>10.9458</v>
      </c>
      <c r="K4" s="54">
        <f>IEA_demand!H4</f>
        <v>11.461499999999999</v>
      </c>
      <c r="L4" s="54">
        <f>IEA_demand!I4</f>
        <v>12.565099999999999</v>
      </c>
    </row>
    <row r="5" spans="1:12" s="39" customFormat="1" x14ac:dyDescent="0.3">
      <c r="A5" t="s">
        <v>3</v>
      </c>
      <c r="B5" t="s">
        <v>75</v>
      </c>
      <c r="C5" s="2" t="s">
        <v>101</v>
      </c>
      <c r="D5" s="2" t="s">
        <v>102</v>
      </c>
      <c r="E5" s="2" t="s">
        <v>103</v>
      </c>
      <c r="F5" t="s">
        <v>74</v>
      </c>
      <c r="G5" s="54">
        <f>IEA_demand!D5</f>
        <v>0</v>
      </c>
      <c r="H5" s="54">
        <f>IEA_demand!E5</f>
        <v>0.55112300000000003</v>
      </c>
      <c r="I5" s="54">
        <f>IEA_demand!F5</f>
        <v>3.2261199999999999</v>
      </c>
      <c r="J5" s="54">
        <f>IEA_demand!G5</f>
        <v>15.291600000000001</v>
      </c>
      <c r="K5" s="54">
        <f>IEA_demand!H5</f>
        <v>12.4686</v>
      </c>
      <c r="L5" s="54">
        <f>IEA_demand!I5</f>
        <v>15.8108</v>
      </c>
    </row>
    <row r="6" spans="1:12" x14ac:dyDescent="0.3">
      <c r="A6" t="s">
        <v>4</v>
      </c>
      <c r="B6" t="s">
        <v>77</v>
      </c>
      <c r="C6" s="2" t="s">
        <v>104</v>
      </c>
      <c r="D6" s="2" t="s">
        <v>105</v>
      </c>
      <c r="E6" s="2" t="s">
        <v>103</v>
      </c>
      <c r="F6" t="s">
        <v>72</v>
      </c>
      <c r="G6" s="54">
        <f>IEA_demand!D6</f>
        <v>0.20600499999999999</v>
      </c>
      <c r="H6" s="54">
        <f>IEA_demand!E6</f>
        <v>0.40102500000000002</v>
      </c>
      <c r="I6" s="54">
        <f>IEA_demand!F6</f>
        <v>0.34953899999999999</v>
      </c>
      <c r="J6" s="54">
        <f>IEA_demand!G6</f>
        <v>0.29296699999999998</v>
      </c>
      <c r="K6" s="54">
        <f>IEA_demand!H6</f>
        <v>0.33185300000000001</v>
      </c>
      <c r="L6" s="54">
        <f>IEA_demand!I6</f>
        <v>0.46695399999999998</v>
      </c>
    </row>
    <row r="7" spans="1:12" x14ac:dyDescent="0.3">
      <c r="A7" t="s">
        <v>4</v>
      </c>
      <c r="B7" t="s">
        <v>77</v>
      </c>
      <c r="C7" s="2" t="s">
        <v>104</v>
      </c>
      <c r="D7" s="2" t="s">
        <v>105</v>
      </c>
      <c r="E7" s="2" t="s">
        <v>103</v>
      </c>
      <c r="F7" t="s">
        <v>74</v>
      </c>
      <c r="G7" s="54">
        <f>IEA_demand!D7</f>
        <v>0.20600499999999999</v>
      </c>
      <c r="H7" s="54">
        <f>IEA_demand!E7</f>
        <v>0.70500200000000002</v>
      </c>
      <c r="I7" s="54">
        <f>IEA_demand!F7</f>
        <v>0.70644099999999999</v>
      </c>
      <c r="J7" s="54">
        <f>IEA_demand!G7</f>
        <v>0.62515500000000002</v>
      </c>
      <c r="K7" s="54">
        <f>IEA_demand!H7</f>
        <v>0.61190699999999998</v>
      </c>
      <c r="L7" s="54">
        <f>IEA_demand!I7</f>
        <v>0.86570999999999998</v>
      </c>
    </row>
    <row r="8" spans="1:12" x14ac:dyDescent="0.3">
      <c r="A8" t="s">
        <v>5</v>
      </c>
      <c r="B8" t="s">
        <v>75</v>
      </c>
      <c r="C8" s="2" t="s">
        <v>106</v>
      </c>
      <c r="D8" s="2" t="s">
        <v>107</v>
      </c>
      <c r="E8" s="2" t="s">
        <v>103</v>
      </c>
      <c r="F8" t="s">
        <v>72</v>
      </c>
      <c r="G8" s="54">
        <f>IEA_demand!D8</f>
        <v>0.67</v>
      </c>
      <c r="H8" s="54">
        <f>IEA_demand!E8</f>
        <v>0.66</v>
      </c>
      <c r="I8" s="54">
        <f>IEA_demand!F8</f>
        <v>0.68</v>
      </c>
      <c r="J8" s="54">
        <f>IEA_demand!G8</f>
        <v>0.67</v>
      </c>
      <c r="K8" s="54">
        <f>IEA_demand!H8</f>
        <v>0.68</v>
      </c>
      <c r="L8" s="54">
        <f>IEA_demand!I8</f>
        <v>0.72</v>
      </c>
    </row>
    <row r="9" spans="1:12" x14ac:dyDescent="0.3">
      <c r="A9" t="s">
        <v>5</v>
      </c>
      <c r="B9" t="s">
        <v>75</v>
      </c>
      <c r="C9" s="2" t="s">
        <v>106</v>
      </c>
      <c r="D9" s="2" t="s">
        <v>107</v>
      </c>
      <c r="E9" s="2" t="s">
        <v>103</v>
      </c>
      <c r="F9" t="s">
        <v>74</v>
      </c>
      <c r="G9" s="54">
        <f>IEA_demand!D9</f>
        <v>0.67</v>
      </c>
      <c r="H9" s="54">
        <f>IEA_demand!E9</f>
        <v>1.49</v>
      </c>
      <c r="I9" s="54">
        <f>IEA_demand!F9</f>
        <v>1.42</v>
      </c>
      <c r="J9" s="54">
        <f>IEA_demand!G9</f>
        <v>1.03</v>
      </c>
      <c r="K9" s="54">
        <f>IEA_demand!H9</f>
        <v>0.65</v>
      </c>
      <c r="L9" s="54">
        <f>IEA_demand!I9</f>
        <v>0.52</v>
      </c>
    </row>
    <row r="10" spans="1:12" x14ac:dyDescent="0.3">
      <c r="A10" t="s">
        <v>5</v>
      </c>
      <c r="B10" t="s">
        <v>188</v>
      </c>
      <c r="C10" s="2" t="s">
        <v>106</v>
      </c>
      <c r="D10" s="2" t="s">
        <v>107</v>
      </c>
      <c r="E10" s="2" t="s">
        <v>103</v>
      </c>
      <c r="F10" t="s">
        <v>72</v>
      </c>
      <c r="G10" s="54">
        <f>IEA_demand!D10</f>
        <v>0.02</v>
      </c>
      <c r="H10" s="54">
        <f>IEA_demand!E10</f>
        <v>0.03</v>
      </c>
      <c r="I10" s="54">
        <f>IEA_demand!F10</f>
        <v>0.02</v>
      </c>
      <c r="J10" s="54">
        <f>IEA_demand!G10</f>
        <v>0.01</v>
      </c>
      <c r="K10" s="54">
        <f>IEA_demand!H10</f>
        <v>0.02</v>
      </c>
      <c r="L10" s="54">
        <f>IEA_demand!I10</f>
        <v>0.02</v>
      </c>
    </row>
    <row r="11" spans="1:12" x14ac:dyDescent="0.3">
      <c r="A11" t="s">
        <v>5</v>
      </c>
      <c r="B11" t="s">
        <v>188</v>
      </c>
      <c r="C11" s="2" t="s">
        <v>106</v>
      </c>
      <c r="D11" s="2" t="s">
        <v>107</v>
      </c>
      <c r="E11" s="2" t="s">
        <v>103</v>
      </c>
      <c r="F11" t="s">
        <v>74</v>
      </c>
      <c r="G11" s="54">
        <f>IEA_demand!D11</f>
        <v>0.02</v>
      </c>
      <c r="H11" s="54">
        <f>IEA_demand!E11</f>
        <v>0.03</v>
      </c>
      <c r="I11" s="54">
        <f>IEA_demand!F11</f>
        <v>0.03</v>
      </c>
      <c r="J11" s="54">
        <f>IEA_demand!G11</f>
        <v>0.03</v>
      </c>
      <c r="K11" s="54">
        <f>IEA_demand!H11</f>
        <v>0.02</v>
      </c>
      <c r="L11" s="54">
        <f>IEA_demand!I11</f>
        <v>0.02</v>
      </c>
    </row>
    <row r="12" spans="1:12" x14ac:dyDescent="0.3">
      <c r="A12" t="s">
        <v>6</v>
      </c>
      <c r="B12" t="s">
        <v>77</v>
      </c>
      <c r="C12" s="2" t="s">
        <v>108</v>
      </c>
      <c r="D12" s="2" t="s">
        <v>109</v>
      </c>
      <c r="E12" s="2" t="s">
        <v>103</v>
      </c>
      <c r="F12" t="s">
        <v>72</v>
      </c>
      <c r="G12" s="6">
        <f>IEA_demand!D14</f>
        <v>63.273699999999998</v>
      </c>
      <c r="H12" s="6">
        <f>IEA_demand!E14</f>
        <v>88.412599999999998</v>
      </c>
      <c r="I12" s="6">
        <f>IEA_demand!F14</f>
        <v>78.892300000000006</v>
      </c>
      <c r="J12" s="6">
        <f>IEA_demand!G14</f>
        <v>69.503600000000006</v>
      </c>
      <c r="K12" s="6">
        <f>IEA_demand!H14</f>
        <v>77.451800000000006</v>
      </c>
      <c r="L12" s="6">
        <f>IEA_demand!I14</f>
        <v>97.374399999999994</v>
      </c>
    </row>
    <row r="13" spans="1:12" x14ac:dyDescent="0.3">
      <c r="A13" t="s">
        <v>6</v>
      </c>
      <c r="B13" t="s">
        <v>77</v>
      </c>
      <c r="C13" s="2" t="s">
        <v>108</v>
      </c>
      <c r="D13" s="2" t="s">
        <v>109</v>
      </c>
      <c r="E13" s="2" t="s">
        <v>103</v>
      </c>
      <c r="F13" t="s">
        <v>74</v>
      </c>
      <c r="G13" s="6">
        <f>IEA_demand!D15</f>
        <v>63.273699999999998</v>
      </c>
      <c r="H13" s="6">
        <f>IEA_demand!E15</f>
        <v>154.91399999999999</v>
      </c>
      <c r="I13" s="6">
        <f>IEA_demand!F15</f>
        <v>167.17400000000001</v>
      </c>
      <c r="J13" s="6">
        <f>IEA_demand!G15</f>
        <v>146.251</v>
      </c>
      <c r="K13" s="6">
        <f>IEA_demand!H15</f>
        <v>126.206</v>
      </c>
      <c r="L13" s="6">
        <f>IEA_demand!I15</f>
        <v>160.709</v>
      </c>
    </row>
    <row r="14" spans="1:12" x14ac:dyDescent="0.3">
      <c r="A14" t="s">
        <v>6</v>
      </c>
      <c r="B14" t="s">
        <v>188</v>
      </c>
      <c r="C14" s="2" t="s">
        <v>108</v>
      </c>
      <c r="D14" s="2" t="s">
        <v>109</v>
      </c>
      <c r="E14" s="2" t="s">
        <v>103</v>
      </c>
      <c r="F14" t="s">
        <v>72</v>
      </c>
      <c r="G14" s="6">
        <f>IEA_demand!D16</f>
        <v>148.75630000000001</v>
      </c>
      <c r="H14" s="6">
        <f>IEA_demand!E16</f>
        <v>295.40339999999998</v>
      </c>
      <c r="I14" s="6">
        <f>IEA_demand!F16</f>
        <v>222.60169999999999</v>
      </c>
      <c r="J14" s="6">
        <f>IEA_demand!G16</f>
        <v>246.7724</v>
      </c>
      <c r="K14" s="6">
        <f>IEA_demand!H16</f>
        <v>250.2902</v>
      </c>
      <c r="L14" s="6">
        <f>IEA_demand!I16</f>
        <v>224.66659999999999</v>
      </c>
    </row>
    <row r="15" spans="1:12" x14ac:dyDescent="0.3">
      <c r="A15" t="s">
        <v>6</v>
      </c>
      <c r="B15" t="s">
        <v>188</v>
      </c>
      <c r="C15" s="2" t="s">
        <v>108</v>
      </c>
      <c r="D15" s="2" t="s">
        <v>109</v>
      </c>
      <c r="E15" s="2" t="s">
        <v>103</v>
      </c>
      <c r="F15" t="s">
        <v>74</v>
      </c>
      <c r="G15" s="6">
        <f>IEA_demand!D17</f>
        <v>148.75630000000001</v>
      </c>
      <c r="H15" s="6">
        <f>IEA_demand!E17</f>
        <v>668.82899999999995</v>
      </c>
      <c r="I15" s="6">
        <f>IEA_demand!F17</f>
        <v>584.86800000000005</v>
      </c>
      <c r="J15" s="6">
        <f>IEA_demand!G17</f>
        <v>480.94499999999999</v>
      </c>
      <c r="K15" s="6">
        <f>IEA_demand!H17</f>
        <v>379.969999999999</v>
      </c>
      <c r="L15" s="6">
        <f>IEA_demand!I17</f>
        <v>299.481999999999</v>
      </c>
    </row>
    <row r="16" spans="1:12" x14ac:dyDescent="0.3">
      <c r="A16" t="s">
        <v>7</v>
      </c>
      <c r="B16" t="s">
        <v>195</v>
      </c>
      <c r="C16" s="2" t="s">
        <v>110</v>
      </c>
      <c r="D16" s="2" t="s">
        <v>111</v>
      </c>
      <c r="E16" s="2" t="s">
        <v>100</v>
      </c>
      <c r="F16" t="s">
        <v>72</v>
      </c>
      <c r="G16" s="6">
        <f>IEA_demand!D20</f>
        <v>1.6494499999999999E-2</v>
      </c>
      <c r="H16" s="6">
        <f>IEA_demand!E20</f>
        <v>2.8895199999999999E-2</v>
      </c>
      <c r="I16" s="6">
        <f>IEA_demand!F20</f>
        <v>1.35566E-2</v>
      </c>
      <c r="J16" s="6">
        <f>IEA_demand!G20</f>
        <v>1.6180400000000001E-2</v>
      </c>
      <c r="K16" s="6">
        <f>IEA_demand!H20</f>
        <v>1.71346E-2</v>
      </c>
      <c r="L16" s="6">
        <f>IEA_demand!I20</f>
        <v>1.9779499999999998E-2</v>
      </c>
    </row>
    <row r="17" spans="1:12" x14ac:dyDescent="0.3">
      <c r="A17" t="s">
        <v>7</v>
      </c>
      <c r="B17" t="s">
        <v>195</v>
      </c>
      <c r="C17" s="2" t="s">
        <v>110</v>
      </c>
      <c r="D17" s="2" t="s">
        <v>111</v>
      </c>
      <c r="E17" s="2" t="s">
        <v>100</v>
      </c>
      <c r="F17" t="s">
        <v>74</v>
      </c>
      <c r="G17" s="6">
        <f>IEA_demand!D21</f>
        <v>1.6494499999999999E-2</v>
      </c>
      <c r="H17" s="6">
        <f>IEA_demand!E21</f>
        <v>5.1267800000000002E-2</v>
      </c>
      <c r="I17" s="6">
        <f>IEA_demand!F21</f>
        <v>4.6894199999999997E-2</v>
      </c>
      <c r="J17" s="6">
        <f>IEA_demand!G21</f>
        <v>3.6475800000000003E-2</v>
      </c>
      <c r="K17" s="6">
        <f>IEA_demand!H21</f>
        <v>2.7891699999999998E-2</v>
      </c>
      <c r="L17" s="6">
        <f>IEA_demand!I21</f>
        <v>2.5334300000000001E-2</v>
      </c>
    </row>
    <row r="18" spans="1:12" x14ac:dyDescent="0.3">
      <c r="A18" t="s">
        <v>7</v>
      </c>
      <c r="B18" t="s">
        <v>190</v>
      </c>
      <c r="C18" s="2" t="s">
        <v>110</v>
      </c>
      <c r="D18" s="2" t="s">
        <v>111</v>
      </c>
      <c r="E18" s="2" t="s">
        <v>100</v>
      </c>
      <c r="F18" t="s">
        <v>72</v>
      </c>
      <c r="G18" s="6">
        <f>IEA_demand!D22</f>
        <v>61.840899999999998</v>
      </c>
      <c r="H18" s="6">
        <f>IEA_demand!E22</f>
        <v>150.71799999999999</v>
      </c>
      <c r="I18" s="6">
        <f>IEA_demand!F22</f>
        <v>160.685</v>
      </c>
      <c r="J18" s="6">
        <f>IEA_demand!G22</f>
        <v>187.20599999999999</v>
      </c>
      <c r="K18" s="6">
        <f>IEA_demand!H22</f>
        <v>203.124</v>
      </c>
      <c r="L18" s="6">
        <f>IEA_demand!I22</f>
        <v>216.036</v>
      </c>
    </row>
    <row r="19" spans="1:12" x14ac:dyDescent="0.3">
      <c r="A19" t="s">
        <v>7</v>
      </c>
      <c r="B19" t="s">
        <v>190</v>
      </c>
      <c r="C19" s="2" t="s">
        <v>110</v>
      </c>
      <c r="D19" s="2" t="s">
        <v>111</v>
      </c>
      <c r="E19" s="2" t="s">
        <v>100</v>
      </c>
      <c r="F19" t="s">
        <v>74</v>
      </c>
      <c r="G19" s="6">
        <f>IEA_demand!D23</f>
        <v>61.840899999999998</v>
      </c>
      <c r="H19" s="6">
        <f>IEA_demand!E23</f>
        <v>236.40899999999999</v>
      </c>
      <c r="I19" s="6">
        <f>IEA_demand!F23</f>
        <v>247.364</v>
      </c>
      <c r="J19" s="6">
        <f>IEA_demand!G23</f>
        <v>278.86399999999998</v>
      </c>
      <c r="K19" s="6">
        <f>IEA_demand!H23</f>
        <v>313.12700000000001</v>
      </c>
      <c r="L19" s="6">
        <f>IEA_demand!I23</f>
        <v>322.57299999999998</v>
      </c>
    </row>
    <row r="20" spans="1:12" x14ac:dyDescent="0.3">
      <c r="A20" t="s">
        <v>7</v>
      </c>
      <c r="B20" t="s">
        <v>191</v>
      </c>
      <c r="C20" s="2" t="s">
        <v>110</v>
      </c>
      <c r="D20" s="2" t="s">
        <v>111</v>
      </c>
      <c r="E20" s="2" t="s">
        <v>100</v>
      </c>
      <c r="F20" t="s">
        <v>72</v>
      </c>
      <c r="G20" s="6">
        <f>IEA_demand!D24</f>
        <v>2.5278299999999998</v>
      </c>
      <c r="H20" s="6">
        <f>IEA_demand!E24</f>
        <v>4.1344599999999998</v>
      </c>
      <c r="I20" s="6">
        <f>IEA_demand!F24</f>
        <v>3.2653400000000001</v>
      </c>
      <c r="J20" s="6">
        <f>IEA_demand!G24</f>
        <v>0</v>
      </c>
      <c r="K20" s="6">
        <f>IEA_demand!H24</f>
        <v>0</v>
      </c>
      <c r="L20" s="6">
        <f>IEA_demand!I24</f>
        <v>0</v>
      </c>
    </row>
    <row r="21" spans="1:12" x14ac:dyDescent="0.3">
      <c r="A21" t="s">
        <v>7</v>
      </c>
      <c r="B21" t="s">
        <v>191</v>
      </c>
      <c r="C21" s="2" t="s">
        <v>110</v>
      </c>
      <c r="D21" s="2" t="s">
        <v>111</v>
      </c>
      <c r="E21" s="2" t="s">
        <v>100</v>
      </c>
      <c r="F21" t="s">
        <v>74</v>
      </c>
      <c r="G21" s="6">
        <f>IEA_demand!D25</f>
        <v>2.5278299999999998</v>
      </c>
      <c r="H21" s="6">
        <f>IEA_demand!E25</f>
        <v>6.6338499999999998</v>
      </c>
      <c r="I21" s="6">
        <f>IEA_demand!F25</f>
        <v>5.5607800000000003</v>
      </c>
      <c r="J21" s="6">
        <f>IEA_demand!G25</f>
        <v>0</v>
      </c>
      <c r="K21" s="6">
        <f>IEA_demand!H25</f>
        <v>0</v>
      </c>
      <c r="L21" s="6">
        <f>IEA_demand!I25</f>
        <v>0</v>
      </c>
    </row>
    <row r="22" spans="1:12" x14ac:dyDescent="0.3">
      <c r="A22" t="s">
        <v>7</v>
      </c>
      <c r="B22" t="s">
        <v>193</v>
      </c>
      <c r="C22" s="2" t="s">
        <v>110</v>
      </c>
      <c r="D22" s="2" t="s">
        <v>111</v>
      </c>
      <c r="E22" s="2" t="s">
        <v>100</v>
      </c>
      <c r="F22" t="s">
        <v>72</v>
      </c>
      <c r="G22" s="6">
        <f>IEA_demand!D26</f>
        <v>5.1140300000000003E-3</v>
      </c>
      <c r="H22" s="6">
        <f>IEA_demand!E26</f>
        <v>4.0955399999999999E-3</v>
      </c>
      <c r="I22" s="6">
        <f>IEA_demand!F26</f>
        <v>4.5197299999999996E-3</v>
      </c>
      <c r="J22" s="6">
        <f>IEA_demand!G26</f>
        <v>3.5679900000000001E-3</v>
      </c>
      <c r="K22" s="6">
        <f>IEA_demand!H26</f>
        <v>3.4312100000000001E-3</v>
      </c>
      <c r="L22" s="6">
        <f>IEA_demand!I26</f>
        <v>4.69507E-3</v>
      </c>
    </row>
    <row r="23" spans="1:12" x14ac:dyDescent="0.3">
      <c r="A23" t="s">
        <v>7</v>
      </c>
      <c r="B23" t="s">
        <v>193</v>
      </c>
      <c r="C23" s="2" t="s">
        <v>110</v>
      </c>
      <c r="D23" s="2" t="s">
        <v>111</v>
      </c>
      <c r="E23" s="2" t="s">
        <v>100</v>
      </c>
      <c r="F23" t="s">
        <v>74</v>
      </c>
      <c r="G23" s="6">
        <f>IEA_demand!D27</f>
        <v>5.1140300000000003E-3</v>
      </c>
      <c r="H23" s="6">
        <f>IEA_demand!E27</f>
        <v>6.4258499999999996E-2</v>
      </c>
      <c r="I23" s="6">
        <f>IEA_demand!F27</f>
        <v>6.9753099999999998E-2</v>
      </c>
      <c r="J23" s="6">
        <f>IEA_demand!G27</f>
        <v>5.9512099999999998E-2</v>
      </c>
      <c r="K23" s="6">
        <f>IEA_demand!H27</f>
        <v>5.1073800000000003E-2</v>
      </c>
      <c r="L23" s="6">
        <f>IEA_demand!I27</f>
        <v>6.5994700000000003E-2</v>
      </c>
    </row>
    <row r="24" spans="1:12" x14ac:dyDescent="0.3">
      <c r="A24" t="s">
        <v>8</v>
      </c>
      <c r="B24" t="s">
        <v>75</v>
      </c>
      <c r="C24" s="2" t="s">
        <v>112</v>
      </c>
      <c r="D24" s="2" t="s">
        <v>113</v>
      </c>
      <c r="E24" s="2" t="s">
        <v>100</v>
      </c>
      <c r="F24" t="s">
        <v>72</v>
      </c>
      <c r="G24" s="6">
        <f>IEA_demand!D30</f>
        <v>1208.23</v>
      </c>
      <c r="H24" s="6">
        <f>IEA_demand!E30</f>
        <v>1691.18</v>
      </c>
      <c r="I24" s="6">
        <f>IEA_demand!F30</f>
        <v>1727.66</v>
      </c>
      <c r="J24" s="6">
        <f>IEA_demand!G30</f>
        <v>1683.97</v>
      </c>
      <c r="K24" s="6">
        <f>IEA_demand!H30</f>
        <v>1772.88</v>
      </c>
      <c r="L24" s="6">
        <f>IEA_demand!I30</f>
        <v>1958.85</v>
      </c>
    </row>
    <row r="25" spans="1:12" x14ac:dyDescent="0.3">
      <c r="A25" t="s">
        <v>8</v>
      </c>
      <c r="B25" t="s">
        <v>75</v>
      </c>
      <c r="C25" s="2" t="s">
        <v>112</v>
      </c>
      <c r="D25" s="2" t="s">
        <v>113</v>
      </c>
      <c r="E25" s="2" t="s">
        <v>100</v>
      </c>
      <c r="F25" t="s">
        <v>74</v>
      </c>
      <c r="G25" s="6">
        <f>IEA_demand!D31</f>
        <v>1208.23</v>
      </c>
      <c r="H25" s="6">
        <f>IEA_demand!E31</f>
        <v>2564.33</v>
      </c>
      <c r="I25" s="6">
        <f>IEA_demand!F31</f>
        <v>2651.29</v>
      </c>
      <c r="J25" s="6">
        <f>IEA_demand!G31</f>
        <v>2245.3000000000002</v>
      </c>
      <c r="K25" s="6">
        <f>IEA_demand!H31</f>
        <v>1840.51</v>
      </c>
      <c r="L25" s="6">
        <f>IEA_demand!I31</f>
        <v>2390.46</v>
      </c>
    </row>
    <row r="26" spans="1:12" x14ac:dyDescent="0.3">
      <c r="A26" t="s">
        <v>8</v>
      </c>
      <c r="B26" t="s">
        <v>77</v>
      </c>
      <c r="C26" s="2" t="s">
        <v>112</v>
      </c>
      <c r="D26" s="2" t="s">
        <v>113</v>
      </c>
      <c r="E26" s="2" t="s">
        <v>100</v>
      </c>
      <c r="F26" t="s">
        <v>72</v>
      </c>
      <c r="G26" s="6">
        <f>IEA_demand!D32</f>
        <v>501.61799999999999</v>
      </c>
      <c r="H26" s="6">
        <f>IEA_demand!E32</f>
        <v>803.56500000000005</v>
      </c>
      <c r="I26" s="6">
        <f>IEA_demand!F32</f>
        <v>691.79899999999998</v>
      </c>
      <c r="J26" s="6">
        <f>IEA_demand!G32</f>
        <v>579.89300000000003</v>
      </c>
      <c r="K26" s="6">
        <f>IEA_demand!H32</f>
        <v>626.26199999999994</v>
      </c>
      <c r="L26" s="6">
        <f>IEA_demand!I32</f>
        <v>804.51199999999994</v>
      </c>
    </row>
    <row r="27" spans="1:12" x14ac:dyDescent="0.3">
      <c r="A27" t="s">
        <v>8</v>
      </c>
      <c r="B27" t="s">
        <v>77</v>
      </c>
      <c r="C27" s="2" t="s">
        <v>112</v>
      </c>
      <c r="D27" s="2" t="s">
        <v>113</v>
      </c>
      <c r="E27" s="2" t="s">
        <v>100</v>
      </c>
      <c r="F27" t="s">
        <v>74</v>
      </c>
      <c r="G27" s="6">
        <f>IEA_demand!D33</f>
        <v>501.61799999999999</v>
      </c>
      <c r="H27" s="6">
        <f>IEA_demand!E33</f>
        <v>1419.33</v>
      </c>
      <c r="I27" s="6">
        <f>IEA_demand!F33</f>
        <v>1445.27</v>
      </c>
      <c r="J27" s="6">
        <f>IEA_demand!G33</f>
        <v>1242.8499999999999</v>
      </c>
      <c r="K27" s="6">
        <f>IEA_demand!H33</f>
        <v>1107.76</v>
      </c>
      <c r="L27" s="6">
        <f>IEA_demand!I33</f>
        <v>1451.29</v>
      </c>
    </row>
    <row r="28" spans="1:12" x14ac:dyDescent="0.3">
      <c r="A28" t="s">
        <v>8</v>
      </c>
      <c r="B28" t="s">
        <v>188</v>
      </c>
      <c r="C28" s="2" t="s">
        <v>112</v>
      </c>
      <c r="D28" s="2" t="s">
        <v>113</v>
      </c>
      <c r="E28" s="2" t="s">
        <v>100</v>
      </c>
      <c r="F28" t="s">
        <v>72</v>
      </c>
      <c r="G28" s="6">
        <f>IEA_demand!D34</f>
        <v>82.822000000000003</v>
      </c>
      <c r="H28" s="6">
        <f>IEA_demand!E34</f>
        <v>123.15499999999901</v>
      </c>
      <c r="I28" s="6">
        <f>IEA_demand!F34</f>
        <v>80.941000000000003</v>
      </c>
      <c r="J28" s="6">
        <f>IEA_demand!G34</f>
        <v>82.856999999999701</v>
      </c>
      <c r="K28" s="6">
        <f>IEA_demand!H34</f>
        <v>107.787999999999</v>
      </c>
      <c r="L28" s="6">
        <f>IEA_demand!I34</f>
        <v>103.817999999999</v>
      </c>
    </row>
    <row r="29" spans="1:12" x14ac:dyDescent="0.3">
      <c r="A29" t="s">
        <v>8</v>
      </c>
      <c r="B29" t="s">
        <v>188</v>
      </c>
      <c r="C29" s="2" t="s">
        <v>112</v>
      </c>
      <c r="D29" s="2" t="s">
        <v>113</v>
      </c>
      <c r="E29" s="2" t="s">
        <v>100</v>
      </c>
      <c r="F29" t="s">
        <v>74</v>
      </c>
      <c r="G29" s="6">
        <f>IEA_demand!D35</f>
        <v>82.822000000000003</v>
      </c>
      <c r="H29" s="6">
        <f>IEA_demand!E35</f>
        <v>229.27</v>
      </c>
      <c r="I29" s="6">
        <f>IEA_demand!F35</f>
        <v>222.86</v>
      </c>
      <c r="J29" s="6">
        <f>IEA_demand!G35</f>
        <v>183.04999999999899</v>
      </c>
      <c r="K29" s="6">
        <f>IEA_demand!H35</f>
        <v>150.51</v>
      </c>
      <c r="L29" s="6">
        <f>IEA_demand!I35</f>
        <v>130.46</v>
      </c>
    </row>
    <row r="30" spans="1:12" x14ac:dyDescent="0.3">
      <c r="A30" t="s">
        <v>8</v>
      </c>
      <c r="B30" t="s">
        <v>190</v>
      </c>
      <c r="C30" s="2" t="s">
        <v>112</v>
      </c>
      <c r="D30" s="2" t="s">
        <v>113</v>
      </c>
      <c r="E30" s="2" t="s">
        <v>100</v>
      </c>
      <c r="F30" t="s">
        <v>72</v>
      </c>
      <c r="G30" s="6">
        <f>IEA_demand!D36</f>
        <v>395.95</v>
      </c>
      <c r="H30" s="6">
        <f>IEA_demand!E36</f>
        <v>1644.59</v>
      </c>
      <c r="I30" s="6">
        <f>IEA_demand!F36</f>
        <v>2594.14</v>
      </c>
      <c r="J30" s="6">
        <f>IEA_demand!G36</f>
        <v>3131.08</v>
      </c>
      <c r="K30" s="6">
        <f>IEA_demand!H36</f>
        <v>3286.87</v>
      </c>
      <c r="L30" s="6">
        <f>IEA_demand!I36</f>
        <v>3470.4</v>
      </c>
    </row>
    <row r="31" spans="1:12" x14ac:dyDescent="0.3">
      <c r="A31" t="s">
        <v>8</v>
      </c>
      <c r="B31" t="s">
        <v>190</v>
      </c>
      <c r="C31" s="2" t="s">
        <v>112</v>
      </c>
      <c r="D31" s="2" t="s">
        <v>113</v>
      </c>
      <c r="E31" s="2" t="s">
        <v>100</v>
      </c>
      <c r="F31" t="s">
        <v>74</v>
      </c>
      <c r="G31" s="6">
        <f>IEA_demand!D37</f>
        <v>395.95</v>
      </c>
      <c r="H31" s="6">
        <f>IEA_demand!E37</f>
        <v>2611.54</v>
      </c>
      <c r="I31" s="6">
        <f>IEA_demand!F37</f>
        <v>4028.1</v>
      </c>
      <c r="J31" s="6">
        <f>IEA_demand!G37</f>
        <v>4642.25</v>
      </c>
      <c r="K31" s="6">
        <f>IEA_demand!H37</f>
        <v>5043.91</v>
      </c>
      <c r="L31" s="6">
        <f>IEA_demand!I37</f>
        <v>5123.7299999999996</v>
      </c>
    </row>
    <row r="32" spans="1:12" x14ac:dyDescent="0.3">
      <c r="A32" t="s">
        <v>8</v>
      </c>
      <c r="B32" t="s">
        <v>191</v>
      </c>
      <c r="C32" s="2" t="s">
        <v>112</v>
      </c>
      <c r="D32" s="2" t="s">
        <v>113</v>
      </c>
      <c r="E32" s="2" t="s">
        <v>100</v>
      </c>
      <c r="F32" t="s">
        <v>72</v>
      </c>
      <c r="G32" s="6">
        <f>IEA_demand!D38</f>
        <v>39.596600000000002</v>
      </c>
      <c r="H32" s="6">
        <f>IEA_demand!E38</f>
        <v>175.74700000000001</v>
      </c>
      <c r="I32" s="6">
        <f>IEA_demand!F38</f>
        <v>260.28199999999998</v>
      </c>
      <c r="J32" s="6">
        <f>IEA_demand!G38</f>
        <v>380.67700000000002</v>
      </c>
      <c r="K32" s="6">
        <f>IEA_demand!H38</f>
        <v>454.31700000000001</v>
      </c>
      <c r="L32" s="6">
        <f>IEA_demand!I38</f>
        <v>544.67399999999998</v>
      </c>
    </row>
    <row r="33" spans="1:12" x14ac:dyDescent="0.3">
      <c r="A33" t="s">
        <v>8</v>
      </c>
      <c r="B33" t="s">
        <v>191</v>
      </c>
      <c r="C33" s="2" t="s">
        <v>112</v>
      </c>
      <c r="D33" s="2" t="s">
        <v>113</v>
      </c>
      <c r="E33" s="2" t="s">
        <v>100</v>
      </c>
      <c r="F33" t="s">
        <v>74</v>
      </c>
      <c r="G33" s="6">
        <f>IEA_demand!D39</f>
        <v>39.596600000000002</v>
      </c>
      <c r="H33" s="6">
        <f>IEA_demand!E39</f>
        <v>281.99</v>
      </c>
      <c r="I33" s="6">
        <f>IEA_demand!F39</f>
        <v>443.25299999999999</v>
      </c>
      <c r="J33" s="6">
        <f>IEA_demand!G39</f>
        <v>654.38800000000003</v>
      </c>
      <c r="K33" s="6">
        <f>IEA_demand!H39</f>
        <v>745.10900000000004</v>
      </c>
      <c r="L33" s="6">
        <f>IEA_demand!I39</f>
        <v>897.63800000000003</v>
      </c>
    </row>
    <row r="34" spans="1:12" x14ac:dyDescent="0.3">
      <c r="A34" t="s">
        <v>8</v>
      </c>
      <c r="B34" t="s">
        <v>192</v>
      </c>
      <c r="C34" s="2" t="s">
        <v>112</v>
      </c>
      <c r="D34" s="2" t="s">
        <v>113</v>
      </c>
      <c r="E34" s="2" t="s">
        <v>100</v>
      </c>
      <c r="F34" t="s">
        <v>72</v>
      </c>
      <c r="G34" s="6">
        <f>IEA_demand!D40</f>
        <v>4143.4799999999996</v>
      </c>
      <c r="H34" s="6">
        <f>IEA_demand!E40</f>
        <v>6103.96</v>
      </c>
      <c r="I34" s="6">
        <f>IEA_demand!F40</f>
        <v>6168.15</v>
      </c>
      <c r="J34" s="6">
        <f>IEA_demand!G40</f>
        <v>6125.22</v>
      </c>
      <c r="K34" s="6">
        <f>IEA_demand!H40</f>
        <v>6312.07</v>
      </c>
      <c r="L34" s="6">
        <f>IEA_demand!I40</f>
        <v>6084.43</v>
      </c>
    </row>
    <row r="35" spans="1:12" x14ac:dyDescent="0.3">
      <c r="A35" t="s">
        <v>8</v>
      </c>
      <c r="B35" t="s">
        <v>192</v>
      </c>
      <c r="C35" s="2" t="s">
        <v>112</v>
      </c>
      <c r="D35" s="2" t="s">
        <v>113</v>
      </c>
      <c r="E35" s="2" t="s">
        <v>100</v>
      </c>
      <c r="F35" t="s">
        <v>74</v>
      </c>
      <c r="G35" s="6">
        <f>IEA_demand!D41</f>
        <v>4143.4799999999996</v>
      </c>
      <c r="H35" s="6">
        <f>IEA_demand!E41</f>
        <v>7939.65</v>
      </c>
      <c r="I35" s="6">
        <f>IEA_demand!F41</f>
        <v>9793.41</v>
      </c>
      <c r="J35" s="6">
        <f>IEA_demand!G41</f>
        <v>10510.1</v>
      </c>
      <c r="K35" s="6">
        <f>IEA_demand!H41</f>
        <v>10437.799999999999</v>
      </c>
      <c r="L35" s="6">
        <f>IEA_demand!I41</f>
        <v>9245.51</v>
      </c>
    </row>
    <row r="36" spans="1:12" x14ac:dyDescent="0.3">
      <c r="A36" t="s">
        <v>8</v>
      </c>
      <c r="B36" t="s">
        <v>193</v>
      </c>
      <c r="C36" s="2" t="s">
        <v>112</v>
      </c>
      <c r="D36" s="2" t="s">
        <v>113</v>
      </c>
      <c r="E36" s="2" t="s">
        <v>100</v>
      </c>
      <c r="F36" t="s">
        <v>72</v>
      </c>
      <c r="G36" s="6">
        <f>IEA_demand!D42</f>
        <v>2.1228900000000001E-3</v>
      </c>
      <c r="H36" s="6">
        <f>IEA_demand!E42</f>
        <v>1.19271E-2</v>
      </c>
      <c r="I36" s="6">
        <f>IEA_demand!F42</f>
        <v>1.31684E-2</v>
      </c>
      <c r="J36" s="6">
        <f>IEA_demand!G42</f>
        <v>1.04E-2</v>
      </c>
      <c r="K36" s="6">
        <f>IEA_demand!H42</f>
        <v>1.0005500000000001E-2</v>
      </c>
      <c r="L36" s="6">
        <f>IEA_demand!I42</f>
        <v>1.36965E-2</v>
      </c>
    </row>
    <row r="37" spans="1:12" x14ac:dyDescent="0.3">
      <c r="A37" t="s">
        <v>8</v>
      </c>
      <c r="B37" t="s">
        <v>193</v>
      </c>
      <c r="C37" s="2" t="s">
        <v>112</v>
      </c>
      <c r="D37" s="2" t="s">
        <v>113</v>
      </c>
      <c r="E37" s="2" t="s">
        <v>100</v>
      </c>
      <c r="F37" t="s">
        <v>74</v>
      </c>
      <c r="G37" s="6">
        <f>IEA_demand!D43</f>
        <v>2.1228900000000001E-3</v>
      </c>
      <c r="H37" s="6">
        <f>IEA_demand!E43</f>
        <v>0.187135</v>
      </c>
      <c r="I37" s="6">
        <f>IEA_demand!F43</f>
        <v>0.20322699999999999</v>
      </c>
      <c r="J37" s="6">
        <f>IEA_demand!G43</f>
        <v>0.17346600000000001</v>
      </c>
      <c r="K37" s="6">
        <f>IEA_demand!H43</f>
        <v>0.14893200000000001</v>
      </c>
      <c r="L37" s="6">
        <f>IEA_demand!I43</f>
        <v>0.19252</v>
      </c>
    </row>
    <row r="38" spans="1:12" x14ac:dyDescent="0.3">
      <c r="A38" t="s">
        <v>9</v>
      </c>
      <c r="B38" t="s">
        <v>77</v>
      </c>
      <c r="C38" s="2" t="s">
        <v>114</v>
      </c>
      <c r="D38" s="2" t="s">
        <v>115</v>
      </c>
      <c r="E38" s="2" t="s">
        <v>103</v>
      </c>
      <c r="F38" t="s">
        <v>72</v>
      </c>
      <c r="G38" s="6">
        <f>IEA_demand!D46</f>
        <v>0.8</v>
      </c>
      <c r="H38" s="6">
        <f>IEA_demand!E46</f>
        <v>1.33</v>
      </c>
      <c r="I38" s="6">
        <f>IEA_demand!F46</f>
        <v>1.1299999999999999</v>
      </c>
      <c r="J38" s="6">
        <f>IEA_demand!G46</f>
        <v>0.94</v>
      </c>
      <c r="K38" s="6">
        <f>IEA_demand!H46</f>
        <v>1.02</v>
      </c>
      <c r="L38" s="6">
        <f>IEA_demand!I46</f>
        <v>1.33</v>
      </c>
    </row>
    <row r="39" spans="1:12" x14ac:dyDescent="0.3">
      <c r="A39" t="s">
        <v>9</v>
      </c>
      <c r="B39" t="s">
        <v>77</v>
      </c>
      <c r="C39" s="2" t="s">
        <v>114</v>
      </c>
      <c r="D39" s="2" t="s">
        <v>115</v>
      </c>
      <c r="E39" s="2" t="s">
        <v>103</v>
      </c>
      <c r="F39" t="s">
        <v>74</v>
      </c>
      <c r="G39" s="6">
        <f>IEA_demand!D47</f>
        <v>0.8</v>
      </c>
      <c r="H39" s="6">
        <f>IEA_demand!E47</f>
        <v>2.34</v>
      </c>
      <c r="I39" s="6">
        <f>IEA_demand!F47</f>
        <v>2.3199999999999998</v>
      </c>
      <c r="J39" s="6">
        <f>IEA_demand!G47</f>
        <v>1.97</v>
      </c>
      <c r="K39" s="6">
        <f>IEA_demand!H47</f>
        <v>1.77</v>
      </c>
      <c r="L39" s="6">
        <f>IEA_demand!I47</f>
        <v>2.31</v>
      </c>
    </row>
    <row r="40" spans="1:12" x14ac:dyDescent="0.3">
      <c r="A40" t="s">
        <v>9</v>
      </c>
      <c r="B40" t="s">
        <v>190</v>
      </c>
      <c r="C40" s="2" t="s">
        <v>114</v>
      </c>
      <c r="D40" s="2" t="s">
        <v>115</v>
      </c>
      <c r="E40" s="2" t="s">
        <v>103</v>
      </c>
      <c r="F40" t="s">
        <v>72</v>
      </c>
      <c r="G40" s="6">
        <f>IEA_demand!D48</f>
        <v>0.53</v>
      </c>
      <c r="H40" s="6">
        <f>IEA_demand!E48</f>
        <v>1.77</v>
      </c>
      <c r="I40" s="6">
        <f>IEA_demand!F48</f>
        <v>2.4700000000000002</v>
      </c>
      <c r="J40" s="6">
        <f>IEA_demand!G48</f>
        <v>2.81</v>
      </c>
      <c r="K40" s="6">
        <f>IEA_demand!H48</f>
        <v>2.98</v>
      </c>
      <c r="L40" s="6">
        <f>IEA_demand!I48</f>
        <v>3.11</v>
      </c>
    </row>
    <row r="41" spans="1:12" x14ac:dyDescent="0.3">
      <c r="A41" t="s">
        <v>9</v>
      </c>
      <c r="B41" t="s">
        <v>190</v>
      </c>
      <c r="C41" s="2" t="s">
        <v>114</v>
      </c>
      <c r="D41" s="2" t="s">
        <v>115</v>
      </c>
      <c r="E41" s="2" t="s">
        <v>103</v>
      </c>
      <c r="F41" t="s">
        <v>74</v>
      </c>
      <c r="G41" s="6">
        <f>IEA_demand!D49</f>
        <v>0.53</v>
      </c>
      <c r="H41" s="6">
        <f>IEA_demand!E49</f>
        <v>2.5499999999999998</v>
      </c>
      <c r="I41" s="6">
        <f>IEA_demand!F49</f>
        <v>3.61</v>
      </c>
      <c r="J41" s="6">
        <f>IEA_demand!G49</f>
        <v>3.74</v>
      </c>
      <c r="K41" s="6">
        <f>IEA_demand!H49</f>
        <v>3.94</v>
      </c>
      <c r="L41" s="6">
        <f>IEA_demand!I49</f>
        <v>4.0599999999999996</v>
      </c>
    </row>
    <row r="42" spans="1:12" x14ac:dyDescent="0.3">
      <c r="A42" t="s">
        <v>10</v>
      </c>
      <c r="B42" t="s">
        <v>75</v>
      </c>
      <c r="C42" s="2" t="s">
        <v>120</v>
      </c>
      <c r="D42" s="2" t="s">
        <v>121</v>
      </c>
      <c r="E42" s="2" t="s">
        <v>103</v>
      </c>
      <c r="F42" t="s">
        <v>72</v>
      </c>
      <c r="G42" s="6">
        <f>IEA_demand!D52</f>
        <v>1.5553900000000001E-2</v>
      </c>
      <c r="H42" s="6">
        <f>IEA_demand!E52</f>
        <v>0.15982199999999999</v>
      </c>
      <c r="I42" s="6">
        <f>IEA_demand!F52</f>
        <v>0.811249</v>
      </c>
      <c r="J42" s="6">
        <f>IEA_demand!G52</f>
        <v>4.3885100000000001</v>
      </c>
      <c r="K42" s="6">
        <f>IEA_demand!H52</f>
        <v>4.5919800000000004</v>
      </c>
      <c r="L42" s="6">
        <f>IEA_demand!I52</f>
        <v>5.0314500000000004</v>
      </c>
    </row>
    <row r="43" spans="1:12" x14ac:dyDescent="0.3">
      <c r="A43" t="s">
        <v>10</v>
      </c>
      <c r="B43" t="s">
        <v>75</v>
      </c>
      <c r="C43" s="2" t="s">
        <v>120</v>
      </c>
      <c r="D43" s="2" t="s">
        <v>121</v>
      </c>
      <c r="E43" s="2" t="s">
        <v>103</v>
      </c>
      <c r="F43" t="s">
        <v>74</v>
      </c>
      <c r="G43" s="6">
        <f>IEA_demand!D53</f>
        <v>1.5553900000000001E-2</v>
      </c>
      <c r="H43" s="6">
        <f>IEA_demand!E53</f>
        <v>0.25052600000000003</v>
      </c>
      <c r="I43" s="6">
        <f>IEA_demand!F53</f>
        <v>1.3161499999999999</v>
      </c>
      <c r="J43" s="6">
        <f>IEA_demand!G53</f>
        <v>6.1241399999999997</v>
      </c>
      <c r="K43" s="6">
        <f>IEA_demand!H53</f>
        <v>4.98881</v>
      </c>
      <c r="L43" s="6">
        <f>IEA_demand!I53</f>
        <v>6.3221999999999996</v>
      </c>
    </row>
    <row r="44" spans="1:12" x14ac:dyDescent="0.3">
      <c r="A44" t="s">
        <v>209</v>
      </c>
      <c r="B44" t="s">
        <v>190</v>
      </c>
      <c r="C44" s="2" t="s">
        <v>122</v>
      </c>
      <c r="D44" s="2" t="s">
        <v>123</v>
      </c>
      <c r="E44" s="2" t="s">
        <v>124</v>
      </c>
      <c r="F44" t="s">
        <v>72</v>
      </c>
      <c r="G44" s="6">
        <f>IEA_demand!D56</f>
        <v>685.56399999999996</v>
      </c>
      <c r="H44" s="6">
        <f>IEA_demand!E56</f>
        <v>2791.72</v>
      </c>
      <c r="I44" s="6">
        <f>IEA_demand!F56</f>
        <v>3825.6</v>
      </c>
      <c r="J44" s="6">
        <f>IEA_demand!G56</f>
        <v>3674.59</v>
      </c>
      <c r="K44" s="6">
        <f>IEA_demand!H56</f>
        <v>2768.2</v>
      </c>
      <c r="L44" s="6">
        <f>IEA_demand!I56</f>
        <v>2215.23</v>
      </c>
    </row>
    <row r="45" spans="1:12" x14ac:dyDescent="0.3">
      <c r="A45" t="s">
        <v>209</v>
      </c>
      <c r="B45" t="s">
        <v>190</v>
      </c>
      <c r="C45" s="2" t="s">
        <v>122</v>
      </c>
      <c r="D45" s="2" t="s">
        <v>123</v>
      </c>
      <c r="E45" s="2" t="s">
        <v>124</v>
      </c>
      <c r="F45" t="s">
        <v>74</v>
      </c>
      <c r="G45" s="6">
        <f>IEA_demand!D57</f>
        <v>685.56399999999996</v>
      </c>
      <c r="H45" s="6">
        <f>IEA_demand!E57</f>
        <v>4537.46</v>
      </c>
      <c r="I45" s="6">
        <f>IEA_demand!F57</f>
        <v>6083.98</v>
      </c>
      <c r="J45" s="6">
        <f>IEA_demand!G57</f>
        <v>5777.93</v>
      </c>
      <c r="K45" s="6">
        <f>IEA_demand!H57</f>
        <v>4660.41</v>
      </c>
      <c r="L45" s="6">
        <f>IEA_demand!I57</f>
        <v>3593.25</v>
      </c>
    </row>
    <row r="46" spans="1:12" x14ac:dyDescent="0.3">
      <c r="A46" t="s">
        <v>209</v>
      </c>
      <c r="B46" t="s">
        <v>191</v>
      </c>
      <c r="C46" s="2" t="s">
        <v>122</v>
      </c>
      <c r="D46" s="2" t="s">
        <v>123</v>
      </c>
      <c r="E46" s="2" t="s">
        <v>124</v>
      </c>
      <c r="F46" t="s">
        <v>72</v>
      </c>
      <c r="G46" s="6">
        <f>IEA_demand!D58</f>
        <v>86.618600000000001</v>
      </c>
      <c r="H46" s="6">
        <f>IEA_demand!E58</f>
        <v>303.45499999999998</v>
      </c>
      <c r="I46" s="6">
        <f>IEA_demand!F58</f>
        <v>410.25700000000001</v>
      </c>
      <c r="J46" s="6">
        <f>IEA_demand!G58</f>
        <v>540.57799999999997</v>
      </c>
      <c r="K46" s="6">
        <f>IEA_demand!H58</f>
        <v>598.62900000000002</v>
      </c>
      <c r="L46" s="6">
        <f>IEA_demand!I58</f>
        <v>677</v>
      </c>
    </row>
    <row r="47" spans="1:12" x14ac:dyDescent="0.3">
      <c r="A47" t="s">
        <v>209</v>
      </c>
      <c r="B47" t="s">
        <v>191</v>
      </c>
      <c r="C47" s="2" t="s">
        <v>122</v>
      </c>
      <c r="D47" s="2" t="s">
        <v>123</v>
      </c>
      <c r="E47" s="2" t="s">
        <v>124</v>
      </c>
      <c r="F47" t="s">
        <v>74</v>
      </c>
      <c r="G47" s="6">
        <f>IEA_demand!D59</f>
        <v>86.618600000000001</v>
      </c>
      <c r="H47" s="6">
        <f>IEA_demand!E59</f>
        <v>486.90199999999999</v>
      </c>
      <c r="I47" s="6">
        <f>IEA_demand!F59</f>
        <v>698.65599999999995</v>
      </c>
      <c r="J47" s="6">
        <f>IEA_demand!G59</f>
        <v>929.26099999999997</v>
      </c>
      <c r="K47" s="6">
        <f>IEA_demand!H59</f>
        <v>981.79</v>
      </c>
      <c r="L47" s="6">
        <f>IEA_demand!I59</f>
        <v>1115.71</v>
      </c>
    </row>
    <row r="48" spans="1:12" s="44" customFormat="1" x14ac:dyDescent="0.3">
      <c r="A48" s="44" t="s">
        <v>176</v>
      </c>
      <c r="B48" s="44" t="s">
        <v>188</v>
      </c>
      <c r="C48" s="44" t="s">
        <v>223</v>
      </c>
      <c r="D48" s="44" t="s">
        <v>224</v>
      </c>
      <c r="E48" s="44" t="s">
        <v>103</v>
      </c>
      <c r="F48" s="44" t="s">
        <v>72</v>
      </c>
      <c r="G48" s="55">
        <f>IEA_demand!D62</f>
        <v>7.9040299999999994E-3</v>
      </c>
      <c r="H48" s="55">
        <f>IEA_demand!E62</f>
        <v>1.2846E-2</v>
      </c>
      <c r="I48" s="55">
        <f>IEA_demand!F62</f>
        <v>8.1198699999999995E-3</v>
      </c>
      <c r="J48" s="55">
        <f>IEA_demand!G62</f>
        <v>6.2924000000000001E-3</v>
      </c>
      <c r="K48" s="55">
        <f>IEA_demand!H62</f>
        <v>1.01949E-2</v>
      </c>
      <c r="L48" s="55">
        <f>IEA_demand!I62</f>
        <v>7.4718299999999996E-3</v>
      </c>
    </row>
    <row r="49" spans="1:12" s="44" customFormat="1" x14ac:dyDescent="0.3">
      <c r="A49" s="44" t="s">
        <v>176</v>
      </c>
      <c r="B49" s="44" t="s">
        <v>188</v>
      </c>
      <c r="C49" s="44" t="s">
        <v>223</v>
      </c>
      <c r="D49" s="44" t="s">
        <v>224</v>
      </c>
      <c r="E49" s="44" t="s">
        <v>103</v>
      </c>
      <c r="F49" s="44" t="s">
        <v>74</v>
      </c>
      <c r="G49" s="55">
        <f>IEA_demand!D63</f>
        <v>7.9040299999999994E-3</v>
      </c>
      <c r="H49" s="55">
        <f>IEA_demand!E63</f>
        <v>1.62314E-2</v>
      </c>
      <c r="I49" s="55">
        <f>IEA_demand!F63</f>
        <v>1.67239E-2</v>
      </c>
      <c r="J49" s="55">
        <f>IEA_demand!G63</f>
        <v>1.25126E-2</v>
      </c>
      <c r="K49" s="55">
        <f>IEA_demand!H63</f>
        <v>1.05916E-2</v>
      </c>
      <c r="L49" s="55">
        <f>IEA_demand!I63</f>
        <v>9.1365400000000003E-3</v>
      </c>
    </row>
    <row r="50" spans="1:12" x14ac:dyDescent="0.3">
      <c r="A50" t="s">
        <v>15</v>
      </c>
      <c r="B50" t="s">
        <v>75</v>
      </c>
      <c r="C50" s="2" t="s">
        <v>125</v>
      </c>
      <c r="D50" s="2" t="s">
        <v>126</v>
      </c>
      <c r="E50" s="2" t="s">
        <v>103</v>
      </c>
      <c r="F50" t="s">
        <v>72</v>
      </c>
      <c r="G50" s="6">
        <f>IEA_demand!D64</f>
        <v>0.06</v>
      </c>
      <c r="H50" s="6">
        <f>IEA_demand!E64</f>
        <v>0.08</v>
      </c>
      <c r="I50" s="6">
        <f>IEA_demand!F64</f>
        <v>0.09</v>
      </c>
      <c r="J50" s="6">
        <f>IEA_demand!G64</f>
        <v>0.13</v>
      </c>
      <c r="K50" s="6">
        <f>IEA_demand!H64</f>
        <v>0.13</v>
      </c>
      <c r="L50" s="6">
        <f>IEA_demand!I64</f>
        <v>0.13</v>
      </c>
    </row>
    <row r="51" spans="1:12" x14ac:dyDescent="0.3">
      <c r="A51" t="s">
        <v>15</v>
      </c>
      <c r="B51" t="s">
        <v>75</v>
      </c>
      <c r="C51" s="2" t="s">
        <v>125</v>
      </c>
      <c r="D51" s="2" t="s">
        <v>126</v>
      </c>
      <c r="E51" s="2" t="s">
        <v>103</v>
      </c>
      <c r="F51" t="s">
        <v>74</v>
      </c>
      <c r="G51" s="6">
        <f>IEA_demand!D65</f>
        <v>7.0000000000000007E-2</v>
      </c>
      <c r="H51" s="6">
        <f>IEA_demand!E65</f>
        <v>0.12</v>
      </c>
      <c r="I51" s="6">
        <f>IEA_demand!F65</f>
        <v>0.13</v>
      </c>
      <c r="J51" s="6">
        <f>IEA_demand!G65</f>
        <v>0.17</v>
      </c>
      <c r="K51" s="6">
        <f>IEA_demand!H65</f>
        <v>0.12</v>
      </c>
      <c r="L51" s="6">
        <f>IEA_demand!I65</f>
        <v>0.15</v>
      </c>
    </row>
    <row r="52" spans="1:12" x14ac:dyDescent="0.3">
      <c r="A52" t="s">
        <v>15</v>
      </c>
      <c r="B52" t="s">
        <v>188</v>
      </c>
      <c r="C52" s="2" t="s">
        <v>125</v>
      </c>
      <c r="D52" s="2" t="s">
        <v>126</v>
      </c>
      <c r="E52" s="2" t="s">
        <v>103</v>
      </c>
      <c r="F52" t="s">
        <v>72</v>
      </c>
      <c r="G52" s="6">
        <f>IEA_demand!D66</f>
        <v>0.03</v>
      </c>
      <c r="H52" s="6">
        <f>IEA_demand!E66</f>
        <v>0.04</v>
      </c>
      <c r="I52" s="6">
        <f>IEA_demand!F66</f>
        <v>0.03</v>
      </c>
      <c r="J52" s="6">
        <f>IEA_demand!G66</f>
        <v>0.02</v>
      </c>
      <c r="K52" s="6">
        <f>IEA_demand!H66</f>
        <v>0.03</v>
      </c>
      <c r="L52" s="6">
        <f>IEA_demand!I66</f>
        <v>0.02</v>
      </c>
    </row>
    <row r="53" spans="1:12" x14ac:dyDescent="0.3">
      <c r="A53" t="s">
        <v>15</v>
      </c>
      <c r="B53" t="s">
        <v>188</v>
      </c>
      <c r="C53" s="2" t="s">
        <v>125</v>
      </c>
      <c r="D53" s="2" t="s">
        <v>126</v>
      </c>
      <c r="E53" s="2" t="s">
        <v>103</v>
      </c>
      <c r="F53" t="s">
        <v>74</v>
      </c>
      <c r="G53" s="6">
        <f>IEA_demand!D67</f>
        <v>0.03</v>
      </c>
      <c r="H53" s="6">
        <f>IEA_demand!E67</f>
        <v>0.05</v>
      </c>
      <c r="I53" s="6">
        <f>IEA_demand!F67</f>
        <v>0.06</v>
      </c>
      <c r="J53" s="6">
        <f>IEA_demand!G67</f>
        <v>0.04</v>
      </c>
      <c r="K53" s="6">
        <f>IEA_demand!H67</f>
        <v>0.04</v>
      </c>
      <c r="L53" s="6">
        <f>IEA_demand!I67</f>
        <v>0.03</v>
      </c>
    </row>
    <row r="54" spans="1:12" x14ac:dyDescent="0.3">
      <c r="A54" t="s">
        <v>16</v>
      </c>
      <c r="B54" t="s">
        <v>193</v>
      </c>
      <c r="C54" s="2" t="s">
        <v>127</v>
      </c>
      <c r="D54" s="2" t="s">
        <v>128</v>
      </c>
      <c r="E54" s="2" t="s">
        <v>129</v>
      </c>
      <c r="F54" t="s">
        <v>72</v>
      </c>
      <c r="G54" s="6">
        <f>IEA_demand!D70</f>
        <v>1.9893600000000001E-4</v>
      </c>
      <c r="H54" s="6">
        <f>IEA_demand!E70</f>
        <v>4.92349E-4</v>
      </c>
      <c r="I54" s="6">
        <f>IEA_demand!F70</f>
        <v>4.4168799999999998E-4</v>
      </c>
      <c r="J54" s="6">
        <f>IEA_demand!G70</f>
        <v>2.6834500000000002E-4</v>
      </c>
      <c r="K54" s="6">
        <f>IEA_demand!H70</f>
        <v>1.8072499999999999E-4</v>
      </c>
      <c r="L54" s="6">
        <f>IEA_demand!I70</f>
        <v>1.4137500000000001E-4</v>
      </c>
    </row>
    <row r="55" spans="1:12" x14ac:dyDescent="0.3">
      <c r="A55" t="s">
        <v>16</v>
      </c>
      <c r="B55" t="s">
        <v>193</v>
      </c>
      <c r="C55" s="2" t="s">
        <v>127</v>
      </c>
      <c r="D55" s="2" t="s">
        <v>128</v>
      </c>
      <c r="E55" s="2" t="s">
        <v>129</v>
      </c>
      <c r="F55" t="s">
        <v>74</v>
      </c>
      <c r="G55" s="6">
        <f>IEA_demand!D71</f>
        <v>1.9893600000000001E-4</v>
      </c>
      <c r="H55" s="6">
        <f>IEA_demand!E71</f>
        <v>7.7248999999999998E-3</v>
      </c>
      <c r="I55" s="6">
        <f>IEA_demand!F71</f>
        <v>6.81658E-3</v>
      </c>
      <c r="J55" s="6">
        <f>IEA_demand!G71</f>
        <v>4.47584E-3</v>
      </c>
      <c r="K55" s="6">
        <f>IEA_demand!H71</f>
        <v>2.6901099999999999E-3</v>
      </c>
      <c r="L55" s="6">
        <f>IEA_demand!I71</f>
        <v>1.9871899999999998E-3</v>
      </c>
    </row>
    <row r="56" spans="1:12" s="44" customFormat="1" x14ac:dyDescent="0.3">
      <c r="A56" s="44" t="s">
        <v>183</v>
      </c>
      <c r="B56" s="44" t="s">
        <v>188</v>
      </c>
      <c r="C56" s="44" t="s">
        <v>225</v>
      </c>
      <c r="D56" s="44" t="s">
        <v>226</v>
      </c>
      <c r="E56" s="44" t="s">
        <v>103</v>
      </c>
      <c r="F56" s="44" t="s">
        <v>72</v>
      </c>
      <c r="G56" s="55">
        <f>IEA_demand!D72</f>
        <v>3.02492E-3</v>
      </c>
      <c r="H56" s="55">
        <f>IEA_demand!E72</f>
        <v>5.1365400000000002E-3</v>
      </c>
      <c r="I56" s="55">
        <f>IEA_demand!F72</f>
        <v>4.1103900000000002E-3</v>
      </c>
      <c r="J56" s="55">
        <f>IEA_demand!G72</f>
        <v>3.2574700000000002E-3</v>
      </c>
      <c r="K56" s="55">
        <f>IEA_demand!H72</f>
        <v>3.1443999999999999E-3</v>
      </c>
      <c r="L56" s="55">
        <f>IEA_demand!I72</f>
        <v>4.3183400000000004E-3</v>
      </c>
    </row>
    <row r="57" spans="1:12" s="44" customFormat="1" x14ac:dyDescent="0.3">
      <c r="A57" s="44" t="s">
        <v>183</v>
      </c>
      <c r="B57" s="44" t="s">
        <v>188</v>
      </c>
      <c r="C57" s="44" t="s">
        <v>225</v>
      </c>
      <c r="D57" s="44" t="s">
        <v>226</v>
      </c>
      <c r="E57" s="44" t="s">
        <v>103</v>
      </c>
      <c r="F57" s="44" t="s">
        <v>74</v>
      </c>
      <c r="G57" s="55">
        <f>IEA_demand!D73</f>
        <v>3.02492E-3</v>
      </c>
      <c r="H57" s="55">
        <f>IEA_demand!E73</f>
        <v>8.0591700000000002E-2</v>
      </c>
      <c r="I57" s="55">
        <f>IEA_demand!F73</f>
        <v>6.3435699999999998E-2</v>
      </c>
      <c r="J57" s="55">
        <f>IEA_demand!G73</f>
        <v>5.4332699999999998E-2</v>
      </c>
      <c r="K57" s="55">
        <f>IEA_demand!H73</f>
        <v>4.6804600000000002E-2</v>
      </c>
      <c r="L57" s="55">
        <f>IEA_demand!I73</f>
        <v>6.0699299999999998E-2</v>
      </c>
    </row>
    <row r="58" spans="1:12" x14ac:dyDescent="0.3">
      <c r="A58" t="s">
        <v>17</v>
      </c>
      <c r="B58" t="s">
        <v>75</v>
      </c>
      <c r="C58" s="2" t="s">
        <v>130</v>
      </c>
      <c r="D58" s="2" t="s">
        <v>131</v>
      </c>
      <c r="E58" s="2" t="s">
        <v>103</v>
      </c>
      <c r="F58" t="s">
        <v>72</v>
      </c>
      <c r="G58" s="6">
        <f>IEA_demand!D74</f>
        <v>2.0099999999999998</v>
      </c>
      <c r="H58" s="6">
        <f>IEA_demand!E74</f>
        <v>2.85</v>
      </c>
      <c r="I58" s="6">
        <f>IEA_demand!F74</f>
        <v>2.92</v>
      </c>
      <c r="J58" s="6">
        <f>IEA_demand!G74</f>
        <v>2.88</v>
      </c>
      <c r="K58" s="6">
        <f>IEA_demand!H74</f>
        <v>3.02</v>
      </c>
      <c r="L58" s="6">
        <f>IEA_demand!I74</f>
        <v>3.31</v>
      </c>
    </row>
    <row r="59" spans="1:12" x14ac:dyDescent="0.3">
      <c r="A59" t="s">
        <v>17</v>
      </c>
      <c r="B59" t="s">
        <v>75</v>
      </c>
      <c r="C59" s="2" t="s">
        <v>130</v>
      </c>
      <c r="D59" s="2" t="s">
        <v>131</v>
      </c>
      <c r="E59" s="2" t="s">
        <v>103</v>
      </c>
      <c r="F59" t="s">
        <v>74</v>
      </c>
      <c r="G59" s="6">
        <f>IEA_demand!D75</f>
        <v>2.0099999999999998</v>
      </c>
      <c r="H59" s="6">
        <f>IEA_demand!E75</f>
        <v>4.57</v>
      </c>
      <c r="I59" s="6">
        <f>IEA_demand!F75</f>
        <v>4.76</v>
      </c>
      <c r="J59" s="6">
        <f>IEA_demand!G75</f>
        <v>4.0199999999999996</v>
      </c>
      <c r="K59" s="6">
        <f>IEA_demand!H75</f>
        <v>3.28</v>
      </c>
      <c r="L59" s="6">
        <f>IEA_demand!I75</f>
        <v>4.16</v>
      </c>
    </row>
    <row r="60" spans="1:12" x14ac:dyDescent="0.3">
      <c r="A60" t="s">
        <v>17</v>
      </c>
      <c r="B60" t="s">
        <v>188</v>
      </c>
      <c r="C60" s="2" t="s">
        <v>130</v>
      </c>
      <c r="D60" s="2" t="s">
        <v>131</v>
      </c>
      <c r="E60" s="2" t="s">
        <v>103</v>
      </c>
      <c r="F60" t="s">
        <v>72</v>
      </c>
      <c r="G60" s="6">
        <f>IEA_demand!D76</f>
        <v>10.5</v>
      </c>
      <c r="H60" s="6">
        <f>IEA_demand!E76</f>
        <v>13.6</v>
      </c>
      <c r="I60" s="6">
        <f>IEA_demand!F76</f>
        <v>9.6</v>
      </c>
      <c r="J60" s="6">
        <f>IEA_demand!G76</f>
        <v>10.1</v>
      </c>
      <c r="K60" s="6">
        <f>IEA_demand!H76</f>
        <v>14.4</v>
      </c>
      <c r="L60" s="6">
        <f>IEA_demand!I76</f>
        <v>14.2</v>
      </c>
    </row>
    <row r="61" spans="1:12" x14ac:dyDescent="0.3">
      <c r="A61" t="s">
        <v>17</v>
      </c>
      <c r="B61" t="s">
        <v>188</v>
      </c>
      <c r="C61" s="2" t="s">
        <v>130</v>
      </c>
      <c r="D61" s="2" t="s">
        <v>131</v>
      </c>
      <c r="E61" s="2" t="s">
        <v>103</v>
      </c>
      <c r="F61" t="s">
        <v>74</v>
      </c>
      <c r="G61" s="6">
        <f>IEA_demand!D77</f>
        <v>10.5</v>
      </c>
      <c r="H61" s="6">
        <f>IEA_demand!E77</f>
        <v>27</v>
      </c>
      <c r="I61" s="6">
        <f>IEA_demand!F77</f>
        <v>21.5</v>
      </c>
      <c r="J61" s="6">
        <f>IEA_demand!G77</f>
        <v>17.7</v>
      </c>
      <c r="K61" s="6">
        <f>IEA_demand!H77</f>
        <v>15.7</v>
      </c>
      <c r="L61" s="6">
        <f>IEA_demand!I77</f>
        <v>14.3</v>
      </c>
    </row>
    <row r="62" spans="1:12" x14ac:dyDescent="0.3">
      <c r="A62" t="s">
        <v>18</v>
      </c>
      <c r="B62" t="s">
        <v>190</v>
      </c>
      <c r="C62" s="2" t="s">
        <v>132</v>
      </c>
      <c r="D62" s="2" t="s">
        <v>133</v>
      </c>
      <c r="E62" s="2" t="s">
        <v>100</v>
      </c>
      <c r="F62" t="s">
        <v>72</v>
      </c>
      <c r="G62" s="6">
        <f>IEA_demand!D80</f>
        <v>82.852699999999999</v>
      </c>
      <c r="H62" s="6">
        <f>IEA_demand!E80</f>
        <v>346.685</v>
      </c>
      <c r="I62" s="6">
        <f>IEA_demand!F80</f>
        <v>581.51300000000003</v>
      </c>
      <c r="J62" s="6">
        <f>IEA_demand!G80</f>
        <v>808.25400000000002</v>
      </c>
      <c r="K62" s="6">
        <f>IEA_demand!H80</f>
        <v>908.76</v>
      </c>
      <c r="L62" s="6">
        <f>IEA_demand!I80</f>
        <v>964.43600000000004</v>
      </c>
    </row>
    <row r="63" spans="1:12" x14ac:dyDescent="0.3">
      <c r="A63" t="s">
        <v>18</v>
      </c>
      <c r="B63" t="s">
        <v>190</v>
      </c>
      <c r="C63" s="2" t="s">
        <v>132</v>
      </c>
      <c r="D63" s="2" t="s">
        <v>133</v>
      </c>
      <c r="E63" s="2" t="s">
        <v>100</v>
      </c>
      <c r="F63" t="s">
        <v>74</v>
      </c>
      <c r="G63" s="6">
        <f>IEA_demand!D81</f>
        <v>82.852699999999999</v>
      </c>
      <c r="H63" s="6">
        <f>IEA_demand!E81</f>
        <v>559.74400000000003</v>
      </c>
      <c r="I63" s="6">
        <f>IEA_demand!F81</f>
        <v>908.98299999999995</v>
      </c>
      <c r="J63" s="6">
        <f>IEA_demand!G81</f>
        <v>1205.81</v>
      </c>
      <c r="K63" s="6">
        <f>IEA_demand!H81</f>
        <v>1410.26</v>
      </c>
      <c r="L63" s="6">
        <f>IEA_demand!I81</f>
        <v>1446.84</v>
      </c>
    </row>
    <row r="64" spans="1:12" x14ac:dyDescent="0.3">
      <c r="A64" t="s">
        <v>18</v>
      </c>
      <c r="B64" t="s">
        <v>191</v>
      </c>
      <c r="C64" s="2" t="s">
        <v>132</v>
      </c>
      <c r="D64" s="2" t="s">
        <v>133</v>
      </c>
      <c r="E64" s="2" t="s">
        <v>100</v>
      </c>
      <c r="F64" t="s">
        <v>72</v>
      </c>
      <c r="G64" s="6">
        <f>IEA_demand!D82</f>
        <v>9.2195599999999995</v>
      </c>
      <c r="H64" s="6">
        <f>IEA_demand!E82</f>
        <v>34.8063</v>
      </c>
      <c r="I64" s="6">
        <f>IEA_demand!F82</f>
        <v>45.3536</v>
      </c>
      <c r="J64" s="6">
        <f>IEA_demand!G82</f>
        <v>59.387</v>
      </c>
      <c r="K64" s="6">
        <f>IEA_demand!H82</f>
        <v>68.291700000000006</v>
      </c>
      <c r="L64" s="6">
        <f>IEA_demand!I82</f>
        <v>76.6447</v>
      </c>
    </row>
    <row r="65" spans="1:12" x14ac:dyDescent="0.3">
      <c r="A65" t="s">
        <v>18</v>
      </c>
      <c r="B65" t="s">
        <v>191</v>
      </c>
      <c r="C65" s="2" t="s">
        <v>132</v>
      </c>
      <c r="D65" s="2" t="s">
        <v>133</v>
      </c>
      <c r="E65" s="2" t="s">
        <v>100</v>
      </c>
      <c r="F65" t="s">
        <v>74</v>
      </c>
      <c r="G65" s="6">
        <f>IEA_demand!D83</f>
        <v>9.2195599999999995</v>
      </c>
      <c r="H65" s="6">
        <f>IEA_demand!E83</f>
        <v>55.8476</v>
      </c>
      <c r="I65" s="6">
        <f>IEA_demand!F83</f>
        <v>77.235799999999998</v>
      </c>
      <c r="J65" s="6">
        <f>IEA_demand!G83</f>
        <v>102.087</v>
      </c>
      <c r="K65" s="6">
        <f>IEA_demand!H83</f>
        <v>112.003</v>
      </c>
      <c r="L65" s="6">
        <f>IEA_demand!I83</f>
        <v>126.312</v>
      </c>
    </row>
    <row r="66" spans="1:12" s="44" customFormat="1" x14ac:dyDescent="0.3">
      <c r="A66" s="44" t="s">
        <v>177</v>
      </c>
      <c r="B66" s="44" t="s">
        <v>188</v>
      </c>
      <c r="C66" s="44" t="s">
        <v>227</v>
      </c>
      <c r="D66" s="44" t="s">
        <v>228</v>
      </c>
      <c r="E66" s="44" t="s">
        <v>103</v>
      </c>
      <c r="F66" s="44" t="s">
        <v>72</v>
      </c>
      <c r="G66" s="55">
        <f>IEA_demand!D86</f>
        <v>8.0552499999999991</v>
      </c>
      <c r="H66" s="55">
        <f>IEA_demand!E86</f>
        <v>7.7247599999999998</v>
      </c>
      <c r="I66" s="55">
        <f>IEA_demand!F86</f>
        <v>10.1708</v>
      </c>
      <c r="J66" s="55">
        <f>IEA_demand!G86</f>
        <v>12.132999999999999</v>
      </c>
      <c r="K66" s="55">
        <f>IEA_demand!H86</f>
        <v>12.8941</v>
      </c>
      <c r="L66" s="55">
        <f>IEA_demand!I86</f>
        <v>15.1028</v>
      </c>
    </row>
    <row r="67" spans="1:12" s="44" customFormat="1" x14ac:dyDescent="0.3">
      <c r="A67" s="44" t="s">
        <v>177</v>
      </c>
      <c r="B67" s="44" t="s">
        <v>188</v>
      </c>
      <c r="C67" s="44" t="s">
        <v>227</v>
      </c>
      <c r="D67" s="44" t="s">
        <v>228</v>
      </c>
      <c r="E67" s="44" t="s">
        <v>103</v>
      </c>
      <c r="F67" s="44" t="s">
        <v>74</v>
      </c>
      <c r="G67" s="55">
        <f>IEA_demand!D87</f>
        <v>8.0552499999999991</v>
      </c>
      <c r="H67" s="55">
        <f>IEA_demand!E87</f>
        <v>30.9498</v>
      </c>
      <c r="I67" s="55">
        <f>IEA_demand!F87</f>
        <v>54.578099999999999</v>
      </c>
      <c r="J67" s="55">
        <f>IEA_demand!G87</f>
        <v>54.1798</v>
      </c>
      <c r="K67" s="55">
        <f>IEA_demand!H87</f>
        <v>42.314</v>
      </c>
      <c r="L67" s="55">
        <f>IEA_demand!I87</f>
        <v>33.632399999999997</v>
      </c>
    </row>
    <row r="68" spans="1:12" x14ac:dyDescent="0.3">
      <c r="A68" t="s">
        <v>19</v>
      </c>
      <c r="B68" t="s">
        <v>77</v>
      </c>
      <c r="C68" s="2" t="s">
        <v>135</v>
      </c>
      <c r="D68" s="2" t="s">
        <v>136</v>
      </c>
      <c r="E68" s="2" t="s">
        <v>103</v>
      </c>
      <c r="F68" t="s">
        <v>72</v>
      </c>
      <c r="G68" s="6">
        <f>IEA_demand!D88</f>
        <v>100.485</v>
      </c>
      <c r="H68" s="6">
        <f>IEA_demand!E88</f>
        <v>138.59299999999999</v>
      </c>
      <c r="I68" s="6">
        <f>IEA_demand!F88</f>
        <v>123.51300000000001</v>
      </c>
      <c r="J68" s="6">
        <f>IEA_demand!G88</f>
        <v>108.745</v>
      </c>
      <c r="K68" s="6">
        <f>IEA_demand!H88</f>
        <v>121.214</v>
      </c>
      <c r="L68" s="6">
        <f>IEA_demand!I88</f>
        <v>151.898</v>
      </c>
    </row>
    <row r="69" spans="1:12" x14ac:dyDescent="0.3">
      <c r="A69" t="s">
        <v>19</v>
      </c>
      <c r="B69" t="s">
        <v>77</v>
      </c>
      <c r="C69" s="2" t="s">
        <v>135</v>
      </c>
      <c r="D69" s="2" t="s">
        <v>136</v>
      </c>
      <c r="E69" s="2" t="s">
        <v>103</v>
      </c>
      <c r="F69" t="s">
        <v>74</v>
      </c>
      <c r="G69" s="6">
        <f>IEA_demand!D89</f>
        <v>100.485</v>
      </c>
      <c r="H69" s="6">
        <f>IEA_demand!E89</f>
        <v>242.8</v>
      </c>
      <c r="I69" s="6">
        <f>IEA_demand!F89</f>
        <v>262.22800000000001</v>
      </c>
      <c r="J69" s="6">
        <f>IEA_demand!G89</f>
        <v>228.703</v>
      </c>
      <c r="K69" s="6">
        <f>IEA_demand!H89</f>
        <v>196.61699999999999</v>
      </c>
      <c r="L69" s="6">
        <f>IEA_demand!I89</f>
        <v>249.56399999999999</v>
      </c>
    </row>
    <row r="70" spans="1:12" x14ac:dyDescent="0.3">
      <c r="A70" t="s">
        <v>19</v>
      </c>
      <c r="B70" t="s">
        <v>188</v>
      </c>
      <c r="C70" s="2" t="s">
        <v>135</v>
      </c>
      <c r="D70" s="2" t="s">
        <v>136</v>
      </c>
      <c r="E70" s="2" t="s">
        <v>103</v>
      </c>
      <c r="F70" t="s">
        <v>72</v>
      </c>
      <c r="G70" s="6">
        <f>IEA_demand!D90</f>
        <v>21.543999999999901</v>
      </c>
      <c r="H70" s="6">
        <f>IEA_demand!E90</f>
        <v>30.754000000000001</v>
      </c>
      <c r="I70" s="6">
        <f>IEA_demand!F90</f>
        <v>31.157999999999902</v>
      </c>
      <c r="J70" s="6">
        <f>IEA_demand!G90</f>
        <v>36.4909999999999</v>
      </c>
      <c r="K70" s="6">
        <f>IEA_demand!H90</f>
        <v>37.056999999999903</v>
      </c>
      <c r="L70" s="6">
        <f>IEA_demand!I90</f>
        <v>39.406999999999996</v>
      </c>
    </row>
    <row r="71" spans="1:12" x14ac:dyDescent="0.3">
      <c r="A71" t="s">
        <v>19</v>
      </c>
      <c r="B71" t="s">
        <v>188</v>
      </c>
      <c r="C71" s="2" t="s">
        <v>135</v>
      </c>
      <c r="D71" s="2" t="s">
        <v>136</v>
      </c>
      <c r="E71" s="2" t="s">
        <v>103</v>
      </c>
      <c r="F71" t="s">
        <v>74</v>
      </c>
      <c r="G71" s="6">
        <f>IEA_demand!D91</f>
        <v>21.543999999999901</v>
      </c>
      <c r="H71" s="6">
        <f>IEA_demand!E91</f>
        <v>93.847999999999999</v>
      </c>
      <c r="I71" s="6">
        <f>IEA_demand!F91</f>
        <v>133.185</v>
      </c>
      <c r="J71" s="6">
        <f>IEA_demand!G91</f>
        <v>128.04299999999901</v>
      </c>
      <c r="K71" s="6">
        <f>IEA_demand!H91</f>
        <v>99.763000000000005</v>
      </c>
      <c r="L71" s="6">
        <f>IEA_demand!I91</f>
        <v>78.680000000000007</v>
      </c>
    </row>
    <row r="72" spans="1:12" x14ac:dyDescent="0.3">
      <c r="A72" t="s">
        <v>19</v>
      </c>
      <c r="B72" t="s">
        <v>190</v>
      </c>
      <c r="C72" s="2" t="s">
        <v>135</v>
      </c>
      <c r="D72" s="2" t="s">
        <v>136</v>
      </c>
      <c r="E72" s="2" t="s">
        <v>103</v>
      </c>
      <c r="F72" t="s">
        <v>72</v>
      </c>
      <c r="G72" s="6">
        <f>IEA_demand!D92</f>
        <v>57.031599999999997</v>
      </c>
      <c r="H72" s="6">
        <f>IEA_demand!E92</f>
        <v>325.51100000000002</v>
      </c>
      <c r="I72" s="6">
        <f>IEA_demand!F92</f>
        <v>725.71900000000005</v>
      </c>
      <c r="J72" s="6">
        <f>IEA_demand!G92</f>
        <v>1187.03</v>
      </c>
      <c r="K72" s="6">
        <f>IEA_demand!H92</f>
        <v>1475.5</v>
      </c>
      <c r="L72" s="6">
        <f>IEA_demand!I92</f>
        <v>1854</v>
      </c>
    </row>
    <row r="73" spans="1:12" x14ac:dyDescent="0.3">
      <c r="A73" t="s">
        <v>19</v>
      </c>
      <c r="B73" t="s">
        <v>190</v>
      </c>
      <c r="C73" s="2" t="s">
        <v>135</v>
      </c>
      <c r="D73" s="2" t="s">
        <v>136</v>
      </c>
      <c r="E73" s="2" t="s">
        <v>103</v>
      </c>
      <c r="F73" t="s">
        <v>74</v>
      </c>
      <c r="G73" s="6">
        <f>IEA_demand!D93</f>
        <v>57.031599999999997</v>
      </c>
      <c r="H73" s="6">
        <f>IEA_demand!E93</f>
        <v>518.43399999999997</v>
      </c>
      <c r="I73" s="6">
        <f>IEA_demand!F93</f>
        <v>1121.9000000000001</v>
      </c>
      <c r="J73" s="6">
        <f>IEA_demand!G93</f>
        <v>1762.73</v>
      </c>
      <c r="K73" s="6">
        <f>IEA_demand!H93</f>
        <v>2258.65</v>
      </c>
      <c r="L73" s="6">
        <f>IEA_demand!I93</f>
        <v>2723.17</v>
      </c>
    </row>
    <row r="74" spans="1:12" x14ac:dyDescent="0.3">
      <c r="A74" t="s">
        <v>19</v>
      </c>
      <c r="B74" t="s">
        <v>191</v>
      </c>
      <c r="C74" s="2" t="s">
        <v>135</v>
      </c>
      <c r="D74" s="2" t="s">
        <v>136</v>
      </c>
      <c r="E74" s="2" t="s">
        <v>103</v>
      </c>
      <c r="F74" t="s">
        <v>72</v>
      </c>
      <c r="G74" s="6">
        <f>IEA_demand!D94</f>
        <v>2.6613099999999998</v>
      </c>
      <c r="H74" s="6">
        <f>IEA_demand!E94</f>
        <v>3.85453</v>
      </c>
      <c r="I74" s="6">
        <f>IEA_demand!F94</f>
        <v>3.0442499999999999</v>
      </c>
      <c r="J74" s="6">
        <f>IEA_demand!G94</f>
        <v>0</v>
      </c>
      <c r="K74" s="6">
        <f>IEA_demand!H94</f>
        <v>0</v>
      </c>
      <c r="L74" s="6">
        <f>IEA_demand!I94</f>
        <v>0</v>
      </c>
    </row>
    <row r="75" spans="1:12" x14ac:dyDescent="0.3">
      <c r="A75" t="s">
        <v>19</v>
      </c>
      <c r="B75" t="s">
        <v>191</v>
      </c>
      <c r="C75" s="2" t="s">
        <v>135</v>
      </c>
      <c r="D75" s="2" t="s">
        <v>136</v>
      </c>
      <c r="E75" s="2" t="s">
        <v>103</v>
      </c>
      <c r="F75" t="s">
        <v>74</v>
      </c>
      <c r="G75" s="6">
        <f>IEA_demand!D95</f>
        <v>2.6613099999999998</v>
      </c>
      <c r="H75" s="6">
        <f>IEA_demand!E95</f>
        <v>6.1846899999999998</v>
      </c>
      <c r="I75" s="6">
        <f>IEA_demand!F95</f>
        <v>5.1842800000000002</v>
      </c>
      <c r="J75" s="6">
        <f>IEA_demand!G95</f>
        <v>0</v>
      </c>
      <c r="K75" s="6">
        <f>IEA_demand!H95</f>
        <v>0</v>
      </c>
      <c r="L75" s="6">
        <f>IEA_demand!I95</f>
        <v>0</v>
      </c>
    </row>
    <row r="76" spans="1:12" x14ac:dyDescent="0.3">
      <c r="A76" t="s">
        <v>20</v>
      </c>
      <c r="B76" t="s">
        <v>75</v>
      </c>
      <c r="C76" s="2" t="s">
        <v>137</v>
      </c>
      <c r="D76" s="2" t="s">
        <v>138</v>
      </c>
      <c r="E76" s="2" t="s">
        <v>103</v>
      </c>
      <c r="F76" t="s">
        <v>72</v>
      </c>
      <c r="G76" s="6">
        <f>IEA_demand!D98</f>
        <v>0.25901099999999999</v>
      </c>
      <c r="H76" s="6">
        <f>IEA_demand!E98</f>
        <v>0.40853600000000001</v>
      </c>
      <c r="I76" s="6">
        <f>IEA_demand!F98</f>
        <v>0.42533300000000002</v>
      </c>
      <c r="J76" s="6">
        <f>IEA_demand!G98</f>
        <v>0.41571200000000003</v>
      </c>
      <c r="K76" s="6">
        <f>IEA_demand!H98</f>
        <v>0.40100200000000003</v>
      </c>
      <c r="L76" s="6">
        <f>IEA_demand!I98</f>
        <v>0.42277500000000001</v>
      </c>
    </row>
    <row r="77" spans="1:12" x14ac:dyDescent="0.3">
      <c r="A77" t="s">
        <v>20</v>
      </c>
      <c r="B77" t="s">
        <v>75</v>
      </c>
      <c r="C77" s="2" t="s">
        <v>137</v>
      </c>
      <c r="D77" s="2" t="s">
        <v>138</v>
      </c>
      <c r="E77" s="2" t="s">
        <v>103</v>
      </c>
      <c r="F77" t="s">
        <v>74</v>
      </c>
      <c r="G77" s="6">
        <f>IEA_demand!D99</f>
        <v>0.25901099999999999</v>
      </c>
      <c r="H77" s="6">
        <f>IEA_demand!E99</f>
        <v>0.54083800000000004</v>
      </c>
      <c r="I77" s="6">
        <f>IEA_demand!F99</f>
        <v>0.53861899999999996</v>
      </c>
      <c r="J77" s="6">
        <f>IEA_demand!G99</f>
        <v>0.44169599999999998</v>
      </c>
      <c r="K77" s="6">
        <f>IEA_demand!H99</f>
        <v>0.29642499999999999</v>
      </c>
      <c r="L77" s="6">
        <f>IEA_demand!I99</f>
        <v>0.34509099999999998</v>
      </c>
    </row>
    <row r="78" spans="1:12" x14ac:dyDescent="0.3">
      <c r="A78" t="s">
        <v>20</v>
      </c>
      <c r="B78" t="s">
        <v>77</v>
      </c>
      <c r="C78" s="2" t="s">
        <v>137</v>
      </c>
      <c r="D78" s="2" t="s">
        <v>138</v>
      </c>
      <c r="E78" s="2" t="s">
        <v>103</v>
      </c>
      <c r="F78" t="s">
        <v>72</v>
      </c>
      <c r="G78" s="6">
        <f>IEA_demand!D100</f>
        <v>13.239699999999999</v>
      </c>
      <c r="H78" s="6">
        <f>IEA_demand!E100</f>
        <v>18.464400000000001</v>
      </c>
      <c r="I78" s="6">
        <f>IEA_demand!F100</f>
        <v>16.473099999999999</v>
      </c>
      <c r="J78" s="6">
        <f>IEA_demand!G100</f>
        <v>14.5114</v>
      </c>
      <c r="K78" s="6">
        <f>IEA_demand!H100</f>
        <v>16.171500000000002</v>
      </c>
      <c r="L78" s="6">
        <f>IEA_demand!I100</f>
        <v>20.3216</v>
      </c>
    </row>
    <row r="79" spans="1:12" x14ac:dyDescent="0.3">
      <c r="A79" t="s">
        <v>20</v>
      </c>
      <c r="B79" t="s">
        <v>77</v>
      </c>
      <c r="C79" s="2" t="s">
        <v>137</v>
      </c>
      <c r="D79" s="2" t="s">
        <v>138</v>
      </c>
      <c r="E79" s="2" t="s">
        <v>103</v>
      </c>
      <c r="F79" t="s">
        <v>74</v>
      </c>
      <c r="G79" s="6">
        <f>IEA_demand!D101</f>
        <v>13.239699999999999</v>
      </c>
      <c r="H79" s="6">
        <f>IEA_demand!E101</f>
        <v>32.351999999999997</v>
      </c>
      <c r="I79" s="6">
        <f>IEA_demand!F101</f>
        <v>34.916699999999999</v>
      </c>
      <c r="J79" s="6">
        <f>IEA_demand!G101</f>
        <v>30.532800000000002</v>
      </c>
      <c r="K79" s="6">
        <f>IEA_demand!H101</f>
        <v>26.333500000000001</v>
      </c>
      <c r="L79" s="6">
        <f>IEA_demand!I101</f>
        <v>33.517099999999999</v>
      </c>
    </row>
    <row r="80" spans="1:12" x14ac:dyDescent="0.3">
      <c r="A80" t="s">
        <v>20</v>
      </c>
      <c r="B80" t="s">
        <v>188</v>
      </c>
      <c r="C80" s="2" t="s">
        <v>137</v>
      </c>
      <c r="D80" s="2" t="s">
        <v>138</v>
      </c>
      <c r="E80" s="2" t="s">
        <v>103</v>
      </c>
      <c r="F80" t="s">
        <v>72</v>
      </c>
      <c r="G80" s="6">
        <f>IEA_demand!D102</f>
        <v>15.370688999999899</v>
      </c>
      <c r="H80" s="6">
        <f>IEA_demand!E102</f>
        <v>30.667763999999998</v>
      </c>
      <c r="I80" s="6">
        <f>IEA_demand!F102</f>
        <v>22.999267</v>
      </c>
      <c r="J80" s="6">
        <f>IEA_demand!G102</f>
        <v>26.2831879999999</v>
      </c>
      <c r="K80" s="6">
        <f>IEA_demand!H102</f>
        <v>26.378397999999901</v>
      </c>
      <c r="L80" s="6">
        <f>IEA_demand!I102</f>
        <v>24.156624999999998</v>
      </c>
    </row>
    <row r="81" spans="1:12" x14ac:dyDescent="0.3">
      <c r="A81" t="s">
        <v>20</v>
      </c>
      <c r="B81" t="s">
        <v>188</v>
      </c>
      <c r="C81" s="2" t="s">
        <v>137</v>
      </c>
      <c r="D81" s="2" t="s">
        <v>138</v>
      </c>
      <c r="E81" s="2" t="s">
        <v>103</v>
      </c>
      <c r="F81" t="s">
        <v>74</v>
      </c>
      <c r="G81" s="6">
        <f>IEA_demand!D103</f>
        <v>15.370688999999899</v>
      </c>
      <c r="H81" s="6">
        <f>IEA_demand!E103</f>
        <v>71.476162000000002</v>
      </c>
      <c r="I81" s="6">
        <f>IEA_demand!F103</f>
        <v>56.589880999999998</v>
      </c>
      <c r="J81" s="6">
        <f>IEA_demand!G103</f>
        <v>45.721603999999999</v>
      </c>
      <c r="K81" s="6">
        <f>IEA_demand!H103</f>
        <v>36.505674999999997</v>
      </c>
      <c r="L81" s="6">
        <f>IEA_demand!I103</f>
        <v>28.981508999999999</v>
      </c>
    </row>
    <row r="82" spans="1:12" x14ac:dyDescent="0.3">
      <c r="A82" t="s">
        <v>21</v>
      </c>
      <c r="B82" t="s">
        <v>77</v>
      </c>
      <c r="C82" s="2" t="s">
        <v>139</v>
      </c>
      <c r="D82" s="2" t="s">
        <v>140</v>
      </c>
      <c r="E82" s="2" t="s">
        <v>103</v>
      </c>
      <c r="F82" t="s">
        <v>72</v>
      </c>
      <c r="G82" s="6">
        <f>IEA_demand!D106</f>
        <v>7.43492</v>
      </c>
      <c r="H82" s="6">
        <f>IEA_demand!E106</f>
        <v>12.8855</v>
      </c>
      <c r="I82" s="6">
        <f>IEA_demand!F106</f>
        <v>10.9068</v>
      </c>
      <c r="J82" s="6">
        <f>IEA_demand!G106</f>
        <v>8.9205100000000002</v>
      </c>
      <c r="K82" s="6">
        <f>IEA_demand!H106</f>
        <v>9.6977499999999992</v>
      </c>
      <c r="L82" s="6">
        <f>IEA_demand!I106</f>
        <v>12.8033</v>
      </c>
    </row>
    <row r="83" spans="1:12" x14ac:dyDescent="0.3">
      <c r="A83" t="s">
        <v>21</v>
      </c>
      <c r="B83" t="s">
        <v>77</v>
      </c>
      <c r="C83" s="2" t="s">
        <v>139</v>
      </c>
      <c r="D83" s="2" t="s">
        <v>140</v>
      </c>
      <c r="E83" s="2" t="s">
        <v>103</v>
      </c>
      <c r="F83" t="s">
        <v>74</v>
      </c>
      <c r="G83" s="6">
        <f>IEA_demand!D107</f>
        <v>7.43492</v>
      </c>
      <c r="H83" s="6">
        <f>IEA_demand!E107</f>
        <v>22.004799999999999</v>
      </c>
      <c r="I83" s="6">
        <f>IEA_demand!F107</f>
        <v>21.179200000000002</v>
      </c>
      <c r="J83" s="6">
        <f>IEA_demand!G107</f>
        <v>17.588799999999999</v>
      </c>
      <c r="K83" s="6">
        <f>IEA_demand!H107</f>
        <v>15.569699999999999</v>
      </c>
      <c r="L83" s="6">
        <f>IEA_demand!I107</f>
        <v>19.811399999999999</v>
      </c>
    </row>
    <row r="84" spans="1:12" x14ac:dyDescent="0.3">
      <c r="A84" t="s">
        <v>21</v>
      </c>
      <c r="B84" t="s">
        <v>190</v>
      </c>
      <c r="C84" s="2" t="s">
        <v>139</v>
      </c>
      <c r="D84" s="2" t="s">
        <v>140</v>
      </c>
      <c r="E84" s="2" t="s">
        <v>103</v>
      </c>
      <c r="F84" t="s">
        <v>72</v>
      </c>
      <c r="G84" s="6">
        <f>IEA_demand!D108</f>
        <v>5.1639999999999997</v>
      </c>
      <c r="H84" s="6">
        <f>IEA_demand!E108</f>
        <v>17.933299999999999</v>
      </c>
      <c r="I84" s="6">
        <f>IEA_demand!F108</f>
        <v>25.232600000000001</v>
      </c>
      <c r="J84" s="6">
        <f>IEA_demand!G108</f>
        <v>28.7165</v>
      </c>
      <c r="K84" s="6">
        <f>IEA_demand!H108</f>
        <v>30.3904</v>
      </c>
      <c r="L84" s="6">
        <f>IEA_demand!I108</f>
        <v>31.7441</v>
      </c>
    </row>
    <row r="85" spans="1:12" x14ac:dyDescent="0.3">
      <c r="A85" t="s">
        <v>21</v>
      </c>
      <c r="B85" t="s">
        <v>190</v>
      </c>
      <c r="C85" s="2" t="s">
        <v>139</v>
      </c>
      <c r="D85" s="2" t="s">
        <v>140</v>
      </c>
      <c r="E85" s="2" t="s">
        <v>103</v>
      </c>
      <c r="F85" t="s">
        <v>74</v>
      </c>
      <c r="G85" s="6">
        <f>IEA_demand!D109</f>
        <v>5.1639999999999997</v>
      </c>
      <c r="H85" s="6">
        <f>IEA_demand!E109</f>
        <v>25.745000000000001</v>
      </c>
      <c r="I85" s="6">
        <f>IEA_demand!F109</f>
        <v>36.6858</v>
      </c>
      <c r="J85" s="6">
        <f>IEA_demand!G109</f>
        <v>37.832599999999999</v>
      </c>
      <c r="K85" s="6">
        <f>IEA_demand!H109</f>
        <v>39.853999999999999</v>
      </c>
      <c r="L85" s="6">
        <f>IEA_demand!I109</f>
        <v>41.041200000000003</v>
      </c>
    </row>
    <row r="86" spans="1:12" x14ac:dyDescent="0.3">
      <c r="A86" t="s">
        <v>22</v>
      </c>
      <c r="B86" t="s">
        <v>75</v>
      </c>
      <c r="C86" s="2" t="s">
        <v>118</v>
      </c>
      <c r="D86" s="2" t="s">
        <v>119</v>
      </c>
      <c r="E86" s="2" t="s">
        <v>103</v>
      </c>
      <c r="F86" t="s">
        <v>72</v>
      </c>
      <c r="G86" s="6">
        <f>IEA_demand!D112</f>
        <v>0.434666</v>
      </c>
      <c r="H86" s="6">
        <f>IEA_demand!E112</f>
        <v>0.61758000000000002</v>
      </c>
      <c r="I86" s="6">
        <f>IEA_demand!F112</f>
        <v>0.63360899999999998</v>
      </c>
      <c r="J86" s="6">
        <f>IEA_demand!G112</f>
        <v>0.62449500000000002</v>
      </c>
      <c r="K86" s="6">
        <f>IEA_demand!H112</f>
        <v>0.65139599999999998</v>
      </c>
      <c r="L86" s="6">
        <f>IEA_demand!I112</f>
        <v>0.71128499999999995</v>
      </c>
    </row>
    <row r="87" spans="1:12" x14ac:dyDescent="0.3">
      <c r="A87" t="s">
        <v>22</v>
      </c>
      <c r="B87" t="s">
        <v>75</v>
      </c>
      <c r="C87" s="2" t="s">
        <v>118</v>
      </c>
      <c r="D87" s="2" t="s">
        <v>119</v>
      </c>
      <c r="E87" s="2" t="s">
        <v>103</v>
      </c>
      <c r="F87" t="s">
        <v>74</v>
      </c>
      <c r="G87" s="6">
        <f>IEA_demand!D113</f>
        <v>0.434666</v>
      </c>
      <c r="H87" s="6">
        <f>IEA_demand!E113</f>
        <v>0.99013499999999999</v>
      </c>
      <c r="I87" s="6">
        <f>IEA_demand!F113</f>
        <v>1.0319700000000001</v>
      </c>
      <c r="J87" s="6">
        <f>IEA_demand!G113</f>
        <v>0.87080800000000003</v>
      </c>
      <c r="K87" s="6">
        <f>IEA_demand!H113</f>
        <v>0.70707799999999998</v>
      </c>
      <c r="L87" s="6">
        <f>IEA_demand!I113</f>
        <v>0.89351100000000006</v>
      </c>
    </row>
    <row r="88" spans="1:12" x14ac:dyDescent="0.3">
      <c r="A88" t="s">
        <v>22</v>
      </c>
      <c r="B88" t="s">
        <v>77</v>
      </c>
      <c r="C88" s="2" t="s">
        <v>118</v>
      </c>
      <c r="D88" s="2" t="s">
        <v>119</v>
      </c>
      <c r="E88" s="2" t="s">
        <v>103</v>
      </c>
      <c r="F88" t="s">
        <v>72</v>
      </c>
      <c r="G88" s="6">
        <f>IEA_demand!D114</f>
        <v>45.739199999999997</v>
      </c>
      <c r="H88" s="6">
        <f>IEA_demand!E114</f>
        <v>60.2136</v>
      </c>
      <c r="I88" s="6">
        <f>IEA_demand!F114</f>
        <v>53.950800000000001</v>
      </c>
      <c r="J88" s="6">
        <f>IEA_demand!G114</f>
        <v>47.970500000000001</v>
      </c>
      <c r="K88" s="6">
        <f>IEA_demand!H114</f>
        <v>53.245800000000003</v>
      </c>
      <c r="L88" s="6">
        <f>IEA_demand!I114</f>
        <v>65.282899999999998</v>
      </c>
    </row>
    <row r="89" spans="1:12" x14ac:dyDescent="0.3">
      <c r="A89" t="s">
        <v>22</v>
      </c>
      <c r="B89" t="s">
        <v>77</v>
      </c>
      <c r="C89" s="2" t="s">
        <v>118</v>
      </c>
      <c r="D89" s="2" t="s">
        <v>119</v>
      </c>
      <c r="E89" s="2" t="s">
        <v>103</v>
      </c>
      <c r="F89" t="s">
        <v>74</v>
      </c>
      <c r="G89" s="6">
        <f>IEA_demand!D115</f>
        <v>45.739199999999997</v>
      </c>
      <c r="H89" s="6">
        <f>IEA_demand!E115</f>
        <v>105.425</v>
      </c>
      <c r="I89" s="6">
        <f>IEA_demand!F115</f>
        <v>115.437</v>
      </c>
      <c r="J89" s="6">
        <f>IEA_demand!G115</f>
        <v>100.648</v>
      </c>
      <c r="K89" s="6">
        <f>IEA_demand!H115</f>
        <v>84.446600000000004</v>
      </c>
      <c r="L89" s="6">
        <f>IEA_demand!I115</f>
        <v>104.66800000000001</v>
      </c>
    </row>
    <row r="90" spans="1:12" x14ac:dyDescent="0.3">
      <c r="A90" t="s">
        <v>22</v>
      </c>
      <c r="B90" t="s">
        <v>188</v>
      </c>
      <c r="C90" s="2" t="s">
        <v>141</v>
      </c>
      <c r="D90" s="2" t="s">
        <v>142</v>
      </c>
      <c r="E90" s="2" t="s">
        <v>100</v>
      </c>
      <c r="F90" t="s">
        <v>72</v>
      </c>
      <c r="G90" s="6">
        <f>IEA_demand!D116</f>
        <v>119.196134</v>
      </c>
      <c r="H90" s="6">
        <f>IEA_demand!E116</f>
        <v>317.81281999999999</v>
      </c>
      <c r="I90" s="6">
        <f>IEA_demand!F116</f>
        <v>237.831591</v>
      </c>
      <c r="J90" s="6">
        <f>IEA_demand!G116</f>
        <v>276.60400499999997</v>
      </c>
      <c r="K90" s="6">
        <f>IEA_demand!H116</f>
        <v>235.753804</v>
      </c>
      <c r="L90" s="6">
        <f>IEA_demand!I116</f>
        <v>203.10781499999999</v>
      </c>
    </row>
    <row r="91" spans="1:12" x14ac:dyDescent="0.3">
      <c r="A91" t="s">
        <v>22</v>
      </c>
      <c r="B91" t="s">
        <v>188</v>
      </c>
      <c r="C91" s="2" t="s">
        <v>141</v>
      </c>
      <c r="D91" s="2" t="s">
        <v>142</v>
      </c>
      <c r="E91" s="2" t="s">
        <v>100</v>
      </c>
      <c r="F91" t="s">
        <v>74</v>
      </c>
      <c r="G91" s="6">
        <f>IEA_demand!D117</f>
        <v>119.196134</v>
      </c>
      <c r="H91" s="6">
        <f>IEA_demand!E117</f>
        <v>759.81886499999996</v>
      </c>
      <c r="I91" s="6">
        <f>IEA_demand!F117</f>
        <v>613.73302999999999</v>
      </c>
      <c r="J91" s="6">
        <f>IEA_demand!G117</f>
        <v>492.49219199999902</v>
      </c>
      <c r="K91" s="6">
        <f>IEA_demand!H117</f>
        <v>374.444322</v>
      </c>
      <c r="L91" s="6">
        <f>IEA_demand!I117</f>
        <v>279.14648899999997</v>
      </c>
    </row>
    <row r="92" spans="1:12" x14ac:dyDescent="0.3">
      <c r="A92" t="s">
        <v>22</v>
      </c>
      <c r="B92" t="s">
        <v>190</v>
      </c>
      <c r="C92" s="2" t="s">
        <v>141</v>
      </c>
      <c r="D92" s="2" t="s">
        <v>142</v>
      </c>
      <c r="E92" s="2" t="s">
        <v>100</v>
      </c>
      <c r="F92" t="s">
        <v>72</v>
      </c>
      <c r="G92" s="6">
        <f>IEA_demand!D118</f>
        <v>299.26799999999997</v>
      </c>
      <c r="H92" s="6">
        <f>IEA_demand!E118</f>
        <v>1184.46</v>
      </c>
      <c r="I92" s="6">
        <f>IEA_demand!F118</f>
        <v>1759.43</v>
      </c>
      <c r="J92" s="6">
        <f>IEA_demand!G118</f>
        <v>2081.34</v>
      </c>
      <c r="K92" s="6">
        <f>IEA_demand!H118</f>
        <v>1997.76</v>
      </c>
      <c r="L92" s="6">
        <f>IEA_demand!I118</f>
        <v>1799.25</v>
      </c>
    </row>
    <row r="93" spans="1:12" x14ac:dyDescent="0.3">
      <c r="A93" t="s">
        <v>22</v>
      </c>
      <c r="B93" t="s">
        <v>190</v>
      </c>
      <c r="C93" s="2" t="s">
        <v>141</v>
      </c>
      <c r="D93" s="2" t="s">
        <v>142</v>
      </c>
      <c r="E93" s="2" t="s">
        <v>100</v>
      </c>
      <c r="F93" t="s">
        <v>74</v>
      </c>
      <c r="G93" s="6">
        <f>IEA_demand!D119</f>
        <v>299.26799999999997</v>
      </c>
      <c r="H93" s="6">
        <f>IEA_demand!E119</f>
        <v>1825.34</v>
      </c>
      <c r="I93" s="6">
        <f>IEA_demand!F119</f>
        <v>2590.0100000000002</v>
      </c>
      <c r="J93" s="6">
        <f>IEA_demand!G119</f>
        <v>2921.33</v>
      </c>
      <c r="K93" s="6">
        <f>IEA_demand!H119</f>
        <v>2933.51</v>
      </c>
      <c r="L93" s="6">
        <f>IEA_demand!I119</f>
        <v>2634.18</v>
      </c>
    </row>
    <row r="94" spans="1:12" x14ac:dyDescent="0.3">
      <c r="A94" t="s">
        <v>22</v>
      </c>
      <c r="B94" t="s">
        <v>191</v>
      </c>
      <c r="C94" s="2" t="s">
        <v>141</v>
      </c>
      <c r="D94" s="2" t="s">
        <v>142</v>
      </c>
      <c r="E94" s="2" t="s">
        <v>100</v>
      </c>
      <c r="F94" t="s">
        <v>72</v>
      </c>
      <c r="G94" s="6">
        <f>IEA_demand!D120</f>
        <v>12.1058</v>
      </c>
      <c r="H94" s="6">
        <f>IEA_demand!E120</f>
        <v>17.571000000000002</v>
      </c>
      <c r="I94" s="6">
        <f>IEA_demand!F120</f>
        <v>14.822699999999999</v>
      </c>
      <c r="J94" s="6">
        <f>IEA_demand!G120</f>
        <v>0</v>
      </c>
      <c r="K94" s="6">
        <f>IEA_demand!H120</f>
        <v>0</v>
      </c>
      <c r="L94" s="6">
        <f>IEA_demand!I120</f>
        <v>0</v>
      </c>
    </row>
    <row r="95" spans="1:12" x14ac:dyDescent="0.3">
      <c r="A95" t="s">
        <v>22</v>
      </c>
      <c r="B95" t="s">
        <v>191</v>
      </c>
      <c r="C95" s="2" t="s">
        <v>141</v>
      </c>
      <c r="D95" s="2" t="s">
        <v>142</v>
      </c>
      <c r="E95" s="2" t="s">
        <v>100</v>
      </c>
      <c r="F95" t="s">
        <v>74</v>
      </c>
      <c r="G95" s="6">
        <f>IEA_demand!D121</f>
        <v>12.1058</v>
      </c>
      <c r="H95" s="6">
        <f>IEA_demand!E121</f>
        <v>28.193100000000001</v>
      </c>
      <c r="I95" s="6">
        <f>IEA_demand!F121</f>
        <v>25.242599999999999</v>
      </c>
      <c r="J95" s="6">
        <f>IEA_demand!G121</f>
        <v>0</v>
      </c>
      <c r="K95" s="6">
        <f>IEA_demand!H121</f>
        <v>0</v>
      </c>
      <c r="L95" s="6">
        <f>IEA_demand!I121</f>
        <v>0</v>
      </c>
    </row>
    <row r="96" spans="1:12" x14ac:dyDescent="0.3">
      <c r="A96" t="s">
        <v>22</v>
      </c>
      <c r="B96" t="s">
        <v>193</v>
      </c>
      <c r="C96" s="2" t="s">
        <v>141</v>
      </c>
      <c r="D96" s="2" t="s">
        <v>142</v>
      </c>
      <c r="E96" s="2" t="s">
        <v>100</v>
      </c>
      <c r="F96" t="s">
        <v>72</v>
      </c>
      <c r="G96" s="6">
        <f>IEA_demand!D122</f>
        <v>0.95534600000000003</v>
      </c>
      <c r="H96" s="6">
        <f>IEA_demand!E122</f>
        <v>4.7149299999999998</v>
      </c>
      <c r="I96" s="6">
        <f>IEA_demand!F122</f>
        <v>5.1928700000000001</v>
      </c>
      <c r="J96" s="6">
        <f>IEA_demand!G122</f>
        <v>4.0925799999999999</v>
      </c>
      <c r="K96" s="6">
        <f>IEA_demand!H122</f>
        <v>3.92909</v>
      </c>
      <c r="L96" s="6">
        <f>IEA_demand!I122</f>
        <v>5.3672300000000002</v>
      </c>
    </row>
    <row r="97" spans="1:12" x14ac:dyDescent="0.3">
      <c r="A97" t="s">
        <v>22</v>
      </c>
      <c r="B97" t="s">
        <v>193</v>
      </c>
      <c r="C97" s="2" t="s">
        <v>141</v>
      </c>
      <c r="D97" s="2" t="s">
        <v>142</v>
      </c>
      <c r="E97" s="2" t="s">
        <v>100</v>
      </c>
      <c r="F97" t="s">
        <v>74</v>
      </c>
      <c r="G97" s="6">
        <f>IEA_demand!D123</f>
        <v>0.95534600000000003</v>
      </c>
      <c r="H97" s="6">
        <f>IEA_demand!E123</f>
        <v>73.976699999999994</v>
      </c>
      <c r="I97" s="6">
        <f>IEA_demand!F123</f>
        <v>80.141599999999997</v>
      </c>
      <c r="J97" s="6">
        <f>IEA_demand!G123</f>
        <v>68.261799999999994</v>
      </c>
      <c r="K97" s="6">
        <f>IEA_demand!H123</f>
        <v>58.484699999999997</v>
      </c>
      <c r="L97" s="6">
        <f>IEA_demand!I123</f>
        <v>75.442800000000005</v>
      </c>
    </row>
    <row r="98" spans="1:12" s="44" customFormat="1" x14ac:dyDescent="0.3">
      <c r="A98" s="44" t="s">
        <v>178</v>
      </c>
      <c r="B98" s="44" t="s">
        <v>188</v>
      </c>
      <c r="C98" s="44" t="s">
        <v>229</v>
      </c>
      <c r="D98" s="44" t="s">
        <v>230</v>
      </c>
      <c r="E98" s="44" t="s">
        <v>103</v>
      </c>
      <c r="F98" s="44" t="s">
        <v>72</v>
      </c>
      <c r="G98" s="55">
        <f>IEA_demand!D126</f>
        <v>0.36290499999999998</v>
      </c>
      <c r="H98" s="55">
        <f>IEA_demand!E126</f>
        <v>0.58671899999999999</v>
      </c>
      <c r="I98" s="55">
        <f>IEA_demand!F126</f>
        <v>0.63600400000000001</v>
      </c>
      <c r="J98" s="55">
        <f>IEA_demand!G126</f>
        <v>0.77099300000000004</v>
      </c>
      <c r="K98" s="55">
        <f>IEA_demand!H126</f>
        <v>0.69926600000000005</v>
      </c>
      <c r="L98" s="55">
        <f>IEA_demand!I126</f>
        <v>0.75683400000000001</v>
      </c>
    </row>
    <row r="99" spans="1:12" s="44" customFormat="1" x14ac:dyDescent="0.3">
      <c r="A99" s="44" t="s">
        <v>178</v>
      </c>
      <c r="B99" s="44" t="s">
        <v>188</v>
      </c>
      <c r="C99" s="44" t="s">
        <v>229</v>
      </c>
      <c r="D99" s="44" t="s">
        <v>230</v>
      </c>
      <c r="E99" s="44" t="s">
        <v>103</v>
      </c>
      <c r="F99" s="44" t="s">
        <v>74</v>
      </c>
      <c r="G99" s="55">
        <f>IEA_demand!D127</f>
        <v>0.36290499999999998</v>
      </c>
      <c r="H99" s="55">
        <f>IEA_demand!E127</f>
        <v>1.97496</v>
      </c>
      <c r="I99" s="55">
        <f>IEA_demand!F127</f>
        <v>2.9449100000000001</v>
      </c>
      <c r="J99" s="55">
        <f>IEA_demand!G127</f>
        <v>2.8677199999999998</v>
      </c>
      <c r="K99" s="55">
        <f>IEA_demand!H127</f>
        <v>2.19895</v>
      </c>
      <c r="L99" s="55">
        <f>IEA_demand!I127</f>
        <v>1.70113</v>
      </c>
    </row>
    <row r="100" spans="1:12" x14ac:dyDescent="0.3">
      <c r="A100" t="s">
        <v>202</v>
      </c>
      <c r="B100" t="s">
        <v>193</v>
      </c>
      <c r="C100" s="2" t="s">
        <v>143</v>
      </c>
      <c r="D100" s="2" t="s">
        <v>144</v>
      </c>
      <c r="E100" s="2" t="s">
        <v>103</v>
      </c>
      <c r="F100" t="s">
        <v>72</v>
      </c>
      <c r="G100" s="6">
        <f>IEA_demand!D128</f>
        <v>9.7736599999999991E-4</v>
      </c>
      <c r="H100" s="6">
        <f>IEA_demand!E128</f>
        <v>6.6880300000000002E-3</v>
      </c>
      <c r="I100" s="6">
        <f>IEA_demand!F128</f>
        <v>9.7800999999999999E-3</v>
      </c>
      <c r="J100" s="6">
        <f>IEA_demand!G128</f>
        <v>1.3460700000000001E-2</v>
      </c>
      <c r="K100" s="6">
        <f>IEA_demand!H128</f>
        <v>1.50755E-2</v>
      </c>
      <c r="L100" s="6">
        <f>IEA_demand!I128</f>
        <v>1.54504E-2</v>
      </c>
    </row>
    <row r="101" spans="1:12" x14ac:dyDescent="0.3">
      <c r="A101" t="s">
        <v>202</v>
      </c>
      <c r="B101" t="s">
        <v>193</v>
      </c>
      <c r="C101" s="2" t="s">
        <v>143</v>
      </c>
      <c r="D101" s="2" t="s">
        <v>144</v>
      </c>
      <c r="E101" s="2" t="s">
        <v>103</v>
      </c>
      <c r="F101" t="s">
        <v>74</v>
      </c>
      <c r="G101" s="6">
        <f>IEA_demand!D129</f>
        <v>9.7736599999999991E-4</v>
      </c>
      <c r="H101" s="6">
        <f>IEA_demand!E129</f>
        <v>3.20545E-2</v>
      </c>
      <c r="I101" s="6">
        <f>IEA_demand!F129</f>
        <v>6.0859099999999999E-2</v>
      </c>
      <c r="J101" s="6">
        <f>IEA_demand!G129</f>
        <v>9.1245499999999993E-2</v>
      </c>
      <c r="K101" s="6">
        <f>IEA_demand!H129</f>
        <v>9.8639500000000005E-2</v>
      </c>
      <c r="L101" s="6">
        <f>IEA_demand!I129</f>
        <v>8.7478E-2</v>
      </c>
    </row>
    <row r="102" spans="1:12" x14ac:dyDescent="0.3">
      <c r="A102" t="s">
        <v>24</v>
      </c>
      <c r="B102" t="s">
        <v>77</v>
      </c>
      <c r="C102" s="2" t="s">
        <v>145</v>
      </c>
      <c r="D102" s="2" t="s">
        <v>146</v>
      </c>
      <c r="E102" s="2" t="s">
        <v>103</v>
      </c>
      <c r="F102" t="s">
        <v>72</v>
      </c>
      <c r="G102" s="6">
        <f>IEA_demand!D130</f>
        <v>1.23</v>
      </c>
      <c r="H102" s="6">
        <f>IEA_demand!E130</f>
        <v>2.2999999999999998</v>
      </c>
      <c r="I102" s="6">
        <f>IEA_demand!F130</f>
        <v>1.97</v>
      </c>
      <c r="J102" s="6">
        <f>IEA_demand!G130</f>
        <v>1.62</v>
      </c>
      <c r="K102" s="6">
        <f>IEA_demand!H130</f>
        <v>1.8</v>
      </c>
      <c r="L102" s="6">
        <f>IEA_demand!I130</f>
        <v>2.48</v>
      </c>
    </row>
    <row r="103" spans="1:12" x14ac:dyDescent="0.3">
      <c r="A103" t="s">
        <v>24</v>
      </c>
      <c r="B103" t="s">
        <v>77</v>
      </c>
      <c r="C103" s="2" t="s">
        <v>145</v>
      </c>
      <c r="D103" s="2" t="s">
        <v>146</v>
      </c>
      <c r="E103" s="2" t="s">
        <v>103</v>
      </c>
      <c r="F103" t="s">
        <v>74</v>
      </c>
      <c r="G103" s="6">
        <f>IEA_demand!D131</f>
        <v>1.23</v>
      </c>
      <c r="H103" s="6">
        <f>IEA_demand!E131</f>
        <v>4.04</v>
      </c>
      <c r="I103" s="6">
        <f>IEA_demand!F131</f>
        <v>3.97</v>
      </c>
      <c r="J103" s="6">
        <f>IEA_demand!G131</f>
        <v>3.44</v>
      </c>
      <c r="K103" s="6">
        <f>IEA_demand!H131</f>
        <v>3.28</v>
      </c>
      <c r="L103" s="6">
        <f>IEA_demand!I131</f>
        <v>4.53</v>
      </c>
    </row>
    <row r="104" spans="1:12" x14ac:dyDescent="0.3">
      <c r="A104" t="s">
        <v>24</v>
      </c>
      <c r="B104" t="s">
        <v>190</v>
      </c>
      <c r="C104" s="2" t="s">
        <v>145</v>
      </c>
      <c r="D104" s="2" t="s">
        <v>146</v>
      </c>
      <c r="E104" s="2" t="s">
        <v>103</v>
      </c>
      <c r="F104" t="s">
        <v>72</v>
      </c>
      <c r="G104" s="6">
        <f>IEA_demand!D132</f>
        <v>0.77</v>
      </c>
      <c r="H104" s="6">
        <f>IEA_demand!E132</f>
        <v>2.69</v>
      </c>
      <c r="I104" s="6">
        <f>IEA_demand!F132</f>
        <v>3.78</v>
      </c>
      <c r="J104" s="6">
        <f>IEA_demand!G132</f>
        <v>4.3099999999999996</v>
      </c>
      <c r="K104" s="6">
        <f>IEA_demand!H132</f>
        <v>4.5599999999999996</v>
      </c>
      <c r="L104" s="6">
        <f>IEA_demand!I132</f>
        <v>4.76</v>
      </c>
    </row>
    <row r="105" spans="1:12" x14ac:dyDescent="0.3">
      <c r="A105" t="s">
        <v>24</v>
      </c>
      <c r="B105" t="s">
        <v>190</v>
      </c>
      <c r="C105" s="2" t="s">
        <v>145</v>
      </c>
      <c r="D105" s="2" t="s">
        <v>146</v>
      </c>
      <c r="E105" s="2" t="s">
        <v>103</v>
      </c>
      <c r="F105" t="s">
        <v>74</v>
      </c>
      <c r="G105" s="6">
        <f>IEA_demand!D133</f>
        <v>0.77</v>
      </c>
      <c r="H105" s="6">
        <f>IEA_demand!E133</f>
        <v>3.86</v>
      </c>
      <c r="I105" s="6">
        <f>IEA_demand!F133</f>
        <v>5.5</v>
      </c>
      <c r="J105" s="6">
        <f>IEA_demand!G133</f>
        <v>5.67</v>
      </c>
      <c r="K105" s="6">
        <f>IEA_demand!H133</f>
        <v>5.98</v>
      </c>
      <c r="L105" s="6">
        <f>IEA_demand!I133</f>
        <v>6.16</v>
      </c>
    </row>
    <row r="106" spans="1:12" x14ac:dyDescent="0.3">
      <c r="A106" t="s">
        <v>26</v>
      </c>
      <c r="B106" t="s">
        <v>75</v>
      </c>
      <c r="C106" s="2" t="s">
        <v>147</v>
      </c>
      <c r="D106" s="2" t="s">
        <v>148</v>
      </c>
      <c r="E106" s="2" t="s">
        <v>103</v>
      </c>
      <c r="F106" t="s">
        <v>72</v>
      </c>
      <c r="G106" s="6">
        <f>IEA_demand!D136</f>
        <v>0.13233500000000001</v>
      </c>
      <c r="H106" s="6">
        <f>IEA_demand!E136</f>
        <v>0.14929799999999999</v>
      </c>
      <c r="I106" s="6">
        <f>IEA_demand!F136</f>
        <v>0.1416</v>
      </c>
      <c r="J106" s="6">
        <f>IEA_demand!G136</f>
        <v>0.123435</v>
      </c>
      <c r="K106" s="6">
        <f>IEA_demand!H136</f>
        <v>0.10301299999999999</v>
      </c>
      <c r="L106" s="6">
        <f>IEA_demand!I136</f>
        <v>8.9665999999999996E-2</v>
      </c>
    </row>
    <row r="107" spans="1:12" x14ac:dyDescent="0.3">
      <c r="A107" t="s">
        <v>26</v>
      </c>
      <c r="B107" t="s">
        <v>75</v>
      </c>
      <c r="C107" s="2" t="s">
        <v>147</v>
      </c>
      <c r="D107" s="2" t="s">
        <v>148</v>
      </c>
      <c r="E107" s="2" t="s">
        <v>103</v>
      </c>
      <c r="F107" t="s">
        <v>74</v>
      </c>
      <c r="G107" s="6">
        <f>IEA_demand!D137</f>
        <v>0.13233500000000001</v>
      </c>
      <c r="H107" s="6">
        <f>IEA_demand!E137</f>
        <v>0.25808799999999998</v>
      </c>
      <c r="I107" s="6">
        <f>IEA_demand!F137</f>
        <v>0.23378399999999999</v>
      </c>
      <c r="J107" s="6">
        <f>IEA_demand!G137</f>
        <v>0.16763600000000001</v>
      </c>
      <c r="K107" s="6">
        <f>IEA_demand!H137</f>
        <v>9.1445200000000004E-2</v>
      </c>
      <c r="L107" s="6">
        <f>IEA_demand!I137</f>
        <v>7.3190000000000005E-2</v>
      </c>
    </row>
    <row r="108" spans="1:12" x14ac:dyDescent="0.3">
      <c r="A108" t="s">
        <v>27</v>
      </c>
      <c r="B108" t="s">
        <v>75</v>
      </c>
      <c r="C108" s="2" t="s">
        <v>149</v>
      </c>
      <c r="D108" s="2" t="s">
        <v>150</v>
      </c>
      <c r="E108" s="2" t="s">
        <v>103</v>
      </c>
      <c r="F108" t="s">
        <v>72</v>
      </c>
      <c r="G108" s="6">
        <f>IEA_demand!D138</f>
        <v>1109.9100000000001</v>
      </c>
      <c r="H108" s="6">
        <f>IEA_demand!E138</f>
        <v>1183.53</v>
      </c>
      <c r="I108" s="6">
        <f>IEA_demand!F138</f>
        <v>1152.6500000000001</v>
      </c>
      <c r="J108" s="6">
        <f>IEA_demand!G138</f>
        <v>1078.31</v>
      </c>
      <c r="K108" s="6">
        <f>IEA_demand!H138</f>
        <v>1081.8800000000001</v>
      </c>
      <c r="L108" s="6">
        <f>IEA_demand!I138</f>
        <v>1137.1199999999999</v>
      </c>
    </row>
    <row r="109" spans="1:12" x14ac:dyDescent="0.3">
      <c r="A109" t="s">
        <v>27</v>
      </c>
      <c r="B109" t="s">
        <v>75</v>
      </c>
      <c r="C109" s="2" t="s">
        <v>149</v>
      </c>
      <c r="D109" s="2" t="s">
        <v>150</v>
      </c>
      <c r="E109" s="2" t="s">
        <v>103</v>
      </c>
      <c r="F109" t="s">
        <v>74</v>
      </c>
      <c r="G109" s="6">
        <f>IEA_demand!D139</f>
        <v>1109.9100000000001</v>
      </c>
      <c r="H109" s="6">
        <f>IEA_demand!E139</f>
        <v>1848.56</v>
      </c>
      <c r="I109" s="6">
        <f>IEA_demand!F139</f>
        <v>1793.05</v>
      </c>
      <c r="J109" s="6">
        <f>IEA_demand!G139</f>
        <v>1446.98</v>
      </c>
      <c r="K109" s="6">
        <f>IEA_demand!H139</f>
        <v>1106.55</v>
      </c>
      <c r="L109" s="6">
        <f>IEA_demand!I139</f>
        <v>1334.16</v>
      </c>
    </row>
    <row r="110" spans="1:12" x14ac:dyDescent="0.3">
      <c r="A110" t="s">
        <v>27</v>
      </c>
      <c r="B110" t="s">
        <v>190</v>
      </c>
      <c r="C110" s="2" t="s">
        <v>149</v>
      </c>
      <c r="D110" s="2" t="s">
        <v>150</v>
      </c>
      <c r="E110" s="2" t="s">
        <v>103</v>
      </c>
      <c r="F110" t="s">
        <v>72</v>
      </c>
      <c r="G110" s="6">
        <f>IEA_demand!D140</f>
        <v>15.952999999999999</v>
      </c>
      <c r="H110" s="6">
        <f>IEA_demand!E140</f>
        <v>113.16</v>
      </c>
      <c r="I110" s="6">
        <f>IEA_demand!F140</f>
        <v>301.92099999999999</v>
      </c>
      <c r="J110" s="6">
        <f>IEA_demand!G140</f>
        <v>443.77600000000001</v>
      </c>
      <c r="K110" s="6">
        <f>IEA_demand!H140</f>
        <v>616.423</v>
      </c>
      <c r="L110" s="6">
        <f>IEA_demand!I140</f>
        <v>769.38800000000003</v>
      </c>
    </row>
    <row r="111" spans="1:12" x14ac:dyDescent="0.3">
      <c r="A111" t="s">
        <v>27</v>
      </c>
      <c r="B111" t="s">
        <v>190</v>
      </c>
      <c r="C111" s="2" t="s">
        <v>149</v>
      </c>
      <c r="D111" s="2" t="s">
        <v>150</v>
      </c>
      <c r="E111" s="2" t="s">
        <v>103</v>
      </c>
      <c r="F111" t="s">
        <v>74</v>
      </c>
      <c r="G111" s="6">
        <f>IEA_demand!D141</f>
        <v>15.952999999999999</v>
      </c>
      <c r="H111" s="6">
        <f>IEA_demand!E141</f>
        <v>176.042</v>
      </c>
      <c r="I111" s="6">
        <f>IEA_demand!F141</f>
        <v>453.04899999999998</v>
      </c>
      <c r="J111" s="6">
        <f>IEA_demand!G141</f>
        <v>640.50900000000001</v>
      </c>
      <c r="K111" s="6">
        <f>IEA_demand!H141</f>
        <v>920.29600000000005</v>
      </c>
      <c r="L111" s="6">
        <f>IEA_demand!I141</f>
        <v>1116.72</v>
      </c>
    </row>
    <row r="112" spans="1:12" x14ac:dyDescent="0.3">
      <c r="A112" t="s">
        <v>27</v>
      </c>
      <c r="B112" t="s">
        <v>191</v>
      </c>
      <c r="C112" s="2" t="s">
        <v>149</v>
      </c>
      <c r="D112" s="2" t="s">
        <v>150</v>
      </c>
      <c r="E112" s="2" t="s">
        <v>103</v>
      </c>
      <c r="F112" t="s">
        <v>72</v>
      </c>
      <c r="G112" s="6">
        <f>IEA_demand!D142</f>
        <v>0.23835400000000001</v>
      </c>
      <c r="H112" s="6">
        <f>IEA_demand!E142</f>
        <v>3.2341199999999999</v>
      </c>
      <c r="I112" s="6">
        <f>IEA_demand!F142</f>
        <v>5.7933300000000001</v>
      </c>
      <c r="J112" s="6">
        <f>IEA_demand!G142</f>
        <v>10.277200000000001</v>
      </c>
      <c r="K112" s="6">
        <f>IEA_demand!H142</f>
        <v>14.6061</v>
      </c>
      <c r="L112" s="6">
        <f>IEA_demand!I142</f>
        <v>17.653600000000001</v>
      </c>
    </row>
    <row r="113" spans="1:12" x14ac:dyDescent="0.3">
      <c r="A113" t="s">
        <v>27</v>
      </c>
      <c r="B113" t="s">
        <v>191</v>
      </c>
      <c r="C113" s="2" t="s">
        <v>149</v>
      </c>
      <c r="D113" s="2" t="s">
        <v>150</v>
      </c>
      <c r="E113" s="2" t="s">
        <v>103</v>
      </c>
      <c r="F113" t="s">
        <v>74</v>
      </c>
      <c r="G113" s="6">
        <f>IEA_demand!D143</f>
        <v>0.23835400000000001</v>
      </c>
      <c r="H113" s="6">
        <f>IEA_demand!E143</f>
        <v>5.1892300000000002</v>
      </c>
      <c r="I113" s="6">
        <f>IEA_demand!F143</f>
        <v>9.8658699999999993</v>
      </c>
      <c r="J113" s="6">
        <f>IEA_demand!G143</f>
        <v>17.666699999999999</v>
      </c>
      <c r="K113" s="6">
        <f>IEA_demand!H143</f>
        <v>23.954899999999999</v>
      </c>
      <c r="L113" s="6">
        <f>IEA_demand!I143</f>
        <v>29.093599999999999</v>
      </c>
    </row>
    <row r="114" spans="1:12" x14ac:dyDescent="0.3">
      <c r="A114" t="s">
        <v>28</v>
      </c>
      <c r="B114" t="s">
        <v>75</v>
      </c>
      <c r="C114" s="2" t="s">
        <v>151</v>
      </c>
      <c r="D114" s="2" t="s">
        <v>152</v>
      </c>
      <c r="E114" s="2" t="s">
        <v>103</v>
      </c>
      <c r="F114" t="s">
        <v>72</v>
      </c>
      <c r="G114" s="6">
        <f>IEA_demand!D146</f>
        <v>6.4241999999999999</v>
      </c>
      <c r="H114" s="6">
        <f>IEA_demand!E146</f>
        <v>7.3526899999999999</v>
      </c>
      <c r="I114" s="6">
        <f>IEA_demand!F146</f>
        <v>6.2517800000000001</v>
      </c>
      <c r="J114" s="6">
        <f>IEA_demand!G146</f>
        <v>4.8923899999999998</v>
      </c>
      <c r="K114" s="6">
        <f>IEA_demand!H146</f>
        <v>3.7840699999999998</v>
      </c>
      <c r="L114" s="6">
        <f>IEA_demand!I146</f>
        <v>2.6888800000000002</v>
      </c>
    </row>
    <row r="115" spans="1:12" x14ac:dyDescent="0.3">
      <c r="A115" t="s">
        <v>28</v>
      </c>
      <c r="B115" t="s">
        <v>75</v>
      </c>
      <c r="C115" s="2" t="s">
        <v>151</v>
      </c>
      <c r="D115" s="2" t="s">
        <v>152</v>
      </c>
      <c r="E115" s="2" t="s">
        <v>103</v>
      </c>
      <c r="F115" t="s">
        <v>74</v>
      </c>
      <c r="G115" s="6">
        <f>IEA_demand!D147</f>
        <v>6.4241999999999999</v>
      </c>
      <c r="H115" s="6">
        <f>IEA_demand!E147</f>
        <v>11.494400000000001</v>
      </c>
      <c r="I115" s="6">
        <f>IEA_demand!F147</f>
        <v>9.5584199999999999</v>
      </c>
      <c r="J115" s="6">
        <f>IEA_demand!G147</f>
        <v>5.94428</v>
      </c>
      <c r="K115" s="6">
        <f>IEA_demand!H147</f>
        <v>3.0464899999999999</v>
      </c>
      <c r="L115" s="6">
        <f>IEA_demand!I147</f>
        <v>1.50427</v>
      </c>
    </row>
    <row r="116" spans="1:12" x14ac:dyDescent="0.3">
      <c r="A116" t="s">
        <v>28</v>
      </c>
      <c r="B116" t="s">
        <v>188</v>
      </c>
      <c r="C116" s="2" t="s">
        <v>151</v>
      </c>
      <c r="D116" s="2" t="s">
        <v>152</v>
      </c>
      <c r="E116" s="2" t="s">
        <v>103</v>
      </c>
      <c r="F116" t="s">
        <v>72</v>
      </c>
      <c r="G116" s="6">
        <f>IEA_demand!D148</f>
        <v>4.7439999999999899E-2</v>
      </c>
      <c r="H116" s="6">
        <f>IEA_demand!E148</f>
        <v>5.2080000000000098E-2</v>
      </c>
      <c r="I116" s="6">
        <f>IEA_demand!F148</f>
        <v>6.2579999999999594E-2</v>
      </c>
      <c r="J116" s="6">
        <f>IEA_demand!G148</f>
        <v>6.9550000000000403E-2</v>
      </c>
      <c r="K116" s="6">
        <f>IEA_demand!H148</f>
        <v>7.4590000000000101E-2</v>
      </c>
      <c r="L116" s="6">
        <f>IEA_demand!I148</f>
        <v>8.2409999999999803E-2</v>
      </c>
    </row>
    <row r="117" spans="1:12" x14ac:dyDescent="0.3">
      <c r="A117" t="s">
        <v>28</v>
      </c>
      <c r="B117" t="s">
        <v>188</v>
      </c>
      <c r="C117" s="2" t="s">
        <v>151</v>
      </c>
      <c r="D117" s="2" t="s">
        <v>152</v>
      </c>
      <c r="E117" s="2" t="s">
        <v>103</v>
      </c>
      <c r="F117" t="s">
        <v>74</v>
      </c>
      <c r="G117" s="6">
        <f>IEA_demand!D149</f>
        <v>4.7439999999999899E-2</v>
      </c>
      <c r="H117" s="6">
        <f>IEA_demand!E149</f>
        <v>0.176199999999999</v>
      </c>
      <c r="I117" s="6">
        <f>IEA_demand!F149</f>
        <v>0.33195999999999998</v>
      </c>
      <c r="J117" s="6">
        <f>IEA_demand!G149</f>
        <v>0.32696999999999998</v>
      </c>
      <c r="K117" s="6">
        <f>IEA_demand!H149</f>
        <v>0.25325999999999999</v>
      </c>
      <c r="L117" s="6">
        <f>IEA_demand!I149</f>
        <v>0.1996</v>
      </c>
    </row>
    <row r="118" spans="1:12" s="44" customFormat="1" x14ac:dyDescent="0.3">
      <c r="A118" s="44" t="s">
        <v>180</v>
      </c>
      <c r="B118" s="44" t="s">
        <v>188</v>
      </c>
      <c r="C118" s="44" t="s">
        <v>231</v>
      </c>
      <c r="D118" s="44" t="s">
        <v>232</v>
      </c>
      <c r="E118" s="44" t="s">
        <v>103</v>
      </c>
      <c r="F118" s="44" t="s">
        <v>72</v>
      </c>
      <c r="G118" s="55">
        <f>IEA_demand!D152</f>
        <v>5.8660700000000003E-2</v>
      </c>
      <c r="H118" s="55">
        <f>IEA_demand!E152</f>
        <v>0.17486599999999999</v>
      </c>
      <c r="I118" s="55">
        <f>IEA_demand!F152</f>
        <v>0.131685</v>
      </c>
      <c r="J118" s="55">
        <f>IEA_demand!G152</f>
        <v>0.158277</v>
      </c>
      <c r="K118" s="55">
        <f>IEA_demand!H152</f>
        <v>0.12601999999999999</v>
      </c>
      <c r="L118" s="55">
        <f>IEA_demand!I152</f>
        <v>0.109266</v>
      </c>
    </row>
    <row r="119" spans="1:12" s="44" customFormat="1" x14ac:dyDescent="0.3">
      <c r="A119" s="44" t="s">
        <v>180</v>
      </c>
      <c r="B119" s="44" t="s">
        <v>188</v>
      </c>
      <c r="C119" s="44" t="s">
        <v>231</v>
      </c>
      <c r="D119" s="44" t="s">
        <v>232</v>
      </c>
      <c r="E119" s="44" t="s">
        <v>103</v>
      </c>
      <c r="F119" s="44" t="s">
        <v>74</v>
      </c>
      <c r="G119" s="55">
        <f>IEA_demand!D153</f>
        <v>5.8660700000000003E-2</v>
      </c>
      <c r="H119" s="55">
        <f>IEA_demand!E153</f>
        <v>0.43761</v>
      </c>
      <c r="I119" s="55">
        <f>IEA_demand!F153</f>
        <v>0.335397</v>
      </c>
      <c r="J119" s="55">
        <f>IEA_demand!G153</f>
        <v>0.26637100000000002</v>
      </c>
      <c r="K119" s="55">
        <f>IEA_demand!H153</f>
        <v>0.20039599999999999</v>
      </c>
      <c r="L119" s="55">
        <f>IEA_demand!I153</f>
        <v>0.14657600000000001</v>
      </c>
    </row>
    <row r="120" spans="1:12" x14ac:dyDescent="0.3">
      <c r="A120" t="s">
        <v>29</v>
      </c>
      <c r="B120" t="s">
        <v>75</v>
      </c>
      <c r="C120" s="2" t="s">
        <v>153</v>
      </c>
      <c r="D120" s="2" t="s">
        <v>154</v>
      </c>
      <c r="E120" s="2" t="s">
        <v>103</v>
      </c>
      <c r="F120" t="s">
        <v>72</v>
      </c>
      <c r="G120" s="6">
        <f>IEA_demand!D154</f>
        <v>0.69618800000000003</v>
      </c>
      <c r="H120" s="6">
        <f>IEA_demand!E154</f>
        <v>0.65954999999999997</v>
      </c>
      <c r="I120" s="6">
        <f>IEA_demand!F154</f>
        <v>0.65336399999999994</v>
      </c>
      <c r="J120" s="6">
        <f>IEA_demand!G154</f>
        <v>0.61586300000000005</v>
      </c>
      <c r="K120" s="6">
        <f>IEA_demand!H154</f>
        <v>0.58424100000000001</v>
      </c>
      <c r="L120" s="6">
        <f>IEA_demand!I154</f>
        <v>0.56041399999999997</v>
      </c>
    </row>
    <row r="121" spans="1:12" x14ac:dyDescent="0.3">
      <c r="A121" t="s">
        <v>29</v>
      </c>
      <c r="B121" t="s">
        <v>75</v>
      </c>
      <c r="C121" s="2" t="s">
        <v>153</v>
      </c>
      <c r="D121" s="2" t="s">
        <v>154</v>
      </c>
      <c r="E121" s="2" t="s">
        <v>103</v>
      </c>
      <c r="F121" t="s">
        <v>74</v>
      </c>
      <c r="G121" s="6">
        <f>IEA_demand!D155</f>
        <v>0.69618800000000003</v>
      </c>
      <c r="H121" s="6">
        <f>IEA_demand!E155</f>
        <v>1.55057</v>
      </c>
      <c r="I121" s="6">
        <f>IEA_demand!F155</f>
        <v>1.47559</v>
      </c>
      <c r="J121" s="6">
        <f>IEA_demand!G155</f>
        <v>1.07253</v>
      </c>
      <c r="K121" s="6">
        <f>IEA_demand!H155</f>
        <v>0.67366700000000002</v>
      </c>
      <c r="L121" s="6">
        <f>IEA_demand!I155</f>
        <v>0.53577200000000003</v>
      </c>
    </row>
    <row r="122" spans="1:12" x14ac:dyDescent="0.3">
      <c r="A122" t="s">
        <v>30</v>
      </c>
      <c r="B122" t="s">
        <v>77</v>
      </c>
      <c r="C122" s="2" t="s">
        <v>155</v>
      </c>
      <c r="D122" s="2" t="s">
        <v>156</v>
      </c>
      <c r="E122" s="2" t="s">
        <v>103</v>
      </c>
      <c r="F122" t="s">
        <v>72</v>
      </c>
      <c r="G122" s="6">
        <f>IEA_demand!D156</f>
        <v>0.28000000000000003</v>
      </c>
      <c r="H122" s="6">
        <f>IEA_demand!E156</f>
        <v>0.51</v>
      </c>
      <c r="I122" s="6">
        <f>IEA_demand!F156</f>
        <v>0.44</v>
      </c>
      <c r="J122" s="6">
        <f>IEA_demand!G156</f>
        <v>0.37</v>
      </c>
      <c r="K122" s="6">
        <f>IEA_demand!H156</f>
        <v>0.43</v>
      </c>
      <c r="L122" s="6">
        <f>IEA_demand!I156</f>
        <v>0.59</v>
      </c>
    </row>
    <row r="123" spans="1:12" x14ac:dyDescent="0.3">
      <c r="A123" t="s">
        <v>30</v>
      </c>
      <c r="B123" t="s">
        <v>77</v>
      </c>
      <c r="C123" s="2" t="s">
        <v>155</v>
      </c>
      <c r="D123" s="2" t="s">
        <v>156</v>
      </c>
      <c r="E123" s="2" t="s">
        <v>103</v>
      </c>
      <c r="F123" t="s">
        <v>74</v>
      </c>
      <c r="G123" s="6">
        <f>IEA_demand!D157</f>
        <v>0.28000000000000003</v>
      </c>
      <c r="H123" s="6">
        <f>IEA_demand!E157</f>
        <v>0.89</v>
      </c>
      <c r="I123" s="6">
        <f>IEA_demand!F157</f>
        <v>0.9</v>
      </c>
      <c r="J123" s="6">
        <f>IEA_demand!G157</f>
        <v>0.8</v>
      </c>
      <c r="K123" s="6">
        <f>IEA_demand!H157</f>
        <v>0.77</v>
      </c>
      <c r="L123" s="6">
        <f>IEA_demand!I157</f>
        <v>1.08</v>
      </c>
    </row>
    <row r="124" spans="1:12" x14ac:dyDescent="0.3">
      <c r="A124" t="s">
        <v>30</v>
      </c>
      <c r="B124" t="s">
        <v>190</v>
      </c>
      <c r="C124" s="2" t="s">
        <v>155</v>
      </c>
      <c r="D124" s="2" t="s">
        <v>156</v>
      </c>
      <c r="E124" s="2" t="s">
        <v>103</v>
      </c>
      <c r="F124" t="s">
        <v>72</v>
      </c>
      <c r="G124" s="6">
        <f>IEA_demand!D158</f>
        <v>0.11</v>
      </c>
      <c r="H124" s="6">
        <f>IEA_demand!E158</f>
        <v>0.37</v>
      </c>
      <c r="I124" s="6">
        <f>IEA_demand!F158</f>
        <v>0.52</v>
      </c>
      <c r="J124" s="6">
        <f>IEA_demand!G158</f>
        <v>0.59</v>
      </c>
      <c r="K124" s="6">
        <f>IEA_demand!H158</f>
        <v>0.63</v>
      </c>
      <c r="L124" s="6">
        <f>IEA_demand!I158</f>
        <v>0.66</v>
      </c>
    </row>
    <row r="125" spans="1:12" x14ac:dyDescent="0.3">
      <c r="A125" t="s">
        <v>30</v>
      </c>
      <c r="B125" t="s">
        <v>190</v>
      </c>
      <c r="C125" s="2" t="s">
        <v>155</v>
      </c>
      <c r="D125" s="2" t="s">
        <v>156</v>
      </c>
      <c r="E125" s="2" t="s">
        <v>103</v>
      </c>
      <c r="F125" t="s">
        <v>74</v>
      </c>
      <c r="G125" s="6">
        <f>IEA_demand!D159</f>
        <v>0.11</v>
      </c>
      <c r="H125" s="6">
        <f>IEA_demand!E159</f>
        <v>0.53</v>
      </c>
      <c r="I125" s="6">
        <f>IEA_demand!F159</f>
        <v>0.76</v>
      </c>
      <c r="J125" s="6">
        <f>IEA_demand!G159</f>
        <v>0.78</v>
      </c>
      <c r="K125" s="6">
        <f>IEA_demand!H159</f>
        <v>0.82</v>
      </c>
      <c r="L125" s="6">
        <f>IEA_demand!I159</f>
        <v>0.85</v>
      </c>
    </row>
    <row r="126" spans="1:12" x14ac:dyDescent="0.3">
      <c r="A126" t="s">
        <v>31</v>
      </c>
      <c r="B126" t="s">
        <v>75</v>
      </c>
      <c r="C126" s="2" t="s">
        <v>157</v>
      </c>
      <c r="D126" s="2" t="s">
        <v>158</v>
      </c>
      <c r="E126" s="2" t="s">
        <v>103</v>
      </c>
      <c r="F126" t="s">
        <v>72</v>
      </c>
      <c r="G126" s="6">
        <f>IEA_demand!D162</f>
        <v>2.0699999999999998</v>
      </c>
      <c r="H126" s="6">
        <f>IEA_demand!E162</f>
        <v>2.96</v>
      </c>
      <c r="I126" s="6">
        <f>IEA_demand!F162</f>
        <v>3.05</v>
      </c>
      <c r="J126" s="6">
        <f>IEA_demand!G162</f>
        <v>3.02</v>
      </c>
      <c r="K126" s="6">
        <f>IEA_demand!H162</f>
        <v>3.16</v>
      </c>
      <c r="L126" s="6">
        <f>IEA_demand!I162</f>
        <v>3.47</v>
      </c>
    </row>
    <row r="127" spans="1:12" x14ac:dyDescent="0.3">
      <c r="A127" t="s">
        <v>31</v>
      </c>
      <c r="B127" t="s">
        <v>75</v>
      </c>
      <c r="C127" s="2" t="s">
        <v>157</v>
      </c>
      <c r="D127" s="2" t="s">
        <v>158</v>
      </c>
      <c r="E127" s="2" t="s">
        <v>103</v>
      </c>
      <c r="F127" t="s">
        <v>74</v>
      </c>
      <c r="G127" s="6">
        <f>IEA_demand!D163</f>
        <v>2.0699999999999998</v>
      </c>
      <c r="H127" s="6">
        <f>IEA_demand!E163</f>
        <v>4.76</v>
      </c>
      <c r="I127" s="6">
        <f>IEA_demand!F163</f>
        <v>4.9800000000000004</v>
      </c>
      <c r="J127" s="6">
        <f>IEA_demand!G163</f>
        <v>4.22</v>
      </c>
      <c r="K127" s="6">
        <f>IEA_demand!H163</f>
        <v>3.44</v>
      </c>
      <c r="L127" s="6">
        <f>IEA_demand!I163</f>
        <v>4.37</v>
      </c>
    </row>
    <row r="128" spans="1:12" x14ac:dyDescent="0.3">
      <c r="A128" t="s">
        <v>31</v>
      </c>
      <c r="B128" t="s">
        <v>188</v>
      </c>
      <c r="C128" s="2" t="s">
        <v>157</v>
      </c>
      <c r="D128" s="2" t="s">
        <v>158</v>
      </c>
      <c r="E128" s="2" t="s">
        <v>103</v>
      </c>
      <c r="F128" t="s">
        <v>72</v>
      </c>
      <c r="G128" s="6">
        <f>IEA_demand!D164</f>
        <v>0.08</v>
      </c>
      <c r="H128" s="6">
        <f>IEA_demand!E164</f>
        <v>0.12</v>
      </c>
      <c r="I128" s="6">
        <f>IEA_demand!F164</f>
        <v>0.08</v>
      </c>
      <c r="J128" s="6">
        <f>IEA_demand!G164</f>
        <v>0.06</v>
      </c>
      <c r="K128" s="6">
        <f>IEA_demand!H164</f>
        <v>0.1</v>
      </c>
      <c r="L128" s="6">
        <f>IEA_demand!I164</f>
        <v>7.0000000000000007E-2</v>
      </c>
    </row>
    <row r="129" spans="1:12" x14ac:dyDescent="0.3">
      <c r="A129" t="s">
        <v>31</v>
      </c>
      <c r="B129" t="s">
        <v>188</v>
      </c>
      <c r="C129" s="2" t="s">
        <v>157</v>
      </c>
      <c r="D129" s="2" t="s">
        <v>158</v>
      </c>
      <c r="E129" s="2" t="s">
        <v>103</v>
      </c>
      <c r="F129" t="s">
        <v>74</v>
      </c>
      <c r="G129" s="6">
        <f>IEA_demand!D165</f>
        <v>0.08</v>
      </c>
      <c r="H129" s="6">
        <f>IEA_demand!E165</f>
        <v>0.16</v>
      </c>
      <c r="I129" s="6">
        <f>IEA_demand!F165</f>
        <v>0.16</v>
      </c>
      <c r="J129" s="6">
        <f>IEA_demand!G165</f>
        <v>0.12</v>
      </c>
      <c r="K129" s="6">
        <f>IEA_demand!H165</f>
        <v>0.1</v>
      </c>
      <c r="L129" s="6">
        <f>IEA_demand!I165</f>
        <v>0.09</v>
      </c>
    </row>
    <row r="130" spans="1:12" s="44" customFormat="1" x14ac:dyDescent="0.3">
      <c r="A130" s="44" t="s">
        <v>181</v>
      </c>
      <c r="B130" s="44" t="s">
        <v>188</v>
      </c>
      <c r="C130" s="44" t="s">
        <v>233</v>
      </c>
      <c r="D130" s="44" t="s">
        <v>234</v>
      </c>
      <c r="E130" s="44" t="s">
        <v>103</v>
      </c>
      <c r="F130" s="44" t="s">
        <v>72</v>
      </c>
      <c r="G130" s="55">
        <f>IEA_demand!D168</f>
        <v>5.2086899999999998</v>
      </c>
      <c r="H130" s="55">
        <f>IEA_demand!E168</f>
        <v>10.939399999999999</v>
      </c>
      <c r="I130" s="55">
        <f>IEA_demand!F168</f>
        <v>6.4217300000000002</v>
      </c>
      <c r="J130" s="55">
        <f>IEA_demand!G168</f>
        <v>7.6797599999999999</v>
      </c>
      <c r="K130" s="55">
        <f>IEA_demand!H168</f>
        <v>7.0791599999999999</v>
      </c>
      <c r="L130" s="55">
        <f>IEA_demand!I168</f>
        <v>7.2362700000000002</v>
      </c>
    </row>
    <row r="131" spans="1:12" s="44" customFormat="1" x14ac:dyDescent="0.3">
      <c r="A131" s="44" t="s">
        <v>181</v>
      </c>
      <c r="B131" s="44" t="s">
        <v>188</v>
      </c>
      <c r="C131" s="44" t="s">
        <v>233</v>
      </c>
      <c r="D131" s="44" t="s">
        <v>234</v>
      </c>
      <c r="E131" s="44" t="s">
        <v>103</v>
      </c>
      <c r="F131" s="44" t="s">
        <v>74</v>
      </c>
      <c r="G131" s="55">
        <f>IEA_demand!D169</f>
        <v>5.2086899999999998</v>
      </c>
      <c r="H131" s="55">
        <f>IEA_demand!E169</f>
        <v>22.692699999999999</v>
      </c>
      <c r="I131" s="55">
        <f>IEA_demand!F169</f>
        <v>19.177499999999998</v>
      </c>
      <c r="J131" s="55">
        <f>IEA_demand!G169</f>
        <v>15.070600000000001</v>
      </c>
      <c r="K131" s="55">
        <f>IEA_demand!H169</f>
        <v>11.4437</v>
      </c>
      <c r="L131" s="55">
        <f>IEA_demand!I169</f>
        <v>9.4756800000000005</v>
      </c>
    </row>
    <row r="132" spans="1:12" s="44" customFormat="1" x14ac:dyDescent="0.3">
      <c r="A132" s="44" t="s">
        <v>182</v>
      </c>
      <c r="B132" s="44" t="s">
        <v>188</v>
      </c>
      <c r="C132" s="44" t="s">
        <v>235</v>
      </c>
      <c r="D132" s="44" t="s">
        <v>236</v>
      </c>
      <c r="E132" s="44" t="s">
        <v>103</v>
      </c>
      <c r="F132" s="44" t="s">
        <v>72</v>
      </c>
      <c r="G132" s="55">
        <f>IEA_demand!D176</f>
        <v>8.2333600000000007E-2</v>
      </c>
      <c r="H132" s="55">
        <f>IEA_demand!E176</f>
        <v>0.13381299999999999</v>
      </c>
      <c r="I132" s="55">
        <f>IEA_demand!F176</f>
        <v>8.4581900000000002E-2</v>
      </c>
      <c r="J132" s="55">
        <f>IEA_demand!G176</f>
        <v>6.5545800000000001E-2</v>
      </c>
      <c r="K132" s="55">
        <f>IEA_demand!H176</f>
        <v>0.106197</v>
      </c>
      <c r="L132" s="55">
        <f>IEA_demand!I176</f>
        <v>7.7831600000000001E-2</v>
      </c>
    </row>
    <row r="133" spans="1:12" s="44" customFormat="1" x14ac:dyDescent="0.3">
      <c r="A133" s="44" t="s">
        <v>182</v>
      </c>
      <c r="B133" s="44" t="s">
        <v>188</v>
      </c>
      <c r="C133" s="44" t="s">
        <v>235</v>
      </c>
      <c r="D133" s="44" t="s">
        <v>236</v>
      </c>
      <c r="E133" s="44" t="s">
        <v>103</v>
      </c>
      <c r="F133" s="44" t="s">
        <v>74</v>
      </c>
      <c r="G133" s="55">
        <f>IEA_demand!D177</f>
        <v>8.2333600000000007E-2</v>
      </c>
      <c r="H133" s="55">
        <f>IEA_demand!E177</f>
        <v>0.16907700000000001</v>
      </c>
      <c r="I133" s="55">
        <f>IEA_demand!F177</f>
        <v>0.174207</v>
      </c>
      <c r="J133" s="55">
        <f>IEA_demand!G177</f>
        <v>0.13034000000000001</v>
      </c>
      <c r="K133" s="55">
        <f>IEA_demand!H177</f>
        <v>0.110329</v>
      </c>
      <c r="L133" s="55">
        <f>IEA_demand!I177</f>
        <v>9.5172300000000001E-2</v>
      </c>
    </row>
    <row r="134" spans="1:12" x14ac:dyDescent="0.3">
      <c r="A134" t="s">
        <v>32</v>
      </c>
      <c r="B134" t="s">
        <v>191</v>
      </c>
      <c r="C134" s="2" t="s">
        <v>159</v>
      </c>
      <c r="D134" s="2" t="s">
        <v>160</v>
      </c>
      <c r="E134" s="2" t="s">
        <v>161</v>
      </c>
      <c r="F134" t="s">
        <v>72</v>
      </c>
      <c r="G134" s="6">
        <f>IEA_demand!D178</f>
        <v>1.4047199999999999E-2</v>
      </c>
      <c r="H134" s="6">
        <f>IEA_demand!E178</f>
        <v>21.975999999999999</v>
      </c>
      <c r="I134" s="6">
        <f>IEA_demand!F178</f>
        <v>159.93199999999999</v>
      </c>
      <c r="J134" s="6">
        <f>IEA_demand!G178</f>
        <v>323.66199999999998</v>
      </c>
      <c r="K134" s="6">
        <f>IEA_demand!H178</f>
        <v>388.14600000000002</v>
      </c>
      <c r="L134" s="6">
        <f>IEA_demand!I178</f>
        <v>469.125</v>
      </c>
    </row>
    <row r="135" spans="1:12" x14ac:dyDescent="0.3">
      <c r="A135" t="s">
        <v>32</v>
      </c>
      <c r="B135" t="s">
        <v>191</v>
      </c>
      <c r="C135" s="2" t="s">
        <v>159</v>
      </c>
      <c r="D135" s="2" t="s">
        <v>160</v>
      </c>
      <c r="E135" s="2" t="s">
        <v>161</v>
      </c>
      <c r="F135" t="s">
        <v>74</v>
      </c>
      <c r="G135" s="6">
        <f>IEA_demand!D179</f>
        <v>1.4047199999999999E-2</v>
      </c>
      <c r="H135" s="6">
        <f>IEA_demand!E179</f>
        <v>35.268700000000003</v>
      </c>
      <c r="I135" s="6">
        <f>IEA_demand!F179</f>
        <v>272.39100000000002</v>
      </c>
      <c r="J135" s="6">
        <f>IEA_demand!G179</f>
        <v>556.40700000000004</v>
      </c>
      <c r="K135" s="6">
        <f>IEA_demand!H179</f>
        <v>636.59400000000005</v>
      </c>
      <c r="L135" s="6">
        <f>IEA_demand!I179</f>
        <v>773.13400000000001</v>
      </c>
    </row>
    <row r="136" spans="1:12" s="49" customFormat="1" x14ac:dyDescent="0.3">
      <c r="A136" s="49" t="s">
        <v>33</v>
      </c>
      <c r="B136" s="49" t="s">
        <v>188</v>
      </c>
      <c r="C136" s="49" t="s">
        <v>237</v>
      </c>
      <c r="D136" s="49" t="s">
        <v>238</v>
      </c>
      <c r="E136" s="49" t="s">
        <v>103</v>
      </c>
      <c r="F136" s="49" t="s">
        <v>72</v>
      </c>
      <c r="G136" s="56">
        <f>IEA_demand!D180</f>
        <v>0.01</v>
      </c>
      <c r="H136" s="56">
        <f>IEA_demand!E180</f>
        <v>0.01</v>
      </c>
      <c r="I136" s="56">
        <f>IEA_demand!F180</f>
        <v>0.01</v>
      </c>
      <c r="J136" s="56">
        <f>IEA_demand!G180</f>
        <v>0.01</v>
      </c>
      <c r="K136" s="56">
        <f>IEA_demand!H180</f>
        <v>0.01</v>
      </c>
      <c r="L136" s="56">
        <f>IEA_demand!I180</f>
        <v>0.01</v>
      </c>
    </row>
    <row r="137" spans="1:12" s="49" customFormat="1" x14ac:dyDescent="0.3">
      <c r="A137" s="49" t="s">
        <v>33</v>
      </c>
      <c r="B137" s="49" t="s">
        <v>188</v>
      </c>
      <c r="C137" s="49" t="s">
        <v>237</v>
      </c>
      <c r="D137" s="49" t="s">
        <v>238</v>
      </c>
      <c r="E137" s="49" t="s">
        <v>103</v>
      </c>
      <c r="F137" s="49" t="s">
        <v>74</v>
      </c>
      <c r="G137" s="56">
        <f>IEA_demand!D181</f>
        <v>0.01</v>
      </c>
      <c r="H137" s="56">
        <f>IEA_demand!E181</f>
        <v>0.02</v>
      </c>
      <c r="I137" s="56">
        <f>IEA_demand!F181</f>
        <v>0.02</v>
      </c>
      <c r="J137" s="56">
        <f>IEA_demand!G181</f>
        <v>0.01</v>
      </c>
      <c r="K137" s="56">
        <f>IEA_demand!H181</f>
        <v>0.01</v>
      </c>
      <c r="L137" s="56">
        <f>IEA_demand!I181</f>
        <v>0.01</v>
      </c>
    </row>
    <row r="138" spans="1:12" s="49" customFormat="1" x14ac:dyDescent="0.3">
      <c r="A138" s="49" t="s">
        <v>33</v>
      </c>
      <c r="B138" s="49" t="s">
        <v>193</v>
      </c>
      <c r="C138" s="49" t="s">
        <v>237</v>
      </c>
      <c r="D138" s="49" t="s">
        <v>238</v>
      </c>
      <c r="E138" s="49" t="s">
        <v>103</v>
      </c>
      <c r="F138" s="49" t="s">
        <v>72</v>
      </c>
      <c r="G138" s="56">
        <f>IEA_demand!D182</f>
        <v>0</v>
      </c>
      <c r="H138" s="56">
        <f>IEA_demand!E182</f>
        <v>0</v>
      </c>
      <c r="I138" s="56">
        <f>IEA_demand!F182</f>
        <v>0</v>
      </c>
      <c r="J138" s="56">
        <f>IEA_demand!G182</f>
        <v>0</v>
      </c>
      <c r="K138" s="56">
        <f>IEA_demand!H182</f>
        <v>0</v>
      </c>
      <c r="L138" s="56">
        <f>IEA_demand!I182</f>
        <v>0</v>
      </c>
    </row>
    <row r="139" spans="1:12" s="49" customFormat="1" x14ac:dyDescent="0.3">
      <c r="A139" s="49" t="s">
        <v>33</v>
      </c>
      <c r="B139" s="49" t="s">
        <v>193</v>
      </c>
      <c r="C139" s="49" t="s">
        <v>237</v>
      </c>
      <c r="D139" s="49" t="s">
        <v>238</v>
      </c>
      <c r="E139" s="49" t="s">
        <v>103</v>
      </c>
      <c r="F139" s="49" t="s">
        <v>74</v>
      </c>
      <c r="G139" s="56">
        <f>IEA_demand!D183</f>
        <v>0</v>
      </c>
      <c r="H139" s="56">
        <f>IEA_demand!E183</f>
        <v>0.01</v>
      </c>
      <c r="I139" s="56">
        <f>IEA_demand!F183</f>
        <v>0.01</v>
      </c>
      <c r="J139" s="56">
        <f>IEA_demand!G183</f>
        <v>0</v>
      </c>
      <c r="K139" s="56">
        <f>IEA_demand!H183</f>
        <v>0</v>
      </c>
      <c r="L139" s="56">
        <f>IEA_demand!I183</f>
        <v>0</v>
      </c>
    </row>
    <row r="140" spans="1:12" x14ac:dyDescent="0.3">
      <c r="A140" t="s">
        <v>34</v>
      </c>
      <c r="B140" t="s">
        <v>75</v>
      </c>
      <c r="C140" s="2" t="s">
        <v>162</v>
      </c>
      <c r="D140" s="2" t="s">
        <v>163</v>
      </c>
      <c r="E140" s="2" t="s">
        <v>103</v>
      </c>
      <c r="F140" t="s">
        <v>72</v>
      </c>
      <c r="G140" s="6">
        <f>IEA_demand!D186</f>
        <v>10.452299999999999</v>
      </c>
      <c r="H140" s="6">
        <f>IEA_demand!E186</f>
        <v>14.926399999999999</v>
      </c>
      <c r="I140" s="6">
        <f>IEA_demand!F186</f>
        <v>15.3781</v>
      </c>
      <c r="J140" s="6">
        <f>IEA_demand!G186</f>
        <v>15.2326</v>
      </c>
      <c r="K140" s="6">
        <f>IEA_demand!H186</f>
        <v>15.9503</v>
      </c>
      <c r="L140" s="6">
        <f>IEA_demand!I186</f>
        <v>17.4862</v>
      </c>
    </row>
    <row r="141" spans="1:12" x14ac:dyDescent="0.3">
      <c r="A141" t="s">
        <v>34</v>
      </c>
      <c r="B141" t="s">
        <v>75</v>
      </c>
      <c r="C141" s="2" t="s">
        <v>162</v>
      </c>
      <c r="D141" s="2" t="s">
        <v>163</v>
      </c>
      <c r="E141" s="2" t="s">
        <v>103</v>
      </c>
      <c r="F141" t="s">
        <v>74</v>
      </c>
      <c r="G141" s="6">
        <f>IEA_demand!D187</f>
        <v>10.452299999999999</v>
      </c>
      <c r="H141" s="6">
        <f>IEA_demand!E187</f>
        <v>23.9678</v>
      </c>
      <c r="I141" s="6">
        <f>IEA_demand!F187</f>
        <v>25.097799999999999</v>
      </c>
      <c r="J141" s="6">
        <f>IEA_demand!G187</f>
        <v>21.2805</v>
      </c>
      <c r="K141" s="6">
        <f>IEA_demand!H187</f>
        <v>17.351900000000001</v>
      </c>
      <c r="L141" s="6">
        <f>IEA_demand!I187</f>
        <v>22.0031</v>
      </c>
    </row>
    <row r="142" spans="1:12" x14ac:dyDescent="0.3">
      <c r="A142" t="s">
        <v>34</v>
      </c>
      <c r="B142" t="s">
        <v>77</v>
      </c>
      <c r="C142" s="2" t="s">
        <v>162</v>
      </c>
      <c r="D142" s="2" t="s">
        <v>163</v>
      </c>
      <c r="E142" s="2" t="s">
        <v>103</v>
      </c>
      <c r="F142" t="s">
        <v>72</v>
      </c>
      <c r="G142" s="6">
        <f>IEA_demand!D188</f>
        <v>704.62699999999995</v>
      </c>
      <c r="H142" s="6">
        <f>IEA_demand!E188</f>
        <v>970.20299999999997</v>
      </c>
      <c r="I142" s="6">
        <f>IEA_demand!F188</f>
        <v>864.49199999999996</v>
      </c>
      <c r="J142" s="6">
        <f>IEA_demand!G188</f>
        <v>761.06200000000001</v>
      </c>
      <c r="K142" s="6">
        <f>IEA_demand!H188</f>
        <v>848.36500000000001</v>
      </c>
      <c r="L142" s="6">
        <f>IEA_demand!I188</f>
        <v>1062.6600000000001</v>
      </c>
    </row>
    <row r="143" spans="1:12" x14ac:dyDescent="0.3">
      <c r="A143" t="s">
        <v>34</v>
      </c>
      <c r="B143" t="s">
        <v>77</v>
      </c>
      <c r="C143" s="2" t="s">
        <v>162</v>
      </c>
      <c r="D143" s="2" t="s">
        <v>163</v>
      </c>
      <c r="E143" s="2" t="s">
        <v>103</v>
      </c>
      <c r="F143" t="s">
        <v>74</v>
      </c>
      <c r="G143" s="6">
        <f>IEA_demand!D189</f>
        <v>704.62699999999995</v>
      </c>
      <c r="H143" s="6">
        <f>IEA_demand!E189</f>
        <v>1699.65</v>
      </c>
      <c r="I143" s="6">
        <f>IEA_demand!F189</f>
        <v>1835.85</v>
      </c>
      <c r="J143" s="6">
        <f>IEA_demand!G189</f>
        <v>1600.5</v>
      </c>
      <c r="K143" s="6">
        <f>IEA_demand!H189</f>
        <v>1375.27</v>
      </c>
      <c r="L143" s="6">
        <f>IEA_demand!I189</f>
        <v>1744.87</v>
      </c>
    </row>
    <row r="144" spans="1:12" x14ac:dyDescent="0.3">
      <c r="A144" t="s">
        <v>34</v>
      </c>
      <c r="B144" t="s">
        <v>188</v>
      </c>
      <c r="C144" s="2" t="s">
        <v>162</v>
      </c>
      <c r="D144" s="2" t="s">
        <v>163</v>
      </c>
      <c r="E144" s="2" t="s">
        <v>103</v>
      </c>
      <c r="F144" t="s">
        <v>72</v>
      </c>
      <c r="G144" s="6">
        <f>IEA_demand!D190</f>
        <v>15.886699999999999</v>
      </c>
      <c r="H144" s="6">
        <f>IEA_demand!E190</f>
        <v>18.990600000000001</v>
      </c>
      <c r="I144" s="6">
        <f>IEA_demand!F190</f>
        <v>15.812900000000001</v>
      </c>
      <c r="J144" s="6">
        <f>IEA_demand!G190</f>
        <v>17.798399999999901</v>
      </c>
      <c r="K144" s="6">
        <f>IEA_demand!H190</f>
        <v>22.6906999999999</v>
      </c>
      <c r="L144" s="6">
        <f>IEA_demand!I190</f>
        <v>24.063799999999901</v>
      </c>
    </row>
    <row r="145" spans="1:12" x14ac:dyDescent="0.3">
      <c r="A145" t="s">
        <v>34</v>
      </c>
      <c r="B145" t="s">
        <v>188</v>
      </c>
      <c r="C145" s="2" t="s">
        <v>162</v>
      </c>
      <c r="D145" s="2" t="s">
        <v>163</v>
      </c>
      <c r="E145" s="2" t="s">
        <v>103</v>
      </c>
      <c r="F145" t="s">
        <v>74</v>
      </c>
      <c r="G145" s="6">
        <f>IEA_demand!D191</f>
        <v>15.886699999999999</v>
      </c>
      <c r="H145" s="6">
        <f>IEA_demand!E191</f>
        <v>46.892200000000003</v>
      </c>
      <c r="I145" s="6">
        <f>IEA_demand!F191</f>
        <v>52.812199999999997</v>
      </c>
      <c r="J145" s="6">
        <f>IEA_demand!G191</f>
        <v>48.449499999999901</v>
      </c>
      <c r="K145" s="6">
        <f>IEA_demand!H191</f>
        <v>39.958099999999803</v>
      </c>
      <c r="L145" s="6">
        <f>IEA_demand!I191</f>
        <v>33.8669000000002</v>
      </c>
    </row>
    <row r="146" spans="1:12" x14ac:dyDescent="0.3">
      <c r="A146" t="s">
        <v>35</v>
      </c>
      <c r="B146" t="s">
        <v>188</v>
      </c>
      <c r="C146" s="2" t="s">
        <v>164</v>
      </c>
      <c r="D146" s="2" t="s">
        <v>165</v>
      </c>
      <c r="E146" s="2" t="s">
        <v>103</v>
      </c>
      <c r="F146" t="s">
        <v>72</v>
      </c>
      <c r="G146" s="6">
        <f>IEA_demand!D194</f>
        <v>0.5</v>
      </c>
      <c r="H146" s="6">
        <f>IEA_demand!E194</f>
        <v>0.82</v>
      </c>
      <c r="I146" s="6">
        <f>IEA_demand!F194</f>
        <v>0.52</v>
      </c>
      <c r="J146" s="6">
        <f>IEA_demand!G194</f>
        <v>0.4</v>
      </c>
      <c r="K146" s="6">
        <f>IEA_demand!H194</f>
        <v>0.65</v>
      </c>
      <c r="L146" s="6">
        <f>IEA_demand!I194</f>
        <v>0.47</v>
      </c>
    </row>
    <row r="147" spans="1:12" x14ac:dyDescent="0.3">
      <c r="A147" t="s">
        <v>35</v>
      </c>
      <c r="B147" t="s">
        <v>188</v>
      </c>
      <c r="C147" s="2" t="s">
        <v>164</v>
      </c>
      <c r="D147" s="2" t="s">
        <v>165</v>
      </c>
      <c r="E147" s="2" t="s">
        <v>103</v>
      </c>
      <c r="F147" t="s">
        <v>74</v>
      </c>
      <c r="G147" s="6">
        <f>IEA_demand!D195</f>
        <v>0.5</v>
      </c>
      <c r="H147" s="6">
        <f>IEA_demand!E195</f>
        <v>1.03</v>
      </c>
      <c r="I147" s="6">
        <f>IEA_demand!F195</f>
        <v>1.06</v>
      </c>
      <c r="J147" s="6">
        <f>IEA_demand!G195</f>
        <v>0.8</v>
      </c>
      <c r="K147" s="6">
        <f>IEA_demand!H195</f>
        <v>0.67</v>
      </c>
      <c r="L147" s="6">
        <f>IEA_demand!I195</f>
        <v>0.57999999999999996</v>
      </c>
    </row>
    <row r="148" spans="1:12" x14ac:dyDescent="0.3">
      <c r="A148" t="s">
        <v>35</v>
      </c>
      <c r="B148" t="s">
        <v>193</v>
      </c>
      <c r="C148" s="2" t="s">
        <v>164</v>
      </c>
      <c r="D148" s="2" t="s">
        <v>165</v>
      </c>
      <c r="E148" s="2" t="s">
        <v>103</v>
      </c>
      <c r="F148" t="s">
        <v>72</v>
      </c>
      <c r="G148" s="6">
        <f>IEA_demand!D196</f>
        <v>0.13</v>
      </c>
      <c r="H148" s="6">
        <f>IEA_demand!E196</f>
        <v>0.64</v>
      </c>
      <c r="I148" s="6">
        <f>IEA_demand!F196</f>
        <v>0.71</v>
      </c>
      <c r="J148" s="6">
        <f>IEA_demand!G196</f>
        <v>0.56000000000000005</v>
      </c>
      <c r="K148" s="6">
        <f>IEA_demand!H196</f>
        <v>0.54</v>
      </c>
      <c r="L148" s="6">
        <f>IEA_demand!I196</f>
        <v>0.73</v>
      </c>
    </row>
    <row r="149" spans="1:12" x14ac:dyDescent="0.3">
      <c r="A149" t="s">
        <v>35</v>
      </c>
      <c r="B149" t="s">
        <v>193</v>
      </c>
      <c r="C149" s="2" t="s">
        <v>164</v>
      </c>
      <c r="D149" s="2" t="s">
        <v>165</v>
      </c>
      <c r="E149" s="2" t="s">
        <v>103</v>
      </c>
      <c r="F149" t="s">
        <v>74</v>
      </c>
      <c r="G149" s="6">
        <f>IEA_demand!D197</f>
        <v>0.13</v>
      </c>
      <c r="H149" s="6">
        <f>IEA_demand!E197</f>
        <v>10.11</v>
      </c>
      <c r="I149" s="6">
        <f>IEA_demand!F197</f>
        <v>10.93</v>
      </c>
      <c r="J149" s="6">
        <f>IEA_demand!G197</f>
        <v>9.3000000000000007</v>
      </c>
      <c r="K149" s="6">
        <f>IEA_demand!H197</f>
        <v>7.97</v>
      </c>
      <c r="L149" s="6">
        <f>IEA_demand!I197</f>
        <v>10.27</v>
      </c>
    </row>
  </sheetData>
  <autoFilter ref="A1:L149" xr:uid="{02CC281D-988A-4EA5-BF8F-9A82D748F4DD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84714-7A67-4E0C-825B-7B7C896B0BA4}">
  <dimension ref="A1:L36"/>
  <sheetViews>
    <sheetView workbookViewId="0">
      <selection activeCell="H7" sqref="H7"/>
    </sheetView>
  </sheetViews>
  <sheetFormatPr defaultRowHeight="14.4" x14ac:dyDescent="0.3"/>
  <cols>
    <col min="1" max="1" width="13.109375" bestFit="1" customWidth="1"/>
    <col min="2" max="2" width="18.109375" bestFit="1" customWidth="1"/>
    <col min="3" max="3" width="46.109375" bestFit="1" customWidth="1"/>
    <col min="4" max="4" width="29.77734375" bestFit="1" customWidth="1"/>
    <col min="5" max="6" width="10.44140625" bestFit="1" customWidth="1"/>
    <col min="7" max="12" width="12" bestFit="1" customWidth="1"/>
  </cols>
  <sheetData>
    <row r="1" spans="1:12" s="14" customFormat="1" x14ac:dyDescent="0.3">
      <c r="A1" s="14" t="s">
        <v>38</v>
      </c>
      <c r="B1" s="14" t="s">
        <v>36</v>
      </c>
      <c r="C1" s="14" t="s">
        <v>95</v>
      </c>
      <c r="D1" s="14" t="s">
        <v>96</v>
      </c>
      <c r="E1" s="14" t="s">
        <v>97</v>
      </c>
      <c r="F1" s="14" t="s">
        <v>39</v>
      </c>
      <c r="G1" s="59">
        <v>2022</v>
      </c>
      <c r="H1" s="14">
        <v>2030</v>
      </c>
      <c r="I1" s="14">
        <v>2035</v>
      </c>
      <c r="J1" s="14">
        <v>2040</v>
      </c>
      <c r="K1" s="14">
        <v>2045</v>
      </c>
      <c r="L1" s="14">
        <v>2050</v>
      </c>
    </row>
    <row r="2" spans="1:12" x14ac:dyDescent="0.3">
      <c r="A2" t="s">
        <v>2</v>
      </c>
      <c r="B2" t="s">
        <v>284</v>
      </c>
      <c r="C2" s="2" t="s">
        <v>98</v>
      </c>
      <c r="D2" s="2" t="s">
        <v>99</v>
      </c>
      <c r="E2" s="2" t="s">
        <v>100</v>
      </c>
      <c r="F2" s="2" t="s">
        <v>74</v>
      </c>
      <c r="G2">
        <v>100065.444444444</v>
      </c>
      <c r="H2">
        <v>121513.491725625</v>
      </c>
      <c r="I2">
        <v>137047.29954651601</v>
      </c>
      <c r="J2">
        <v>153044.408523227</v>
      </c>
      <c r="K2">
        <v>170972.866070205</v>
      </c>
      <c r="L2">
        <v>189969.26306147801</v>
      </c>
    </row>
    <row r="3" spans="1:12" x14ac:dyDescent="0.3">
      <c r="A3" t="s">
        <v>3</v>
      </c>
      <c r="B3" t="s">
        <v>284</v>
      </c>
      <c r="C3" s="2" t="s">
        <v>101</v>
      </c>
      <c r="D3" s="2" t="s">
        <v>102</v>
      </c>
      <c r="E3" s="2" t="s">
        <v>103</v>
      </c>
      <c r="F3" s="2" t="s">
        <v>74</v>
      </c>
      <c r="G3">
        <v>61.5</v>
      </c>
      <c r="H3">
        <v>74.681922242147607</v>
      </c>
      <c r="I3">
        <v>84.228966042219795</v>
      </c>
      <c r="J3">
        <v>94.060753704082899</v>
      </c>
      <c r="K3">
        <v>105.07954390944001</v>
      </c>
      <c r="L3">
        <v>116.754687326325</v>
      </c>
    </row>
    <row r="4" spans="1:12" x14ac:dyDescent="0.3">
      <c r="A4" t="s">
        <v>4</v>
      </c>
      <c r="B4" t="s">
        <v>284</v>
      </c>
      <c r="C4" s="2" t="s">
        <v>104</v>
      </c>
      <c r="D4" s="2" t="s">
        <v>105</v>
      </c>
      <c r="E4" s="2" t="s">
        <v>103</v>
      </c>
      <c r="F4" s="2" t="s">
        <v>74</v>
      </c>
      <c r="G4">
        <v>3055.6819949999999</v>
      </c>
      <c r="H4">
        <v>3710.6374820702499</v>
      </c>
      <c r="I4">
        <v>4184.9908128890602</v>
      </c>
      <c r="J4">
        <v>4673.4918947918004</v>
      </c>
      <c r="K4">
        <v>5220.9702498681099</v>
      </c>
      <c r="L4">
        <v>5801.06009585216</v>
      </c>
    </row>
    <row r="5" spans="1:12" x14ac:dyDescent="0.3">
      <c r="A5" t="s">
        <v>5</v>
      </c>
      <c r="B5" t="s">
        <v>284</v>
      </c>
      <c r="C5" s="2" t="s">
        <v>106</v>
      </c>
      <c r="D5" s="2" t="s">
        <v>107</v>
      </c>
      <c r="E5" s="2" t="s">
        <v>103</v>
      </c>
      <c r="F5" s="2" t="s">
        <v>74</v>
      </c>
      <c r="G5">
        <v>23.41</v>
      </c>
      <c r="H5">
        <v>28.427704059978399</v>
      </c>
      <c r="I5">
        <v>32.061790163387997</v>
      </c>
      <c r="J5">
        <v>35.804264133537899</v>
      </c>
      <c r="K5">
        <v>39.998571104390201</v>
      </c>
      <c r="L5">
        <v>44.442719192020803</v>
      </c>
    </row>
    <row r="6" spans="1:12" x14ac:dyDescent="0.3">
      <c r="A6" t="s">
        <v>6</v>
      </c>
      <c r="B6" t="s">
        <v>284</v>
      </c>
      <c r="C6" s="2" t="s">
        <v>108</v>
      </c>
      <c r="D6" s="2" t="s">
        <v>109</v>
      </c>
      <c r="E6" s="2" t="s">
        <v>103</v>
      </c>
      <c r="F6" s="2" t="s">
        <v>74</v>
      </c>
      <c r="G6">
        <v>15487.97</v>
      </c>
      <c r="H6">
        <v>18807.6645728246</v>
      </c>
      <c r="I6">
        <v>21211.962588502702</v>
      </c>
      <c r="J6">
        <v>23687.969618637799</v>
      </c>
      <c r="K6">
        <v>26462.907702164099</v>
      </c>
      <c r="L6">
        <v>29403.139750723702</v>
      </c>
    </row>
    <row r="7" spans="1:12" x14ac:dyDescent="0.3">
      <c r="A7" t="s">
        <v>7</v>
      </c>
      <c r="B7" t="s">
        <v>284</v>
      </c>
      <c r="C7" s="2" t="s">
        <v>110</v>
      </c>
      <c r="D7" s="2" t="s">
        <v>111</v>
      </c>
      <c r="E7" s="2" t="s">
        <v>100</v>
      </c>
      <c r="F7" s="2" t="s">
        <v>74</v>
      </c>
      <c r="G7">
        <v>135.60966146999999</v>
      </c>
      <c r="H7">
        <v>164.67626330384499</v>
      </c>
      <c r="I7">
        <v>185.72783042200899</v>
      </c>
      <c r="J7">
        <v>207.407267762987</v>
      </c>
      <c r="K7">
        <v>231.704087430588</v>
      </c>
      <c r="L7">
        <v>257.448188997702</v>
      </c>
    </row>
    <row r="8" spans="1:12" x14ac:dyDescent="0.3">
      <c r="A8" t="s">
        <v>8</v>
      </c>
      <c r="B8" t="s">
        <v>284</v>
      </c>
      <c r="C8" s="2" t="s">
        <v>112</v>
      </c>
      <c r="D8" s="2" t="s">
        <v>113</v>
      </c>
      <c r="E8" s="2" t="s">
        <v>100</v>
      </c>
      <c r="F8" s="2" t="s">
        <v>74</v>
      </c>
      <c r="G8">
        <v>20628.30127711</v>
      </c>
      <c r="H8">
        <v>25049.775479101099</v>
      </c>
      <c r="I8">
        <v>28252.040451680899</v>
      </c>
      <c r="J8">
        <v>31549.814077396099</v>
      </c>
      <c r="K8">
        <v>35245.7315418738</v>
      </c>
      <c r="L8">
        <v>39161.802694019803</v>
      </c>
    </row>
    <row r="9" spans="1:12" x14ac:dyDescent="0.3">
      <c r="A9" t="s">
        <v>9</v>
      </c>
      <c r="B9" t="s">
        <v>284</v>
      </c>
      <c r="C9" s="2" t="s">
        <v>114</v>
      </c>
      <c r="D9" s="2" t="s">
        <v>115</v>
      </c>
      <c r="E9" s="2" t="s">
        <v>103</v>
      </c>
      <c r="F9" s="2" t="s">
        <v>74</v>
      </c>
      <c r="G9">
        <v>4.69589421202809E-2</v>
      </c>
      <c r="H9">
        <v>5.7024131121956603E-2</v>
      </c>
      <c r="I9">
        <v>6.4313872215084694E-2</v>
      </c>
      <c r="J9">
        <v>7.1821032341138694E-2</v>
      </c>
      <c r="K9">
        <v>8.0234540170226507E-2</v>
      </c>
      <c r="L9">
        <v>8.9149213080136999E-2</v>
      </c>
    </row>
    <row r="10" spans="1:12" x14ac:dyDescent="0.3">
      <c r="A10" t="s">
        <v>10</v>
      </c>
      <c r="B10" t="s">
        <v>284</v>
      </c>
      <c r="C10" s="2" t="s">
        <v>120</v>
      </c>
      <c r="D10" s="2" t="s">
        <v>121</v>
      </c>
      <c r="E10" s="2" t="s">
        <v>103</v>
      </c>
      <c r="F10" s="2" t="s">
        <v>74</v>
      </c>
      <c r="G10">
        <v>0.6174461</v>
      </c>
      <c r="H10">
        <v>0.74978961998239502</v>
      </c>
      <c r="I10">
        <v>0.84563978194798495</v>
      </c>
      <c r="J10">
        <v>0.94434870792921199</v>
      </c>
      <c r="K10">
        <v>1.05497487116524</v>
      </c>
      <c r="L10">
        <v>1.17219067229852</v>
      </c>
    </row>
    <row r="11" spans="1:12" x14ac:dyDescent="0.3">
      <c r="A11" t="s">
        <v>14</v>
      </c>
      <c r="B11" t="s">
        <v>284</v>
      </c>
      <c r="C11" s="2" t="s">
        <v>122</v>
      </c>
      <c r="D11" s="2" t="s">
        <v>123</v>
      </c>
      <c r="E11" s="2" t="s">
        <v>124</v>
      </c>
      <c r="F11" s="2" t="s">
        <v>74</v>
      </c>
      <c r="G11">
        <v>757.81740000000002</v>
      </c>
      <c r="H11">
        <v>920.24813236660896</v>
      </c>
      <c r="I11">
        <v>1037.8890414764701</v>
      </c>
      <c r="J11">
        <v>1159.03863112306</v>
      </c>
      <c r="K11">
        <v>1294.81474404289</v>
      </c>
      <c r="L11">
        <v>1438.67859491787</v>
      </c>
    </row>
    <row r="12" spans="1:12" x14ac:dyDescent="0.3">
      <c r="A12" t="s">
        <v>15</v>
      </c>
      <c r="B12" t="s">
        <v>284</v>
      </c>
      <c r="C12" s="2" t="s">
        <v>125</v>
      </c>
      <c r="D12" s="2" t="s">
        <v>126</v>
      </c>
      <c r="E12" s="2" t="s">
        <v>103</v>
      </c>
      <c r="F12" s="2" t="s">
        <v>74</v>
      </c>
      <c r="G12">
        <v>0.92</v>
      </c>
      <c r="H12">
        <v>1.1171929831345599</v>
      </c>
      <c r="I12">
        <v>1.2600105489242599</v>
      </c>
      <c r="J12">
        <v>1.4070876976870901</v>
      </c>
      <c r="K12">
        <v>1.57192163246642</v>
      </c>
      <c r="L12">
        <v>1.7465741843938101</v>
      </c>
    </row>
    <row r="13" spans="1:12" x14ac:dyDescent="0.3">
      <c r="A13" t="s">
        <v>16</v>
      </c>
      <c r="B13" t="s">
        <v>284</v>
      </c>
      <c r="C13" s="2" t="s">
        <v>127</v>
      </c>
      <c r="D13" s="2" t="s">
        <v>128</v>
      </c>
      <c r="E13" s="2" t="s">
        <v>129</v>
      </c>
      <c r="F13" s="2" t="s">
        <v>74</v>
      </c>
      <c r="G13">
        <v>1.75570252137931E-3</v>
      </c>
      <c r="H13">
        <v>2.13202014930068E-3</v>
      </c>
      <c r="I13">
        <v>2.4045692366422402E-3</v>
      </c>
      <c r="J13">
        <v>2.68524719416417E-3</v>
      </c>
      <c r="K13">
        <v>2.9998117103608498E-3</v>
      </c>
      <c r="L13">
        <v>3.3331138036045999E-3</v>
      </c>
    </row>
    <row r="14" spans="1:12" x14ac:dyDescent="0.3">
      <c r="A14" t="s">
        <v>183</v>
      </c>
      <c r="B14" t="s">
        <v>284</v>
      </c>
      <c r="C14" t="s">
        <v>225</v>
      </c>
      <c r="D14" t="s">
        <v>226</v>
      </c>
      <c r="E14" t="s">
        <v>103</v>
      </c>
      <c r="F14" s="2" t="s">
        <v>74</v>
      </c>
      <c r="G14">
        <v>59.728288501032999</v>
      </c>
      <c r="H14">
        <v>72.530461747816403</v>
      </c>
      <c r="I14">
        <v>81.802471283145096</v>
      </c>
      <c r="J14">
        <v>91.3510216888142</v>
      </c>
      <c r="K14">
        <v>102.052379092358</v>
      </c>
      <c r="L14">
        <v>113.391181276011</v>
      </c>
    </row>
    <row r="15" spans="1:12" x14ac:dyDescent="0.3">
      <c r="A15" t="s">
        <v>17</v>
      </c>
      <c r="B15" t="s">
        <v>284</v>
      </c>
      <c r="C15" t="s">
        <v>130</v>
      </c>
      <c r="D15" t="s">
        <v>131</v>
      </c>
      <c r="E15" t="s">
        <v>103</v>
      </c>
      <c r="F15" s="2" t="s">
        <v>74</v>
      </c>
      <c r="G15">
        <v>11431.7949327354</v>
      </c>
      <c r="H15">
        <v>13882.0881342231</v>
      </c>
      <c r="I15">
        <v>15656.719791723401</v>
      </c>
      <c r="J15">
        <v>17484.2804481887</v>
      </c>
      <c r="K15">
        <v>19532.484513790001</v>
      </c>
      <c r="L15">
        <v>21702.693381304001</v>
      </c>
    </row>
    <row r="16" spans="1:12" x14ac:dyDescent="0.3">
      <c r="A16" t="s">
        <v>18</v>
      </c>
      <c r="B16" t="s">
        <v>284</v>
      </c>
      <c r="C16" t="s">
        <v>132</v>
      </c>
      <c r="D16" t="s">
        <v>133</v>
      </c>
      <c r="E16" t="s">
        <v>100</v>
      </c>
      <c r="F16" s="2" t="s">
        <v>74</v>
      </c>
      <c r="G16">
        <v>56.867794417285403</v>
      </c>
      <c r="H16">
        <v>69.056848792750301</v>
      </c>
      <c r="I16">
        <v>77.884805282430506</v>
      </c>
      <c r="J16">
        <v>86.976058607783798</v>
      </c>
      <c r="K16">
        <v>97.164908951287302</v>
      </c>
      <c r="L16">
        <v>107.96067570939699</v>
      </c>
    </row>
    <row r="17" spans="1:12" x14ac:dyDescent="0.3">
      <c r="A17" t="s">
        <v>177</v>
      </c>
      <c r="B17" t="s">
        <v>284</v>
      </c>
      <c r="C17" t="s">
        <v>227</v>
      </c>
      <c r="D17" t="s">
        <v>228</v>
      </c>
      <c r="E17" t="s">
        <v>103</v>
      </c>
      <c r="F17" s="2" t="s">
        <v>74</v>
      </c>
      <c r="G17">
        <v>891.94475</v>
      </c>
      <c r="H17">
        <v>1083.1243652649</v>
      </c>
      <c r="I17">
        <v>1221.5867326713201</v>
      </c>
      <c r="J17">
        <v>1364.17878776259</v>
      </c>
      <c r="K17">
        <v>1523.98613857593</v>
      </c>
      <c r="L17">
        <v>1693.31268940825</v>
      </c>
    </row>
    <row r="18" spans="1:12" x14ac:dyDescent="0.3">
      <c r="A18" t="s">
        <v>19</v>
      </c>
      <c r="B18" t="s">
        <v>284</v>
      </c>
      <c r="C18" t="s">
        <v>135</v>
      </c>
      <c r="D18" t="s">
        <v>136</v>
      </c>
      <c r="E18" t="s">
        <v>103</v>
      </c>
      <c r="F18" s="2" t="s">
        <v>74</v>
      </c>
      <c r="G18">
        <v>13538.27809</v>
      </c>
      <c r="H18">
        <v>16440.075310730899</v>
      </c>
      <c r="I18">
        <v>18541.710008337199</v>
      </c>
      <c r="J18">
        <v>20706.026682940999</v>
      </c>
      <c r="K18">
        <v>23131.643691322999</v>
      </c>
      <c r="L18">
        <v>25701.746753411298</v>
      </c>
    </row>
    <row r="19" spans="1:12" x14ac:dyDescent="0.3">
      <c r="A19" t="s">
        <v>20</v>
      </c>
      <c r="B19" t="s">
        <v>284</v>
      </c>
      <c r="C19" t="s">
        <v>137</v>
      </c>
      <c r="D19" t="s">
        <v>138</v>
      </c>
      <c r="E19" t="s">
        <v>103</v>
      </c>
      <c r="F19" s="2" t="s">
        <v>74</v>
      </c>
      <c r="G19">
        <v>119.9306</v>
      </c>
      <c r="H19">
        <v>145.63654867730199</v>
      </c>
      <c r="I19">
        <v>164.25415341175699</v>
      </c>
      <c r="J19">
        <v>183.42703460459899</v>
      </c>
      <c r="K19">
        <v>204.91467884204101</v>
      </c>
      <c r="L19">
        <v>227.68227160745701</v>
      </c>
    </row>
    <row r="20" spans="1:12" x14ac:dyDescent="0.3">
      <c r="A20" t="s">
        <v>21</v>
      </c>
      <c r="B20" t="s">
        <v>284</v>
      </c>
      <c r="C20" t="s">
        <v>139</v>
      </c>
      <c r="D20" t="s">
        <v>140</v>
      </c>
      <c r="E20" t="s">
        <v>103</v>
      </c>
      <c r="F20" s="2" t="s">
        <v>74</v>
      </c>
      <c r="G20">
        <v>25.2179641615942</v>
      </c>
      <c r="H20">
        <v>30.6231876198609</v>
      </c>
      <c r="I20">
        <v>34.537935723916</v>
      </c>
      <c r="J20">
        <v>38.5694425353188</v>
      </c>
      <c r="K20">
        <v>43.087677600405399</v>
      </c>
      <c r="L20">
        <v>47.875049116966203</v>
      </c>
    </row>
    <row r="21" spans="1:12" x14ac:dyDescent="0.3">
      <c r="A21" t="s">
        <v>22</v>
      </c>
      <c r="B21" t="s">
        <v>284</v>
      </c>
      <c r="C21" t="s">
        <v>141</v>
      </c>
      <c r="D21" t="s">
        <v>142</v>
      </c>
      <c r="E21" t="s">
        <v>100</v>
      </c>
      <c r="F21" s="2" t="s">
        <v>74</v>
      </c>
      <c r="G21">
        <v>3074.30440600355</v>
      </c>
      <c r="H21">
        <v>3733.25142435526</v>
      </c>
      <c r="I21">
        <v>4210.49563279219</v>
      </c>
      <c r="J21">
        <v>4701.9738137313298</v>
      </c>
      <c r="K21">
        <v>5252.7886962867597</v>
      </c>
      <c r="L21">
        <v>5836.4138157543002</v>
      </c>
    </row>
    <row r="22" spans="1:12" x14ac:dyDescent="0.3">
      <c r="A22" t="s">
        <v>178</v>
      </c>
      <c r="B22" t="s">
        <v>284</v>
      </c>
      <c r="C22" t="s">
        <v>229</v>
      </c>
      <c r="D22" t="s">
        <v>230</v>
      </c>
      <c r="E22" t="s">
        <v>103</v>
      </c>
      <c r="F22" s="2" t="s">
        <v>74</v>
      </c>
      <c r="G22">
        <v>77.737094999999997</v>
      </c>
      <c r="H22">
        <v>94.399279416592506</v>
      </c>
      <c r="I22">
        <v>106.466912763834</v>
      </c>
      <c r="J22">
        <v>118.894467422209</v>
      </c>
      <c r="K22">
        <v>132.822414429997</v>
      </c>
      <c r="L22">
        <v>147.58000358344501</v>
      </c>
    </row>
    <row r="23" spans="1:12" x14ac:dyDescent="0.3">
      <c r="A23" t="s">
        <v>202</v>
      </c>
      <c r="B23" t="s">
        <v>284</v>
      </c>
      <c r="C23" t="s">
        <v>143</v>
      </c>
      <c r="D23" t="s">
        <v>144</v>
      </c>
      <c r="E23" t="s">
        <v>103</v>
      </c>
      <c r="F23" s="2" t="s">
        <v>74</v>
      </c>
      <c r="G23">
        <v>0.1162717799824</v>
      </c>
      <c r="H23">
        <v>0.14119349644880799</v>
      </c>
      <c r="I23">
        <v>0.159243118826114</v>
      </c>
      <c r="J23">
        <v>0.17783107739284301</v>
      </c>
      <c r="K23">
        <v>0.19866318065186001</v>
      </c>
      <c r="L23">
        <v>0.22073618401171399</v>
      </c>
    </row>
    <row r="24" spans="1:12" x14ac:dyDescent="0.3">
      <c r="A24" t="s">
        <v>24</v>
      </c>
      <c r="B24" t="s">
        <v>284</v>
      </c>
      <c r="C24" t="s">
        <v>145</v>
      </c>
      <c r="D24" t="s">
        <v>146</v>
      </c>
      <c r="E24" t="s">
        <v>103</v>
      </c>
      <c r="F24" s="2" t="s">
        <v>74</v>
      </c>
      <c r="G24">
        <v>9.5249609118166791</v>
      </c>
      <c r="H24">
        <v>11.5665429296876</v>
      </c>
      <c r="I24">
        <v>13.045164377152499</v>
      </c>
      <c r="J24">
        <v>14.567886217356101</v>
      </c>
      <c r="K24">
        <v>16.2744479409584</v>
      </c>
      <c r="L24">
        <v>18.082663952107801</v>
      </c>
    </row>
    <row r="25" spans="1:12" x14ac:dyDescent="0.3">
      <c r="A25" t="s">
        <v>26</v>
      </c>
      <c r="B25" t="s">
        <v>284</v>
      </c>
      <c r="C25" t="s">
        <v>147</v>
      </c>
      <c r="D25" t="s">
        <v>148</v>
      </c>
      <c r="E25" t="s">
        <v>103</v>
      </c>
      <c r="F25" s="2" t="s">
        <v>74</v>
      </c>
      <c r="G25">
        <v>3.3976649999999999</v>
      </c>
      <c r="H25">
        <v>4.1259211924368504</v>
      </c>
      <c r="I25">
        <v>4.6533627627290803</v>
      </c>
      <c r="J25">
        <v>5.1965354590891497</v>
      </c>
      <c r="K25">
        <v>5.8052859927978604</v>
      </c>
      <c r="L25">
        <v>6.4502978002373998</v>
      </c>
    </row>
    <row r="26" spans="1:12" x14ac:dyDescent="0.3">
      <c r="A26" t="s">
        <v>27</v>
      </c>
      <c r="B26" t="s">
        <v>284</v>
      </c>
      <c r="C26" t="s">
        <v>149</v>
      </c>
      <c r="D26" t="s">
        <v>150</v>
      </c>
      <c r="E26" t="s">
        <v>103</v>
      </c>
      <c r="F26" s="2" t="s">
        <v>74</v>
      </c>
      <c r="G26">
        <v>3153.8986459999901</v>
      </c>
      <c r="H26">
        <v>3829.9059095965299</v>
      </c>
      <c r="I26">
        <v>4319.5060480412503</v>
      </c>
      <c r="J26">
        <v>4823.7086788462802</v>
      </c>
      <c r="K26">
        <v>5388.7842481021298</v>
      </c>
      <c r="L26">
        <v>5987.5195166284802</v>
      </c>
    </row>
    <row r="27" spans="1:12" x14ac:dyDescent="0.3">
      <c r="A27" t="s">
        <v>28</v>
      </c>
      <c r="B27" t="s">
        <v>284</v>
      </c>
      <c r="C27" t="s">
        <v>151</v>
      </c>
      <c r="D27" t="s">
        <v>152</v>
      </c>
      <c r="E27" t="s">
        <v>103</v>
      </c>
      <c r="F27" s="2" t="s">
        <v>74</v>
      </c>
      <c r="G27">
        <v>14.993561166180699</v>
      </c>
      <c r="H27">
        <v>18.207284051147798</v>
      </c>
      <c r="I27">
        <v>20.534831777531402</v>
      </c>
      <c r="J27">
        <v>22.931799414621601</v>
      </c>
      <c r="K27">
        <v>25.618155592204399</v>
      </c>
      <c r="L27">
        <v>28.464529201066199</v>
      </c>
    </row>
    <row r="28" spans="1:12" x14ac:dyDescent="0.3">
      <c r="A28" t="s">
        <v>180</v>
      </c>
      <c r="B28" t="s">
        <v>284</v>
      </c>
      <c r="C28" t="s">
        <v>231</v>
      </c>
      <c r="D28" t="s">
        <v>232</v>
      </c>
      <c r="E28" t="s">
        <v>103</v>
      </c>
      <c r="F28" s="2" t="s">
        <v>74</v>
      </c>
      <c r="G28">
        <v>1.2626204387900299</v>
      </c>
      <c r="H28">
        <v>1.5332507549766401</v>
      </c>
      <c r="I28">
        <v>1.7292555132204599</v>
      </c>
      <c r="J28">
        <v>1.9311061807279699</v>
      </c>
      <c r="K28">
        <v>2.1573265014438099</v>
      </c>
      <c r="L28">
        <v>2.3970220250855001</v>
      </c>
    </row>
    <row r="29" spans="1:12" x14ac:dyDescent="0.3">
      <c r="A29" t="s">
        <v>29</v>
      </c>
      <c r="B29" t="s">
        <v>284</v>
      </c>
      <c r="C29" t="s">
        <v>153</v>
      </c>
      <c r="D29" t="s">
        <v>154</v>
      </c>
      <c r="E29" t="s">
        <v>103</v>
      </c>
      <c r="F29" s="2" t="s">
        <v>74</v>
      </c>
      <c r="G29">
        <v>0.24781199999999901</v>
      </c>
      <c r="H29">
        <v>0.30092807340928501</v>
      </c>
      <c r="I29">
        <v>0.33939753711958598</v>
      </c>
      <c r="J29">
        <v>0.379014365803515</v>
      </c>
      <c r="K29">
        <v>0.423414177809532</v>
      </c>
      <c r="L29">
        <v>0.47045874106847801</v>
      </c>
    </row>
    <row r="30" spans="1:12" x14ac:dyDescent="0.3">
      <c r="A30" t="s">
        <v>31</v>
      </c>
      <c r="B30" t="s">
        <v>284</v>
      </c>
      <c r="C30" t="s">
        <v>157</v>
      </c>
      <c r="D30" t="s">
        <v>158</v>
      </c>
      <c r="E30" t="s">
        <v>103</v>
      </c>
      <c r="F30" s="2" t="s">
        <v>74</v>
      </c>
      <c r="G30">
        <v>266.96764705882299</v>
      </c>
      <c r="H30">
        <v>324.18954567180702</v>
      </c>
      <c r="I30">
        <v>365.63266469087699</v>
      </c>
      <c r="J30">
        <v>408.31183897493497</v>
      </c>
      <c r="K30">
        <v>456.14371693524498</v>
      </c>
      <c r="L30">
        <v>506.82478306663</v>
      </c>
    </row>
    <row r="31" spans="1:12" x14ac:dyDescent="0.3">
      <c r="A31" t="s">
        <v>181</v>
      </c>
      <c r="B31" t="s">
        <v>284</v>
      </c>
      <c r="C31" t="s">
        <v>233</v>
      </c>
      <c r="D31" t="s">
        <v>234</v>
      </c>
      <c r="E31" t="s">
        <v>103</v>
      </c>
      <c r="F31" s="2" t="s">
        <v>74</v>
      </c>
      <c r="G31">
        <v>314.79131000000001</v>
      </c>
      <c r="H31">
        <v>382.26374204754097</v>
      </c>
      <c r="I31">
        <v>431.13083838009601</v>
      </c>
      <c r="J31">
        <v>481.45541265196101</v>
      </c>
      <c r="K31">
        <v>537.85572815374303</v>
      </c>
      <c r="L31">
        <v>597.61562556251101</v>
      </c>
    </row>
    <row r="32" spans="1:12" x14ac:dyDescent="0.3">
      <c r="A32" t="s">
        <v>182</v>
      </c>
      <c r="B32" t="s">
        <v>284</v>
      </c>
      <c r="C32" t="s">
        <v>235</v>
      </c>
      <c r="D32" t="s">
        <v>236</v>
      </c>
      <c r="E32" t="s">
        <v>103</v>
      </c>
      <c r="F32" s="2" t="s">
        <v>74</v>
      </c>
      <c r="G32">
        <v>70.331952114285698</v>
      </c>
      <c r="H32">
        <v>85.406916730691606</v>
      </c>
      <c r="I32">
        <v>96.325001728735003</v>
      </c>
      <c r="J32">
        <v>107.56872236340099</v>
      </c>
      <c r="K32">
        <v>120.169909763085</v>
      </c>
      <c r="L32">
        <v>133.52170858786201</v>
      </c>
    </row>
    <row r="33" spans="1:12" x14ac:dyDescent="0.3">
      <c r="A33" t="s">
        <v>32</v>
      </c>
      <c r="B33" t="s">
        <v>284</v>
      </c>
      <c r="C33" t="s">
        <v>159</v>
      </c>
      <c r="D33" t="s">
        <v>160</v>
      </c>
      <c r="E33" t="s">
        <v>161</v>
      </c>
      <c r="F33" s="2" t="s">
        <v>74</v>
      </c>
      <c r="G33">
        <v>34.172065970249498</v>
      </c>
      <c r="H33">
        <v>41.496513392580702</v>
      </c>
      <c r="I33">
        <v>46.801264783750298</v>
      </c>
      <c r="J33">
        <v>52.264232207923797</v>
      </c>
      <c r="K33">
        <v>58.386749700766302</v>
      </c>
      <c r="L33">
        <v>64.873965490261099</v>
      </c>
    </row>
    <row r="34" spans="1:12" x14ac:dyDescent="0.3">
      <c r="A34" t="s">
        <v>33</v>
      </c>
      <c r="B34" t="s">
        <v>284</v>
      </c>
      <c r="C34" t="s">
        <v>237</v>
      </c>
      <c r="D34" t="s">
        <v>238</v>
      </c>
      <c r="E34" t="s">
        <v>103</v>
      </c>
      <c r="F34" s="2" t="s">
        <v>74</v>
      </c>
      <c r="G34">
        <v>7.8993754970687604</v>
      </c>
      <c r="H34">
        <v>9.5925292135547195</v>
      </c>
      <c r="I34">
        <v>10.8188004958918</v>
      </c>
      <c r="J34">
        <v>12.0816457405829</v>
      </c>
      <c r="K34">
        <v>13.496955681323399</v>
      </c>
      <c r="L34">
        <v>14.996570995666699</v>
      </c>
    </row>
    <row r="35" spans="1:12" x14ac:dyDescent="0.3">
      <c r="A35" t="s">
        <v>34</v>
      </c>
      <c r="B35" t="s">
        <v>284</v>
      </c>
      <c r="C35" t="s">
        <v>162</v>
      </c>
      <c r="D35" t="s">
        <v>163</v>
      </c>
      <c r="E35" t="s">
        <v>103</v>
      </c>
      <c r="F35" s="2" t="s">
        <v>74</v>
      </c>
      <c r="G35">
        <v>12772.6339999999</v>
      </c>
      <c r="H35">
        <v>15510.322914071699</v>
      </c>
      <c r="I35">
        <v>17493.101714726799</v>
      </c>
      <c r="J35">
        <v>19535.017574412901</v>
      </c>
      <c r="K35">
        <v>21823.456182800099</v>
      </c>
      <c r="L35">
        <v>24248.209577294201</v>
      </c>
    </row>
    <row r="36" spans="1:12" x14ac:dyDescent="0.3">
      <c r="A36" t="s">
        <v>35</v>
      </c>
      <c r="B36" t="s">
        <v>284</v>
      </c>
      <c r="C36" t="s">
        <v>164</v>
      </c>
      <c r="D36" t="s">
        <v>165</v>
      </c>
      <c r="E36" t="s">
        <v>103</v>
      </c>
      <c r="F36" s="2" t="s">
        <v>74</v>
      </c>
      <c r="G36">
        <v>1230.57</v>
      </c>
      <c r="H36">
        <v>1494.3306187564101</v>
      </c>
      <c r="I36">
        <v>1685.3599795540499</v>
      </c>
      <c r="J36">
        <v>1882.08685667696</v>
      </c>
      <c r="K36">
        <v>2102.56478615674</v>
      </c>
      <c r="L36">
        <v>2336.1758631407502</v>
      </c>
    </row>
  </sheetData>
  <autoFilter ref="A1:L1" xr:uid="{75484714-7A67-4E0C-825B-7B7C896B0BA4}"/>
  <phoneticPr fontId="1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4F33A-B4E8-4465-B4D7-D9010B9DF67A}">
  <dimension ref="A1:I199"/>
  <sheetViews>
    <sheetView topLeftCell="A58" workbookViewId="0">
      <selection activeCell="B76" sqref="B76"/>
    </sheetView>
  </sheetViews>
  <sheetFormatPr defaultRowHeight="14.4" x14ac:dyDescent="0.3"/>
  <cols>
    <col min="1" max="1" width="22" bestFit="1" customWidth="1"/>
    <col min="2" max="2" width="32.88671875" bestFit="1" customWidth="1"/>
    <col min="3" max="3" width="10.44140625" bestFit="1" customWidth="1"/>
    <col min="4" max="9" width="12" bestFit="1" customWidth="1"/>
  </cols>
  <sheetData>
    <row r="1" spans="1:9" x14ac:dyDescent="0.3">
      <c r="A1" s="14" t="s">
        <v>38</v>
      </c>
      <c r="B1" s="14" t="s">
        <v>36</v>
      </c>
      <c r="C1" s="14" t="s">
        <v>39</v>
      </c>
      <c r="D1" s="57">
        <v>2022</v>
      </c>
      <c r="E1" s="40">
        <v>2030</v>
      </c>
      <c r="F1" s="40">
        <v>2035</v>
      </c>
      <c r="G1" s="40">
        <v>2040</v>
      </c>
      <c r="H1" s="40">
        <v>2045</v>
      </c>
      <c r="I1" s="40">
        <v>2050</v>
      </c>
    </row>
    <row r="2" spans="1:9" s="50" customFormat="1" x14ac:dyDescent="0.3">
      <c r="A2" s="50" t="s">
        <v>2</v>
      </c>
      <c r="B2" s="50" t="s">
        <v>192</v>
      </c>
      <c r="C2" s="50" t="s">
        <v>72</v>
      </c>
      <c r="D2" s="51">
        <v>10773.333333333334</v>
      </c>
      <c r="E2" s="51">
        <v>14527</v>
      </c>
      <c r="F2" s="51">
        <v>14482</v>
      </c>
      <c r="G2" s="51">
        <v>14174</v>
      </c>
      <c r="H2" s="51">
        <v>14943</v>
      </c>
      <c r="I2" s="51">
        <v>14343</v>
      </c>
    </row>
    <row r="3" spans="1:9" s="50" customFormat="1" x14ac:dyDescent="0.3">
      <c r="A3" s="50" t="s">
        <v>2</v>
      </c>
      <c r="B3" s="50" t="s">
        <v>192</v>
      </c>
      <c r="C3" s="50" t="s">
        <v>74</v>
      </c>
      <c r="D3" s="51">
        <v>11045.666666666666</v>
      </c>
      <c r="E3" s="51">
        <v>17872</v>
      </c>
      <c r="F3" s="51">
        <v>22818</v>
      </c>
      <c r="G3" s="51">
        <v>26403</v>
      </c>
      <c r="H3" s="51">
        <v>25148</v>
      </c>
      <c r="I3" s="51">
        <v>20759</v>
      </c>
    </row>
    <row r="4" spans="1:9" x14ac:dyDescent="0.3">
      <c r="A4" t="s">
        <v>3</v>
      </c>
      <c r="B4" t="s">
        <v>75</v>
      </c>
      <c r="C4" t="s">
        <v>72</v>
      </c>
      <c r="D4" s="43">
        <v>0</v>
      </c>
      <c r="E4" s="43">
        <v>0.343221</v>
      </c>
      <c r="F4" s="43">
        <v>1.9767399999999999</v>
      </c>
      <c r="G4" s="43">
        <v>10.9458</v>
      </c>
      <c r="H4" s="43">
        <v>11.461499999999999</v>
      </c>
      <c r="I4" s="43">
        <v>12.565099999999999</v>
      </c>
    </row>
    <row r="5" spans="1:9" x14ac:dyDescent="0.3">
      <c r="A5" t="s">
        <v>3</v>
      </c>
      <c r="B5" t="s">
        <v>75</v>
      </c>
      <c r="C5" t="s">
        <v>74</v>
      </c>
      <c r="D5" s="43">
        <v>0</v>
      </c>
      <c r="E5" s="43">
        <v>0.55112300000000003</v>
      </c>
      <c r="F5" s="43">
        <v>3.2261199999999999</v>
      </c>
      <c r="G5" s="43">
        <v>15.291600000000001</v>
      </c>
      <c r="H5" s="43">
        <v>12.4686</v>
      </c>
      <c r="I5" s="43">
        <v>15.8108</v>
      </c>
    </row>
    <row r="6" spans="1:9" x14ac:dyDescent="0.3">
      <c r="A6" t="s">
        <v>4</v>
      </c>
      <c r="B6" t="s">
        <v>77</v>
      </c>
      <c r="C6" t="s">
        <v>72</v>
      </c>
      <c r="D6" s="43">
        <v>0.20600499999999999</v>
      </c>
      <c r="E6" s="43">
        <v>0.40102500000000002</v>
      </c>
      <c r="F6" s="43">
        <v>0.34953899999999999</v>
      </c>
      <c r="G6" s="43">
        <v>0.29296699999999998</v>
      </c>
      <c r="H6" s="43">
        <v>0.33185300000000001</v>
      </c>
      <c r="I6" s="43">
        <v>0.46695399999999998</v>
      </c>
    </row>
    <row r="7" spans="1:9" x14ac:dyDescent="0.3">
      <c r="A7" t="s">
        <v>4</v>
      </c>
      <c r="B7" t="s">
        <v>77</v>
      </c>
      <c r="C7" t="s">
        <v>74</v>
      </c>
      <c r="D7" s="43">
        <v>0.20600499999999999</v>
      </c>
      <c r="E7" s="43">
        <v>0.70500200000000002</v>
      </c>
      <c r="F7" s="43">
        <v>0.70644099999999999</v>
      </c>
      <c r="G7" s="43">
        <v>0.62515500000000002</v>
      </c>
      <c r="H7" s="43">
        <v>0.61190699999999998</v>
      </c>
      <c r="I7" s="43">
        <v>0.86570999999999998</v>
      </c>
    </row>
    <row r="8" spans="1:9" x14ac:dyDescent="0.3">
      <c r="A8" t="s">
        <v>5</v>
      </c>
      <c r="B8" t="s">
        <v>75</v>
      </c>
      <c r="C8" t="s">
        <v>72</v>
      </c>
      <c r="D8" s="43">
        <v>0.67</v>
      </c>
      <c r="E8" s="43">
        <v>0.66</v>
      </c>
      <c r="F8" s="43">
        <v>0.68</v>
      </c>
      <c r="G8" s="43">
        <v>0.67</v>
      </c>
      <c r="H8" s="43">
        <v>0.68</v>
      </c>
      <c r="I8" s="43">
        <v>0.72</v>
      </c>
    </row>
    <row r="9" spans="1:9" x14ac:dyDescent="0.3">
      <c r="A9" t="s">
        <v>5</v>
      </c>
      <c r="B9" t="s">
        <v>75</v>
      </c>
      <c r="C9" t="s">
        <v>74</v>
      </c>
      <c r="D9" s="43">
        <v>0.67</v>
      </c>
      <c r="E9" s="43">
        <v>1.49</v>
      </c>
      <c r="F9" s="43">
        <v>1.42</v>
      </c>
      <c r="G9" s="43">
        <v>1.03</v>
      </c>
      <c r="H9" s="43">
        <v>0.65</v>
      </c>
      <c r="I9" s="43">
        <v>0.52</v>
      </c>
    </row>
    <row r="10" spans="1:9" x14ac:dyDescent="0.3">
      <c r="A10" t="s">
        <v>5</v>
      </c>
      <c r="B10" t="s">
        <v>188</v>
      </c>
      <c r="C10" t="s">
        <v>72</v>
      </c>
      <c r="D10" s="43">
        <v>0.02</v>
      </c>
      <c r="E10" s="43">
        <v>0.03</v>
      </c>
      <c r="F10" s="43">
        <v>0.02</v>
      </c>
      <c r="G10" s="43">
        <v>0.01</v>
      </c>
      <c r="H10" s="43">
        <v>0.02</v>
      </c>
      <c r="I10" s="43">
        <v>0.02</v>
      </c>
    </row>
    <row r="11" spans="1:9" x14ac:dyDescent="0.3">
      <c r="A11" t="s">
        <v>5</v>
      </c>
      <c r="B11" t="s">
        <v>188</v>
      </c>
      <c r="C11" t="s">
        <v>74</v>
      </c>
      <c r="D11" s="43">
        <v>0.02</v>
      </c>
      <c r="E11" s="43">
        <v>0.03</v>
      </c>
      <c r="F11" s="43">
        <v>0.03</v>
      </c>
      <c r="G11" s="43">
        <v>0.03</v>
      </c>
      <c r="H11" s="43">
        <v>0.02</v>
      </c>
      <c r="I11" s="43">
        <v>0.02</v>
      </c>
    </row>
    <row r="12" spans="1:9" x14ac:dyDescent="0.3">
      <c r="A12" t="s">
        <v>5</v>
      </c>
      <c r="B12" t="s">
        <v>185</v>
      </c>
      <c r="C12" t="s">
        <v>72</v>
      </c>
      <c r="D12" s="43">
        <v>0.68764899999999995</v>
      </c>
      <c r="E12" s="43">
        <v>0.68359499999999995</v>
      </c>
      <c r="F12" s="43">
        <v>0.69591700000000001</v>
      </c>
      <c r="G12" s="43">
        <v>0.68791400000000003</v>
      </c>
      <c r="H12" s="43">
        <v>0.70613700000000001</v>
      </c>
      <c r="I12" s="43">
        <v>0.73404599999999998</v>
      </c>
    </row>
    <row r="13" spans="1:9" x14ac:dyDescent="0.3">
      <c r="A13" t="s">
        <v>5</v>
      </c>
      <c r="B13" t="s">
        <v>185</v>
      </c>
      <c r="C13" t="s">
        <v>74</v>
      </c>
      <c r="D13" s="43">
        <v>0.68764899999999995</v>
      </c>
      <c r="E13" s="43">
        <v>1.52475</v>
      </c>
      <c r="F13" s="43">
        <v>1.4536800000000001</v>
      </c>
      <c r="G13" s="43">
        <v>1.0573399999999999</v>
      </c>
      <c r="H13" s="43">
        <v>0.66982200000000003</v>
      </c>
      <c r="I13" s="43">
        <v>0.53420000000000001</v>
      </c>
    </row>
    <row r="14" spans="1:9" x14ac:dyDescent="0.3">
      <c r="A14" t="s">
        <v>6</v>
      </c>
      <c r="B14" t="s">
        <v>77</v>
      </c>
      <c r="C14" t="s">
        <v>72</v>
      </c>
      <c r="D14" s="43">
        <v>63.273699999999998</v>
      </c>
      <c r="E14" s="43">
        <v>88.412599999999998</v>
      </c>
      <c r="F14" s="43">
        <v>78.892300000000006</v>
      </c>
      <c r="G14" s="43">
        <v>69.503600000000006</v>
      </c>
      <c r="H14" s="43">
        <v>77.451800000000006</v>
      </c>
      <c r="I14" s="43">
        <v>97.374399999999994</v>
      </c>
    </row>
    <row r="15" spans="1:9" x14ac:dyDescent="0.3">
      <c r="A15" t="s">
        <v>6</v>
      </c>
      <c r="B15" t="s">
        <v>77</v>
      </c>
      <c r="C15" t="s">
        <v>74</v>
      </c>
      <c r="D15" s="43">
        <v>63.273699999999998</v>
      </c>
      <c r="E15" s="43">
        <v>154.91399999999999</v>
      </c>
      <c r="F15" s="43">
        <v>167.17400000000001</v>
      </c>
      <c r="G15" s="43">
        <v>146.251</v>
      </c>
      <c r="H15" s="43">
        <v>126.206</v>
      </c>
      <c r="I15" s="43">
        <v>160.709</v>
      </c>
    </row>
    <row r="16" spans="1:9" x14ac:dyDescent="0.3">
      <c r="A16" t="s">
        <v>6</v>
      </c>
      <c r="B16" t="s">
        <v>188</v>
      </c>
      <c r="C16" t="s">
        <v>72</v>
      </c>
      <c r="D16" s="43">
        <v>148.75630000000001</v>
      </c>
      <c r="E16" s="43">
        <v>295.40339999999998</v>
      </c>
      <c r="F16" s="43">
        <v>222.60169999999999</v>
      </c>
      <c r="G16" s="43">
        <v>246.7724</v>
      </c>
      <c r="H16" s="43">
        <v>250.2902</v>
      </c>
      <c r="I16" s="43">
        <v>224.66659999999999</v>
      </c>
    </row>
    <row r="17" spans="1:9" x14ac:dyDescent="0.3">
      <c r="A17" t="s">
        <v>6</v>
      </c>
      <c r="B17" t="s">
        <v>188</v>
      </c>
      <c r="C17" t="s">
        <v>74</v>
      </c>
      <c r="D17" s="43">
        <v>148.75630000000001</v>
      </c>
      <c r="E17" s="43">
        <v>668.82899999999995</v>
      </c>
      <c r="F17" s="43">
        <v>584.86800000000005</v>
      </c>
      <c r="G17" s="43">
        <v>480.94499999999999</v>
      </c>
      <c r="H17" s="43">
        <v>379.969999999999</v>
      </c>
      <c r="I17" s="43">
        <v>299.481999999999</v>
      </c>
    </row>
    <row r="18" spans="1:9" x14ac:dyDescent="0.3">
      <c r="A18" t="s">
        <v>6</v>
      </c>
      <c r="B18" t="s">
        <v>185</v>
      </c>
      <c r="C18" t="s">
        <v>72</v>
      </c>
      <c r="D18" s="43">
        <v>212.03</v>
      </c>
      <c r="E18" s="43">
        <v>383.81599999999997</v>
      </c>
      <c r="F18" s="43">
        <v>301.49400000000003</v>
      </c>
      <c r="G18" s="43">
        <v>316.27600000000001</v>
      </c>
      <c r="H18" s="43">
        <v>327.74200000000002</v>
      </c>
      <c r="I18" s="43">
        <v>322.041</v>
      </c>
    </row>
    <row r="19" spans="1:9" x14ac:dyDescent="0.3">
      <c r="A19" t="s">
        <v>6</v>
      </c>
      <c r="B19" t="s">
        <v>185</v>
      </c>
      <c r="C19" t="s">
        <v>74</v>
      </c>
      <c r="D19" s="43">
        <v>212.03</v>
      </c>
      <c r="E19" s="43">
        <v>823.74300000000005</v>
      </c>
      <c r="F19" s="43">
        <v>752.04200000000003</v>
      </c>
      <c r="G19" s="43">
        <v>627.19600000000003</v>
      </c>
      <c r="H19" s="43">
        <v>506.17599999999999</v>
      </c>
      <c r="I19" s="43">
        <v>460.19099999999997</v>
      </c>
    </row>
    <row r="20" spans="1:9" x14ac:dyDescent="0.3">
      <c r="A20" t="s">
        <v>7</v>
      </c>
      <c r="B20" t="s">
        <v>195</v>
      </c>
      <c r="C20" t="s">
        <v>72</v>
      </c>
      <c r="D20" s="43">
        <v>1.6494499999999999E-2</v>
      </c>
      <c r="E20" s="43">
        <v>2.8895199999999999E-2</v>
      </c>
      <c r="F20" s="43">
        <v>1.35566E-2</v>
      </c>
      <c r="G20" s="43">
        <v>1.6180400000000001E-2</v>
      </c>
      <c r="H20" s="43">
        <v>1.71346E-2</v>
      </c>
      <c r="I20" s="43">
        <v>1.9779499999999998E-2</v>
      </c>
    </row>
    <row r="21" spans="1:9" x14ac:dyDescent="0.3">
      <c r="A21" t="s">
        <v>7</v>
      </c>
      <c r="B21" t="s">
        <v>195</v>
      </c>
      <c r="C21" t="s">
        <v>74</v>
      </c>
      <c r="D21" s="43">
        <v>1.6494499999999999E-2</v>
      </c>
      <c r="E21" s="43">
        <v>5.1267800000000002E-2</v>
      </c>
      <c r="F21" s="43">
        <v>4.6894199999999997E-2</v>
      </c>
      <c r="G21" s="43">
        <v>3.6475800000000003E-2</v>
      </c>
      <c r="H21" s="43">
        <v>2.7891699999999998E-2</v>
      </c>
      <c r="I21" s="43">
        <v>2.5334300000000001E-2</v>
      </c>
    </row>
    <row r="22" spans="1:9" x14ac:dyDescent="0.3">
      <c r="A22" t="s">
        <v>7</v>
      </c>
      <c r="B22" t="s">
        <v>190</v>
      </c>
      <c r="C22" t="s">
        <v>72</v>
      </c>
      <c r="D22" s="43">
        <v>61.840899999999998</v>
      </c>
      <c r="E22" s="43">
        <v>150.71799999999999</v>
      </c>
      <c r="F22" s="43">
        <v>160.685</v>
      </c>
      <c r="G22" s="43">
        <v>187.20599999999999</v>
      </c>
      <c r="H22" s="43">
        <v>203.124</v>
      </c>
      <c r="I22" s="43">
        <v>216.036</v>
      </c>
    </row>
    <row r="23" spans="1:9" x14ac:dyDescent="0.3">
      <c r="A23" t="s">
        <v>7</v>
      </c>
      <c r="B23" t="s">
        <v>190</v>
      </c>
      <c r="C23" t="s">
        <v>74</v>
      </c>
      <c r="D23" s="43">
        <v>61.840899999999998</v>
      </c>
      <c r="E23" s="43">
        <v>236.40899999999999</v>
      </c>
      <c r="F23" s="43">
        <v>247.364</v>
      </c>
      <c r="G23" s="43">
        <v>278.86399999999998</v>
      </c>
      <c r="H23" s="43">
        <v>313.12700000000001</v>
      </c>
      <c r="I23" s="43">
        <v>322.57299999999998</v>
      </c>
    </row>
    <row r="24" spans="1:9" x14ac:dyDescent="0.3">
      <c r="A24" t="s">
        <v>7</v>
      </c>
      <c r="B24" t="s">
        <v>191</v>
      </c>
      <c r="C24" t="s">
        <v>72</v>
      </c>
      <c r="D24" s="43">
        <v>2.5278299999999998</v>
      </c>
      <c r="E24" s="43">
        <v>4.1344599999999998</v>
      </c>
      <c r="F24" s="43">
        <v>3.2653400000000001</v>
      </c>
      <c r="G24" s="43">
        <v>0</v>
      </c>
      <c r="H24" s="43">
        <v>0</v>
      </c>
      <c r="I24" s="43">
        <v>0</v>
      </c>
    </row>
    <row r="25" spans="1:9" x14ac:dyDescent="0.3">
      <c r="A25" t="s">
        <v>7</v>
      </c>
      <c r="B25" t="s">
        <v>191</v>
      </c>
      <c r="C25" t="s">
        <v>74</v>
      </c>
      <c r="D25" s="43">
        <v>2.5278299999999998</v>
      </c>
      <c r="E25" s="43">
        <v>6.6338499999999998</v>
      </c>
      <c r="F25" s="43">
        <v>5.5607800000000003</v>
      </c>
      <c r="G25" s="43">
        <v>0</v>
      </c>
      <c r="H25" s="43">
        <v>0</v>
      </c>
      <c r="I25" s="43">
        <v>0</v>
      </c>
    </row>
    <row r="26" spans="1:9" x14ac:dyDescent="0.3">
      <c r="A26" t="s">
        <v>7</v>
      </c>
      <c r="B26" t="s">
        <v>193</v>
      </c>
      <c r="C26" t="s">
        <v>72</v>
      </c>
      <c r="D26" s="43">
        <v>5.1140300000000003E-3</v>
      </c>
      <c r="E26" s="43">
        <v>4.0955399999999999E-3</v>
      </c>
      <c r="F26" s="43">
        <v>4.5197299999999996E-3</v>
      </c>
      <c r="G26" s="43">
        <v>3.5679900000000001E-3</v>
      </c>
      <c r="H26" s="43">
        <v>3.4312100000000001E-3</v>
      </c>
      <c r="I26" s="43">
        <v>4.69507E-3</v>
      </c>
    </row>
    <row r="27" spans="1:9" x14ac:dyDescent="0.3">
      <c r="A27" t="s">
        <v>7</v>
      </c>
      <c r="B27" t="s">
        <v>193</v>
      </c>
      <c r="C27" t="s">
        <v>74</v>
      </c>
      <c r="D27" s="43">
        <v>5.1140300000000003E-3</v>
      </c>
      <c r="E27" s="43">
        <v>6.4258499999999996E-2</v>
      </c>
      <c r="F27" s="43">
        <v>6.9753099999999998E-2</v>
      </c>
      <c r="G27" s="43">
        <v>5.9512099999999998E-2</v>
      </c>
      <c r="H27" s="43">
        <v>5.1073800000000003E-2</v>
      </c>
      <c r="I27" s="43">
        <v>6.5994700000000003E-2</v>
      </c>
    </row>
    <row r="28" spans="1:9" x14ac:dyDescent="0.3">
      <c r="A28" t="s">
        <v>7</v>
      </c>
      <c r="B28" t="s">
        <v>185</v>
      </c>
      <c r="C28" t="s">
        <v>72</v>
      </c>
      <c r="D28" s="43">
        <v>64.390299999999996</v>
      </c>
      <c r="E28" s="43">
        <v>154.88499999999999</v>
      </c>
      <c r="F28" s="43">
        <v>163.96799999999999</v>
      </c>
      <c r="G28" s="43">
        <v>187.22499999999999</v>
      </c>
      <c r="H28" s="43">
        <v>203.14400000000001</v>
      </c>
      <c r="I28" s="43">
        <v>216.06100000000001</v>
      </c>
    </row>
    <row r="29" spans="1:9" x14ac:dyDescent="0.3">
      <c r="A29" t="s">
        <v>7</v>
      </c>
      <c r="B29" t="s">
        <v>185</v>
      </c>
      <c r="C29" t="s">
        <v>74</v>
      </c>
      <c r="D29" s="43">
        <v>64.390299999999996</v>
      </c>
      <c r="E29" s="43">
        <v>243.15899999999999</v>
      </c>
      <c r="F29" s="43">
        <v>253.041</v>
      </c>
      <c r="G29" s="43">
        <v>278.95999999999998</v>
      </c>
      <c r="H29" s="43">
        <v>313.20600000000002</v>
      </c>
      <c r="I29" s="43">
        <v>322.66399999999999</v>
      </c>
    </row>
    <row r="30" spans="1:9" x14ac:dyDescent="0.3">
      <c r="A30" t="s">
        <v>8</v>
      </c>
      <c r="B30" t="s">
        <v>75</v>
      </c>
      <c r="C30" t="s">
        <v>72</v>
      </c>
      <c r="D30" s="43">
        <v>1208.23</v>
      </c>
      <c r="E30" s="43">
        <v>1691.18</v>
      </c>
      <c r="F30" s="43">
        <v>1727.66</v>
      </c>
      <c r="G30" s="43">
        <v>1683.97</v>
      </c>
      <c r="H30" s="43">
        <v>1772.88</v>
      </c>
      <c r="I30" s="43">
        <v>1958.85</v>
      </c>
    </row>
    <row r="31" spans="1:9" x14ac:dyDescent="0.3">
      <c r="A31" t="s">
        <v>8</v>
      </c>
      <c r="B31" t="s">
        <v>75</v>
      </c>
      <c r="C31" t="s">
        <v>74</v>
      </c>
      <c r="D31" s="43">
        <v>1208.23</v>
      </c>
      <c r="E31" s="43">
        <v>2564.33</v>
      </c>
      <c r="F31" s="43">
        <v>2651.29</v>
      </c>
      <c r="G31" s="43">
        <v>2245.3000000000002</v>
      </c>
      <c r="H31" s="43">
        <v>1840.51</v>
      </c>
      <c r="I31" s="43">
        <v>2390.46</v>
      </c>
    </row>
    <row r="32" spans="1:9" x14ac:dyDescent="0.3">
      <c r="A32" t="s">
        <v>8</v>
      </c>
      <c r="B32" t="s">
        <v>77</v>
      </c>
      <c r="C32" t="s">
        <v>72</v>
      </c>
      <c r="D32" s="43">
        <v>501.61799999999999</v>
      </c>
      <c r="E32" s="43">
        <v>803.56500000000005</v>
      </c>
      <c r="F32" s="43">
        <v>691.79899999999998</v>
      </c>
      <c r="G32" s="43">
        <v>579.89300000000003</v>
      </c>
      <c r="H32" s="43">
        <v>626.26199999999994</v>
      </c>
      <c r="I32" s="43">
        <v>804.51199999999994</v>
      </c>
    </row>
    <row r="33" spans="1:9" x14ac:dyDescent="0.3">
      <c r="A33" t="s">
        <v>8</v>
      </c>
      <c r="B33" t="s">
        <v>77</v>
      </c>
      <c r="C33" t="s">
        <v>74</v>
      </c>
      <c r="D33" s="43">
        <v>501.61799999999999</v>
      </c>
      <c r="E33" s="43">
        <v>1419.33</v>
      </c>
      <c r="F33" s="43">
        <v>1445.27</v>
      </c>
      <c r="G33" s="43">
        <v>1242.8499999999999</v>
      </c>
      <c r="H33" s="43">
        <v>1107.76</v>
      </c>
      <c r="I33" s="43">
        <v>1451.29</v>
      </c>
    </row>
    <row r="34" spans="1:9" x14ac:dyDescent="0.3">
      <c r="A34" t="s">
        <v>8</v>
      </c>
      <c r="B34" t="s">
        <v>188</v>
      </c>
      <c r="C34" t="s">
        <v>72</v>
      </c>
      <c r="D34" s="43">
        <v>82.822000000000003</v>
      </c>
      <c r="E34" s="43">
        <v>123.15499999999901</v>
      </c>
      <c r="F34" s="43">
        <v>80.941000000000003</v>
      </c>
      <c r="G34" s="43">
        <v>82.856999999999701</v>
      </c>
      <c r="H34" s="43">
        <v>107.787999999999</v>
      </c>
      <c r="I34" s="43">
        <v>103.817999999999</v>
      </c>
    </row>
    <row r="35" spans="1:9" x14ac:dyDescent="0.3">
      <c r="A35" t="s">
        <v>8</v>
      </c>
      <c r="B35" t="s">
        <v>188</v>
      </c>
      <c r="C35" t="s">
        <v>74</v>
      </c>
      <c r="D35" s="43">
        <v>82.822000000000003</v>
      </c>
      <c r="E35" s="43">
        <v>229.27</v>
      </c>
      <c r="F35" s="43">
        <v>222.86</v>
      </c>
      <c r="G35" s="43">
        <v>183.04999999999899</v>
      </c>
      <c r="H35" s="43">
        <v>150.51</v>
      </c>
      <c r="I35" s="43">
        <v>130.46</v>
      </c>
    </row>
    <row r="36" spans="1:9" x14ac:dyDescent="0.3">
      <c r="A36" t="s">
        <v>8</v>
      </c>
      <c r="B36" t="s">
        <v>190</v>
      </c>
      <c r="C36" t="s">
        <v>72</v>
      </c>
      <c r="D36" s="43">
        <v>395.95</v>
      </c>
      <c r="E36" s="43">
        <v>1644.59</v>
      </c>
      <c r="F36" s="43">
        <v>2594.14</v>
      </c>
      <c r="G36" s="43">
        <v>3131.08</v>
      </c>
      <c r="H36" s="43">
        <v>3286.87</v>
      </c>
      <c r="I36" s="43">
        <v>3470.4</v>
      </c>
    </row>
    <row r="37" spans="1:9" x14ac:dyDescent="0.3">
      <c r="A37" t="s">
        <v>8</v>
      </c>
      <c r="B37" t="s">
        <v>190</v>
      </c>
      <c r="C37" t="s">
        <v>74</v>
      </c>
      <c r="D37" s="43">
        <v>395.95</v>
      </c>
      <c r="E37" s="43">
        <v>2611.54</v>
      </c>
      <c r="F37" s="43">
        <v>4028.1</v>
      </c>
      <c r="G37" s="43">
        <v>4642.25</v>
      </c>
      <c r="H37" s="43">
        <v>5043.91</v>
      </c>
      <c r="I37" s="43">
        <v>5123.7299999999996</v>
      </c>
    </row>
    <row r="38" spans="1:9" x14ac:dyDescent="0.3">
      <c r="A38" t="s">
        <v>8</v>
      </c>
      <c r="B38" t="s">
        <v>191</v>
      </c>
      <c r="C38" t="s">
        <v>72</v>
      </c>
      <c r="D38" s="43">
        <v>39.596600000000002</v>
      </c>
      <c r="E38" s="43">
        <v>175.74700000000001</v>
      </c>
      <c r="F38" s="43">
        <v>260.28199999999998</v>
      </c>
      <c r="G38" s="43">
        <v>380.67700000000002</v>
      </c>
      <c r="H38" s="43">
        <v>454.31700000000001</v>
      </c>
      <c r="I38" s="43">
        <v>544.67399999999998</v>
      </c>
    </row>
    <row r="39" spans="1:9" x14ac:dyDescent="0.3">
      <c r="A39" t="s">
        <v>8</v>
      </c>
      <c r="B39" t="s">
        <v>191</v>
      </c>
      <c r="C39" t="s">
        <v>74</v>
      </c>
      <c r="D39" s="43">
        <v>39.596600000000002</v>
      </c>
      <c r="E39" s="43">
        <v>281.99</v>
      </c>
      <c r="F39" s="43">
        <v>443.25299999999999</v>
      </c>
      <c r="G39" s="43">
        <v>654.38800000000003</v>
      </c>
      <c r="H39" s="43">
        <v>745.10900000000004</v>
      </c>
      <c r="I39" s="43">
        <v>897.63800000000003</v>
      </c>
    </row>
    <row r="40" spans="1:9" x14ac:dyDescent="0.3">
      <c r="A40" t="s">
        <v>8</v>
      </c>
      <c r="B40" t="s">
        <v>192</v>
      </c>
      <c r="C40" t="s">
        <v>72</v>
      </c>
      <c r="D40" s="43">
        <v>4143.4799999999996</v>
      </c>
      <c r="E40" s="43">
        <v>6103.96</v>
      </c>
      <c r="F40" s="43">
        <v>6168.15</v>
      </c>
      <c r="G40" s="43">
        <v>6125.22</v>
      </c>
      <c r="H40" s="43">
        <v>6312.07</v>
      </c>
      <c r="I40" s="43">
        <v>6084.43</v>
      </c>
    </row>
    <row r="41" spans="1:9" x14ac:dyDescent="0.3">
      <c r="A41" t="s">
        <v>8</v>
      </c>
      <c r="B41" t="s">
        <v>192</v>
      </c>
      <c r="C41" t="s">
        <v>74</v>
      </c>
      <c r="D41" s="43">
        <v>4143.4799999999996</v>
      </c>
      <c r="E41" s="43">
        <v>7939.65</v>
      </c>
      <c r="F41" s="43">
        <v>9793.41</v>
      </c>
      <c r="G41" s="43">
        <v>10510.1</v>
      </c>
      <c r="H41" s="43">
        <v>10437.799999999999</v>
      </c>
      <c r="I41" s="43">
        <v>9245.51</v>
      </c>
    </row>
    <row r="42" spans="1:9" x14ac:dyDescent="0.3">
      <c r="A42" t="s">
        <v>8</v>
      </c>
      <c r="B42" t="s">
        <v>193</v>
      </c>
      <c r="C42" t="s">
        <v>72</v>
      </c>
      <c r="D42" s="43">
        <v>2.1228900000000001E-3</v>
      </c>
      <c r="E42" s="43">
        <v>1.19271E-2</v>
      </c>
      <c r="F42" s="43">
        <v>1.31684E-2</v>
      </c>
      <c r="G42" s="43">
        <v>1.04E-2</v>
      </c>
      <c r="H42" s="43">
        <v>1.0005500000000001E-2</v>
      </c>
      <c r="I42" s="43">
        <v>1.36965E-2</v>
      </c>
    </row>
    <row r="43" spans="1:9" x14ac:dyDescent="0.3">
      <c r="A43" t="s">
        <v>8</v>
      </c>
      <c r="B43" t="s">
        <v>193</v>
      </c>
      <c r="C43" t="s">
        <v>74</v>
      </c>
      <c r="D43" s="43">
        <v>2.1228900000000001E-3</v>
      </c>
      <c r="E43" s="43">
        <v>0.187135</v>
      </c>
      <c r="F43" s="43">
        <v>0.20322699999999999</v>
      </c>
      <c r="G43" s="43">
        <v>0.17346600000000001</v>
      </c>
      <c r="H43" s="43">
        <v>0.14893200000000001</v>
      </c>
      <c r="I43" s="43">
        <v>0.19252</v>
      </c>
    </row>
    <row r="44" spans="1:9" x14ac:dyDescent="0.3">
      <c r="A44" t="s">
        <v>8</v>
      </c>
      <c r="B44" t="s">
        <v>185</v>
      </c>
      <c r="C44" t="s">
        <v>72</v>
      </c>
      <c r="D44" s="43">
        <v>6371.7</v>
      </c>
      <c r="E44" s="43">
        <v>10542.2</v>
      </c>
      <c r="F44" s="43">
        <v>11523</v>
      </c>
      <c r="G44" s="43">
        <v>11983.7</v>
      </c>
      <c r="H44" s="43">
        <v>12560.2</v>
      </c>
      <c r="I44" s="43">
        <v>12966.7</v>
      </c>
    </row>
    <row r="45" spans="1:9" x14ac:dyDescent="0.3">
      <c r="A45" t="s">
        <v>8</v>
      </c>
      <c r="B45" t="s">
        <v>185</v>
      </c>
      <c r="C45" t="s">
        <v>74</v>
      </c>
      <c r="D45" s="43">
        <v>6371.7</v>
      </c>
      <c r="E45" s="43">
        <v>15046.3</v>
      </c>
      <c r="F45" s="43">
        <v>18584.400000000001</v>
      </c>
      <c r="G45" s="43">
        <v>19478.099999999999</v>
      </c>
      <c r="H45" s="43">
        <v>19325.8</v>
      </c>
      <c r="I45" s="43">
        <v>19239.3</v>
      </c>
    </row>
    <row r="46" spans="1:9" x14ac:dyDescent="0.3">
      <c r="A46" t="s">
        <v>9</v>
      </c>
      <c r="B46" t="s">
        <v>77</v>
      </c>
      <c r="C46" t="s">
        <v>72</v>
      </c>
      <c r="D46" s="43">
        <v>0.8</v>
      </c>
      <c r="E46" s="43">
        <v>1.33</v>
      </c>
      <c r="F46" s="43">
        <v>1.1299999999999999</v>
      </c>
      <c r="G46" s="43">
        <v>0.94</v>
      </c>
      <c r="H46" s="43">
        <v>1.02</v>
      </c>
      <c r="I46" s="43">
        <v>1.33</v>
      </c>
    </row>
    <row r="47" spans="1:9" x14ac:dyDescent="0.3">
      <c r="A47" t="s">
        <v>9</v>
      </c>
      <c r="B47" t="s">
        <v>77</v>
      </c>
      <c r="C47" t="s">
        <v>74</v>
      </c>
      <c r="D47" s="43">
        <v>0.8</v>
      </c>
      <c r="E47" s="43">
        <v>2.34</v>
      </c>
      <c r="F47" s="43">
        <v>2.3199999999999998</v>
      </c>
      <c r="G47" s="43">
        <v>1.97</v>
      </c>
      <c r="H47" s="43">
        <v>1.77</v>
      </c>
      <c r="I47" s="43">
        <v>2.31</v>
      </c>
    </row>
    <row r="48" spans="1:9" x14ac:dyDescent="0.3">
      <c r="A48" t="s">
        <v>9</v>
      </c>
      <c r="B48" t="s">
        <v>190</v>
      </c>
      <c r="C48" t="s">
        <v>72</v>
      </c>
      <c r="D48" s="43">
        <v>0.53</v>
      </c>
      <c r="E48" s="43">
        <v>1.77</v>
      </c>
      <c r="F48" s="43">
        <v>2.4700000000000002</v>
      </c>
      <c r="G48" s="43">
        <v>2.81</v>
      </c>
      <c r="H48" s="43">
        <v>2.98</v>
      </c>
      <c r="I48" s="43">
        <v>3.11</v>
      </c>
    </row>
    <row r="49" spans="1:9" x14ac:dyDescent="0.3">
      <c r="A49" t="s">
        <v>9</v>
      </c>
      <c r="B49" t="s">
        <v>190</v>
      </c>
      <c r="C49" t="s">
        <v>74</v>
      </c>
      <c r="D49" s="43">
        <v>0.53</v>
      </c>
      <c r="E49" s="43">
        <v>2.5499999999999998</v>
      </c>
      <c r="F49" s="43">
        <v>3.61</v>
      </c>
      <c r="G49" s="43">
        <v>3.74</v>
      </c>
      <c r="H49" s="43">
        <v>3.94</v>
      </c>
      <c r="I49" s="43">
        <v>4.0599999999999996</v>
      </c>
    </row>
    <row r="50" spans="1:9" x14ac:dyDescent="0.3">
      <c r="A50" t="s">
        <v>9</v>
      </c>
      <c r="B50" t="s">
        <v>185</v>
      </c>
      <c r="C50" t="s">
        <v>72</v>
      </c>
      <c r="D50" s="43">
        <v>1.3346800000000001</v>
      </c>
      <c r="E50" s="43">
        <v>3.10684</v>
      </c>
      <c r="F50" s="43">
        <v>3.6065700000000001</v>
      </c>
      <c r="G50" s="43">
        <v>3.7505500000000001</v>
      </c>
      <c r="H50" s="43">
        <v>3.9986899999999999</v>
      </c>
      <c r="I50" s="43">
        <v>4.4434500000000003</v>
      </c>
    </row>
    <row r="51" spans="1:9" x14ac:dyDescent="0.3">
      <c r="A51" t="s">
        <v>9</v>
      </c>
      <c r="B51" t="s">
        <v>185</v>
      </c>
      <c r="C51" t="s">
        <v>74</v>
      </c>
      <c r="D51" s="43">
        <v>1.3346800000000001</v>
      </c>
      <c r="E51" s="43">
        <v>4.8894700000000002</v>
      </c>
      <c r="F51" s="43">
        <v>5.9292400000000001</v>
      </c>
      <c r="G51" s="43">
        <v>5.7083000000000004</v>
      </c>
      <c r="H51" s="43">
        <v>5.7146499999999998</v>
      </c>
      <c r="I51" s="43">
        <v>6.3731400000000002</v>
      </c>
    </row>
    <row r="52" spans="1:9" x14ac:dyDescent="0.3">
      <c r="A52" t="s">
        <v>10</v>
      </c>
      <c r="B52" t="s">
        <v>75</v>
      </c>
      <c r="C52" t="s">
        <v>72</v>
      </c>
      <c r="D52" s="43">
        <v>1.5553900000000001E-2</v>
      </c>
      <c r="E52" s="43">
        <v>0.15982199999999999</v>
      </c>
      <c r="F52" s="43">
        <v>0.811249</v>
      </c>
      <c r="G52" s="43">
        <v>4.3885100000000001</v>
      </c>
      <c r="H52" s="43">
        <v>4.5919800000000004</v>
      </c>
      <c r="I52" s="43">
        <v>5.0314500000000004</v>
      </c>
    </row>
    <row r="53" spans="1:9" x14ac:dyDescent="0.3">
      <c r="A53" t="s">
        <v>10</v>
      </c>
      <c r="B53" t="s">
        <v>75</v>
      </c>
      <c r="C53" t="s">
        <v>74</v>
      </c>
      <c r="D53" s="43">
        <v>1.5553900000000001E-2</v>
      </c>
      <c r="E53" s="43">
        <v>0.25052600000000003</v>
      </c>
      <c r="F53" s="43">
        <v>1.3161499999999999</v>
      </c>
      <c r="G53" s="43">
        <v>6.1241399999999997</v>
      </c>
      <c r="H53" s="43">
        <v>4.98881</v>
      </c>
      <c r="I53" s="43">
        <v>6.3221999999999996</v>
      </c>
    </row>
    <row r="54" spans="1:9" x14ac:dyDescent="0.3">
      <c r="A54" s="52" t="s">
        <v>12</v>
      </c>
      <c r="B54" s="52" t="s">
        <v>75</v>
      </c>
      <c r="C54" s="52" t="s">
        <v>72</v>
      </c>
      <c r="D54" s="53">
        <v>1.583E-2</v>
      </c>
      <c r="E54" s="53">
        <v>1.36174E-2</v>
      </c>
      <c r="F54" s="53">
        <v>1.2675799999999999E-2</v>
      </c>
      <c r="G54" s="53">
        <v>1.1214999999999999E-2</v>
      </c>
      <c r="H54" s="53">
        <v>1.2047799999999999E-2</v>
      </c>
      <c r="I54" s="53">
        <v>1.39037E-2</v>
      </c>
    </row>
    <row r="55" spans="1:9" x14ac:dyDescent="0.3">
      <c r="A55" s="52" t="s">
        <v>12</v>
      </c>
      <c r="B55" s="52" t="s">
        <v>75</v>
      </c>
      <c r="C55" s="52" t="s">
        <v>74</v>
      </c>
      <c r="D55" s="53">
        <v>1.583E-2</v>
      </c>
      <c r="E55" s="53">
        <v>3.0463299999999999E-2</v>
      </c>
      <c r="F55" s="53">
        <v>2.6478999999999999E-2</v>
      </c>
      <c r="G55" s="53">
        <v>1.7680100000000001E-2</v>
      </c>
      <c r="H55" s="53">
        <v>1.15774E-2</v>
      </c>
      <c r="I55" s="53">
        <v>1.04888E-2</v>
      </c>
    </row>
    <row r="56" spans="1:9" x14ac:dyDescent="0.3">
      <c r="A56" t="s">
        <v>209</v>
      </c>
      <c r="B56" t="s">
        <v>190</v>
      </c>
      <c r="C56" t="s">
        <v>72</v>
      </c>
      <c r="D56" s="43">
        <v>685.56399999999996</v>
      </c>
      <c r="E56" s="43">
        <v>2791.72</v>
      </c>
      <c r="F56" s="43">
        <v>3825.6</v>
      </c>
      <c r="G56" s="43">
        <v>3674.59</v>
      </c>
      <c r="H56" s="43">
        <v>2768.2</v>
      </c>
      <c r="I56" s="43">
        <v>2215.23</v>
      </c>
    </row>
    <row r="57" spans="1:9" x14ac:dyDescent="0.3">
      <c r="A57" t="s">
        <v>209</v>
      </c>
      <c r="B57" t="s">
        <v>190</v>
      </c>
      <c r="C57" t="s">
        <v>74</v>
      </c>
      <c r="D57" s="43">
        <v>685.56399999999996</v>
      </c>
      <c r="E57" s="43">
        <v>4537.46</v>
      </c>
      <c r="F57" s="43">
        <v>6083.98</v>
      </c>
      <c r="G57" s="43">
        <v>5777.93</v>
      </c>
      <c r="H57" s="43">
        <v>4660.41</v>
      </c>
      <c r="I57" s="43">
        <v>3593.25</v>
      </c>
    </row>
    <row r="58" spans="1:9" x14ac:dyDescent="0.3">
      <c r="A58" t="s">
        <v>209</v>
      </c>
      <c r="B58" t="s">
        <v>191</v>
      </c>
      <c r="C58" t="s">
        <v>72</v>
      </c>
      <c r="D58" s="43">
        <v>86.618600000000001</v>
      </c>
      <c r="E58" s="43">
        <v>303.45499999999998</v>
      </c>
      <c r="F58" s="43">
        <v>410.25700000000001</v>
      </c>
      <c r="G58" s="43">
        <v>540.57799999999997</v>
      </c>
      <c r="H58" s="43">
        <v>598.62900000000002</v>
      </c>
      <c r="I58" s="43">
        <v>677</v>
      </c>
    </row>
    <row r="59" spans="1:9" x14ac:dyDescent="0.3">
      <c r="A59" t="s">
        <v>209</v>
      </c>
      <c r="B59" t="s">
        <v>191</v>
      </c>
      <c r="C59" t="s">
        <v>74</v>
      </c>
      <c r="D59" s="43">
        <v>86.618600000000001</v>
      </c>
      <c r="E59" s="43">
        <v>486.90199999999999</v>
      </c>
      <c r="F59" s="43">
        <v>698.65599999999995</v>
      </c>
      <c r="G59" s="43">
        <v>929.26099999999997</v>
      </c>
      <c r="H59" s="43">
        <v>981.79</v>
      </c>
      <c r="I59" s="43">
        <v>1115.71</v>
      </c>
    </row>
    <row r="60" spans="1:9" x14ac:dyDescent="0.3">
      <c r="A60" t="s">
        <v>209</v>
      </c>
      <c r="B60" t="s">
        <v>185</v>
      </c>
      <c r="C60" t="s">
        <v>72</v>
      </c>
      <c r="D60" s="43">
        <v>772.18200000000002</v>
      </c>
      <c r="E60" s="43">
        <v>3095.18</v>
      </c>
      <c r="F60" s="43">
        <v>4235.8599999999997</v>
      </c>
      <c r="G60" s="43">
        <v>4215.16</v>
      </c>
      <c r="H60" s="43">
        <v>3366.83</v>
      </c>
      <c r="I60" s="43">
        <v>2892.23</v>
      </c>
    </row>
    <row r="61" spans="1:9" x14ac:dyDescent="0.3">
      <c r="A61" t="s">
        <v>209</v>
      </c>
      <c r="B61" t="s">
        <v>185</v>
      </c>
      <c r="C61" t="s">
        <v>74</v>
      </c>
      <c r="D61" s="43">
        <v>772.18200000000002</v>
      </c>
      <c r="E61" s="43">
        <v>5024.37</v>
      </c>
      <c r="F61" s="43">
        <v>6782.64</v>
      </c>
      <c r="G61" s="43">
        <v>6707.19</v>
      </c>
      <c r="H61" s="43">
        <v>5642.2</v>
      </c>
      <c r="I61" s="43">
        <v>4708.96</v>
      </c>
    </row>
    <row r="62" spans="1:9" x14ac:dyDescent="0.3">
      <c r="A62" t="s">
        <v>176</v>
      </c>
      <c r="B62" t="s">
        <v>188</v>
      </c>
      <c r="C62" t="s">
        <v>72</v>
      </c>
      <c r="D62" s="43">
        <v>7.9040299999999994E-3</v>
      </c>
      <c r="E62" s="43">
        <v>1.2846E-2</v>
      </c>
      <c r="F62" s="43">
        <v>8.1198699999999995E-3</v>
      </c>
      <c r="G62" s="43">
        <v>6.2924000000000001E-3</v>
      </c>
      <c r="H62" s="43">
        <v>1.01949E-2</v>
      </c>
      <c r="I62" s="43">
        <v>7.4718299999999996E-3</v>
      </c>
    </row>
    <row r="63" spans="1:9" x14ac:dyDescent="0.3">
      <c r="A63" t="s">
        <v>176</v>
      </c>
      <c r="B63" t="s">
        <v>188</v>
      </c>
      <c r="C63" t="s">
        <v>74</v>
      </c>
      <c r="D63" s="43">
        <v>7.9040299999999994E-3</v>
      </c>
      <c r="E63" s="43">
        <v>1.62314E-2</v>
      </c>
      <c r="F63" s="43">
        <v>1.67239E-2</v>
      </c>
      <c r="G63" s="43">
        <v>1.25126E-2</v>
      </c>
      <c r="H63" s="43">
        <v>1.05916E-2</v>
      </c>
      <c r="I63" s="43">
        <v>9.1365400000000003E-3</v>
      </c>
    </row>
    <row r="64" spans="1:9" x14ac:dyDescent="0.3">
      <c r="A64" t="s">
        <v>15</v>
      </c>
      <c r="B64" t="s">
        <v>75</v>
      </c>
      <c r="C64" t="s">
        <v>72</v>
      </c>
      <c r="D64" s="43">
        <v>0.06</v>
      </c>
      <c r="E64" s="43">
        <v>0.08</v>
      </c>
      <c r="F64" s="43">
        <v>0.09</v>
      </c>
      <c r="G64" s="43">
        <v>0.13</v>
      </c>
      <c r="H64" s="43">
        <v>0.13</v>
      </c>
      <c r="I64" s="43">
        <v>0.13</v>
      </c>
    </row>
    <row r="65" spans="1:9" x14ac:dyDescent="0.3">
      <c r="A65" t="s">
        <v>15</v>
      </c>
      <c r="B65" t="s">
        <v>75</v>
      </c>
      <c r="C65" t="s">
        <v>74</v>
      </c>
      <c r="D65" s="43">
        <v>7.0000000000000007E-2</v>
      </c>
      <c r="E65" s="43">
        <v>0.12</v>
      </c>
      <c r="F65" s="43">
        <v>0.13</v>
      </c>
      <c r="G65" s="43">
        <v>0.17</v>
      </c>
      <c r="H65" s="43">
        <v>0.12</v>
      </c>
      <c r="I65" s="43">
        <v>0.15</v>
      </c>
    </row>
    <row r="66" spans="1:9" x14ac:dyDescent="0.3">
      <c r="A66" t="s">
        <v>15</v>
      </c>
      <c r="B66" t="s">
        <v>188</v>
      </c>
      <c r="C66" t="s">
        <v>72</v>
      </c>
      <c r="D66" s="43">
        <v>0.03</v>
      </c>
      <c r="E66" s="43">
        <v>0.04</v>
      </c>
      <c r="F66" s="43">
        <v>0.03</v>
      </c>
      <c r="G66" s="43">
        <v>0.02</v>
      </c>
      <c r="H66" s="43">
        <v>0.03</v>
      </c>
      <c r="I66" s="43">
        <v>0.02</v>
      </c>
    </row>
    <row r="67" spans="1:9" x14ac:dyDescent="0.3">
      <c r="A67" t="s">
        <v>15</v>
      </c>
      <c r="B67" t="s">
        <v>188</v>
      </c>
      <c r="C67" t="s">
        <v>74</v>
      </c>
      <c r="D67" s="43">
        <v>0.03</v>
      </c>
      <c r="E67" s="43">
        <v>0.05</v>
      </c>
      <c r="F67" s="43">
        <v>0.06</v>
      </c>
      <c r="G67" s="43">
        <v>0.04</v>
      </c>
      <c r="H67" s="43">
        <v>0.04</v>
      </c>
      <c r="I67" s="43">
        <v>0.03</v>
      </c>
    </row>
    <row r="68" spans="1:9" x14ac:dyDescent="0.3">
      <c r="A68" t="s">
        <v>15</v>
      </c>
      <c r="B68" t="s">
        <v>185</v>
      </c>
      <c r="C68" t="s">
        <v>72</v>
      </c>
      <c r="D68" s="43">
        <v>8.4037500000000001E-2</v>
      </c>
      <c r="E68" s="43">
        <v>0.12175999999999999</v>
      </c>
      <c r="F68" s="43">
        <v>0.114454</v>
      </c>
      <c r="G68" s="43">
        <v>0.15043100000000001</v>
      </c>
      <c r="H68" s="43">
        <v>0.15973200000000001</v>
      </c>
      <c r="I68" s="43">
        <v>0.15542300000000001</v>
      </c>
    </row>
    <row r="69" spans="1:9" x14ac:dyDescent="0.3">
      <c r="A69" t="s">
        <v>15</v>
      </c>
      <c r="B69" t="s">
        <v>185</v>
      </c>
      <c r="C69" t="s">
        <v>74</v>
      </c>
      <c r="D69" s="43">
        <v>8.4037500000000001E-2</v>
      </c>
      <c r="E69" s="43">
        <v>0.17582300000000001</v>
      </c>
      <c r="F69" s="43">
        <v>0.187807</v>
      </c>
      <c r="G69" s="43">
        <v>0.21346300000000001</v>
      </c>
      <c r="H69" s="43">
        <v>0.15923399999999999</v>
      </c>
      <c r="I69" s="43">
        <v>0.17682899999999999</v>
      </c>
    </row>
    <row r="70" spans="1:9" x14ac:dyDescent="0.3">
      <c r="A70" t="s">
        <v>16</v>
      </c>
      <c r="B70" t="s">
        <v>193</v>
      </c>
      <c r="C70" t="s">
        <v>72</v>
      </c>
      <c r="D70" s="43">
        <v>1.9893600000000001E-4</v>
      </c>
      <c r="E70" s="43">
        <v>4.92349E-4</v>
      </c>
      <c r="F70" s="43">
        <v>4.4168799999999998E-4</v>
      </c>
      <c r="G70" s="43">
        <v>2.6834500000000002E-4</v>
      </c>
      <c r="H70" s="43">
        <v>1.8072499999999999E-4</v>
      </c>
      <c r="I70" s="43">
        <v>1.4137500000000001E-4</v>
      </c>
    </row>
    <row r="71" spans="1:9" x14ac:dyDescent="0.3">
      <c r="A71" t="s">
        <v>16</v>
      </c>
      <c r="B71" t="s">
        <v>193</v>
      </c>
      <c r="C71" t="s">
        <v>74</v>
      </c>
      <c r="D71" s="43">
        <v>1.9893600000000001E-4</v>
      </c>
      <c r="E71" s="43">
        <v>7.7248999999999998E-3</v>
      </c>
      <c r="F71" s="43">
        <v>6.81658E-3</v>
      </c>
      <c r="G71" s="43">
        <v>4.47584E-3</v>
      </c>
      <c r="H71" s="43">
        <v>2.6901099999999999E-3</v>
      </c>
      <c r="I71" s="43">
        <v>1.9871899999999998E-3</v>
      </c>
    </row>
    <row r="72" spans="1:9" x14ac:dyDescent="0.3">
      <c r="A72" t="s">
        <v>183</v>
      </c>
      <c r="B72" t="s">
        <v>188</v>
      </c>
      <c r="C72" t="s">
        <v>72</v>
      </c>
      <c r="D72" s="43">
        <v>3.02492E-3</v>
      </c>
      <c r="E72" s="43">
        <v>5.1365400000000002E-3</v>
      </c>
      <c r="F72" s="43">
        <v>4.1103900000000002E-3</v>
      </c>
      <c r="G72" s="43">
        <v>3.2574700000000002E-3</v>
      </c>
      <c r="H72" s="43">
        <v>3.1443999999999999E-3</v>
      </c>
      <c r="I72" s="43">
        <v>4.3183400000000004E-3</v>
      </c>
    </row>
    <row r="73" spans="1:9" x14ac:dyDescent="0.3">
      <c r="A73" t="s">
        <v>183</v>
      </c>
      <c r="B73" t="s">
        <v>188</v>
      </c>
      <c r="C73" t="s">
        <v>74</v>
      </c>
      <c r="D73" s="43">
        <v>3.02492E-3</v>
      </c>
      <c r="E73" s="43">
        <v>8.0591700000000002E-2</v>
      </c>
      <c r="F73" s="43">
        <v>6.3435699999999998E-2</v>
      </c>
      <c r="G73" s="43">
        <v>5.4332699999999998E-2</v>
      </c>
      <c r="H73" s="43">
        <v>4.6804600000000002E-2</v>
      </c>
      <c r="I73" s="43">
        <v>6.0699299999999998E-2</v>
      </c>
    </row>
    <row r="74" spans="1:9" x14ac:dyDescent="0.3">
      <c r="A74" t="s">
        <v>17</v>
      </c>
      <c r="B74" t="s">
        <v>75</v>
      </c>
      <c r="C74" t="s">
        <v>72</v>
      </c>
      <c r="D74" s="43">
        <v>2.0099999999999998</v>
      </c>
      <c r="E74" s="43">
        <v>2.85</v>
      </c>
      <c r="F74" s="43">
        <v>2.92</v>
      </c>
      <c r="G74" s="43">
        <v>2.88</v>
      </c>
      <c r="H74" s="43">
        <v>3.02</v>
      </c>
      <c r="I74" s="43">
        <v>3.31</v>
      </c>
    </row>
    <row r="75" spans="1:9" x14ac:dyDescent="0.3">
      <c r="A75" t="s">
        <v>17</v>
      </c>
      <c r="B75" t="s">
        <v>75</v>
      </c>
      <c r="C75" t="s">
        <v>74</v>
      </c>
      <c r="D75" s="43">
        <v>2.0099999999999998</v>
      </c>
      <c r="E75" s="43">
        <v>4.57</v>
      </c>
      <c r="F75" s="43">
        <v>4.76</v>
      </c>
      <c r="G75" s="43">
        <v>4.0199999999999996</v>
      </c>
      <c r="H75" s="43">
        <v>3.28</v>
      </c>
      <c r="I75" s="43">
        <v>4.16</v>
      </c>
    </row>
    <row r="76" spans="1:9" x14ac:dyDescent="0.3">
      <c r="A76" t="s">
        <v>17</v>
      </c>
      <c r="B76" t="s">
        <v>188</v>
      </c>
      <c r="C76" t="s">
        <v>72</v>
      </c>
      <c r="D76" s="43">
        <v>10.5</v>
      </c>
      <c r="E76" s="43">
        <v>13.6</v>
      </c>
      <c r="F76" s="43">
        <v>9.6</v>
      </c>
      <c r="G76" s="43">
        <v>10.1</v>
      </c>
      <c r="H76" s="43">
        <v>14.4</v>
      </c>
      <c r="I76" s="43">
        <v>14.2</v>
      </c>
    </row>
    <row r="77" spans="1:9" x14ac:dyDescent="0.3">
      <c r="A77" t="s">
        <v>17</v>
      </c>
      <c r="B77" t="s">
        <v>188</v>
      </c>
      <c r="C77" t="s">
        <v>74</v>
      </c>
      <c r="D77" s="43">
        <v>10.5</v>
      </c>
      <c r="E77" s="43">
        <v>27</v>
      </c>
      <c r="F77" s="43">
        <v>21.5</v>
      </c>
      <c r="G77" s="43">
        <v>17.7</v>
      </c>
      <c r="H77" s="43">
        <v>15.7</v>
      </c>
      <c r="I77" s="43">
        <v>14.3</v>
      </c>
    </row>
    <row r="78" spans="1:9" x14ac:dyDescent="0.3">
      <c r="A78" t="s">
        <v>17</v>
      </c>
      <c r="B78" t="s">
        <v>185</v>
      </c>
      <c r="C78" t="s">
        <v>72</v>
      </c>
      <c r="D78" s="43">
        <v>12.5311</v>
      </c>
      <c r="E78" s="43">
        <v>16.4237</v>
      </c>
      <c r="F78" s="43">
        <v>12.4771</v>
      </c>
      <c r="G78" s="43">
        <v>13.0215</v>
      </c>
      <c r="H78" s="43">
        <v>17.3931</v>
      </c>
      <c r="I78" s="43">
        <v>17.551400000000001</v>
      </c>
    </row>
    <row r="79" spans="1:9" x14ac:dyDescent="0.3">
      <c r="A79" t="s">
        <v>17</v>
      </c>
      <c r="B79" t="s">
        <v>185</v>
      </c>
      <c r="C79" t="s">
        <v>74</v>
      </c>
      <c r="D79" s="43">
        <v>12.5311</v>
      </c>
      <c r="E79" s="43">
        <v>31.606200000000001</v>
      </c>
      <c r="F79" s="43">
        <v>26.2743</v>
      </c>
      <c r="G79" s="43">
        <v>21.675999999999998</v>
      </c>
      <c r="H79" s="43">
        <v>18.985399999999998</v>
      </c>
      <c r="I79" s="43">
        <v>18.467600000000001</v>
      </c>
    </row>
    <row r="80" spans="1:9" x14ac:dyDescent="0.3">
      <c r="A80" t="s">
        <v>18</v>
      </c>
      <c r="B80" t="s">
        <v>190</v>
      </c>
      <c r="C80" t="s">
        <v>72</v>
      </c>
      <c r="D80" s="43">
        <v>82.852699999999999</v>
      </c>
      <c r="E80" s="43">
        <v>346.685</v>
      </c>
      <c r="F80" s="43">
        <v>581.51300000000003</v>
      </c>
      <c r="G80" s="43">
        <v>808.25400000000002</v>
      </c>
      <c r="H80" s="43">
        <v>908.76</v>
      </c>
      <c r="I80" s="43">
        <v>964.43600000000004</v>
      </c>
    </row>
    <row r="81" spans="1:9" x14ac:dyDescent="0.3">
      <c r="A81" t="s">
        <v>18</v>
      </c>
      <c r="B81" t="s">
        <v>190</v>
      </c>
      <c r="C81" t="s">
        <v>74</v>
      </c>
      <c r="D81" s="43">
        <v>82.852699999999999</v>
      </c>
      <c r="E81" s="43">
        <v>559.74400000000003</v>
      </c>
      <c r="F81" s="43">
        <v>908.98299999999995</v>
      </c>
      <c r="G81" s="43">
        <v>1205.81</v>
      </c>
      <c r="H81" s="43">
        <v>1410.26</v>
      </c>
      <c r="I81" s="43">
        <v>1446.84</v>
      </c>
    </row>
    <row r="82" spans="1:9" x14ac:dyDescent="0.3">
      <c r="A82" t="s">
        <v>18</v>
      </c>
      <c r="B82" t="s">
        <v>191</v>
      </c>
      <c r="C82" t="s">
        <v>72</v>
      </c>
      <c r="D82" s="43">
        <v>9.2195599999999995</v>
      </c>
      <c r="E82" s="43">
        <v>34.8063</v>
      </c>
      <c r="F82" s="43">
        <v>45.3536</v>
      </c>
      <c r="G82" s="43">
        <v>59.387</v>
      </c>
      <c r="H82" s="43">
        <v>68.291700000000006</v>
      </c>
      <c r="I82" s="43">
        <v>76.6447</v>
      </c>
    </row>
    <row r="83" spans="1:9" x14ac:dyDescent="0.3">
      <c r="A83" t="s">
        <v>18</v>
      </c>
      <c r="B83" t="s">
        <v>191</v>
      </c>
      <c r="C83" t="s">
        <v>74</v>
      </c>
      <c r="D83" s="43">
        <v>9.2195599999999995</v>
      </c>
      <c r="E83" s="43">
        <v>55.8476</v>
      </c>
      <c r="F83" s="43">
        <v>77.235799999999998</v>
      </c>
      <c r="G83" s="43">
        <v>102.087</v>
      </c>
      <c r="H83" s="43">
        <v>112.003</v>
      </c>
      <c r="I83" s="43">
        <v>126.312</v>
      </c>
    </row>
    <row r="84" spans="1:9" x14ac:dyDescent="0.3">
      <c r="A84" t="s">
        <v>18</v>
      </c>
      <c r="B84" t="s">
        <v>185</v>
      </c>
      <c r="C84" t="s">
        <v>72</v>
      </c>
      <c r="D84" s="43">
        <v>92.072299999999998</v>
      </c>
      <c r="E84" s="43">
        <v>381.49099999999999</v>
      </c>
      <c r="F84" s="43">
        <v>626.86599999999999</v>
      </c>
      <c r="G84" s="43">
        <v>867.64099999999996</v>
      </c>
      <c r="H84" s="43">
        <v>977.05200000000002</v>
      </c>
      <c r="I84" s="43">
        <v>1041.08</v>
      </c>
    </row>
    <row r="85" spans="1:9" x14ac:dyDescent="0.3">
      <c r="A85" t="s">
        <v>18</v>
      </c>
      <c r="B85" t="s">
        <v>185</v>
      </c>
      <c r="C85" t="s">
        <v>74</v>
      </c>
      <c r="D85" s="43">
        <v>92.072299999999998</v>
      </c>
      <c r="E85" s="43">
        <v>615.59100000000001</v>
      </c>
      <c r="F85" s="43">
        <v>986.21799999999996</v>
      </c>
      <c r="G85" s="43">
        <v>1307.9000000000001</v>
      </c>
      <c r="H85" s="43">
        <v>1522.27</v>
      </c>
      <c r="I85" s="43">
        <v>1573.15</v>
      </c>
    </row>
    <row r="86" spans="1:9" x14ac:dyDescent="0.3">
      <c r="A86" t="s">
        <v>177</v>
      </c>
      <c r="B86" t="s">
        <v>188</v>
      </c>
      <c r="C86" t="s">
        <v>72</v>
      </c>
      <c r="D86" s="43">
        <v>8.0552499999999991</v>
      </c>
      <c r="E86" s="43">
        <v>7.7247599999999998</v>
      </c>
      <c r="F86" s="43">
        <v>10.1708</v>
      </c>
      <c r="G86" s="43">
        <v>12.132999999999999</v>
      </c>
      <c r="H86" s="43">
        <v>12.8941</v>
      </c>
      <c r="I86" s="43">
        <v>15.1028</v>
      </c>
    </row>
    <row r="87" spans="1:9" x14ac:dyDescent="0.3">
      <c r="A87" t="s">
        <v>177</v>
      </c>
      <c r="B87" t="s">
        <v>188</v>
      </c>
      <c r="C87" t="s">
        <v>74</v>
      </c>
      <c r="D87" s="43">
        <v>8.0552499999999991</v>
      </c>
      <c r="E87" s="43">
        <v>30.9498</v>
      </c>
      <c r="F87" s="43">
        <v>54.578099999999999</v>
      </c>
      <c r="G87" s="43">
        <v>54.1798</v>
      </c>
      <c r="H87" s="43">
        <v>42.314</v>
      </c>
      <c r="I87" s="43">
        <v>33.632399999999997</v>
      </c>
    </row>
    <row r="88" spans="1:9" x14ac:dyDescent="0.3">
      <c r="A88" t="s">
        <v>19</v>
      </c>
      <c r="B88" t="s">
        <v>77</v>
      </c>
      <c r="C88" t="s">
        <v>72</v>
      </c>
      <c r="D88" s="43">
        <v>100.485</v>
      </c>
      <c r="E88" s="43">
        <v>138.59299999999999</v>
      </c>
      <c r="F88" s="43">
        <v>123.51300000000001</v>
      </c>
      <c r="G88" s="43">
        <v>108.745</v>
      </c>
      <c r="H88" s="43">
        <v>121.214</v>
      </c>
      <c r="I88" s="43">
        <v>151.898</v>
      </c>
    </row>
    <row r="89" spans="1:9" x14ac:dyDescent="0.3">
      <c r="A89" t="s">
        <v>19</v>
      </c>
      <c r="B89" t="s">
        <v>77</v>
      </c>
      <c r="C89" t="s">
        <v>74</v>
      </c>
      <c r="D89" s="43">
        <v>100.485</v>
      </c>
      <c r="E89" s="43">
        <v>242.8</v>
      </c>
      <c r="F89" s="43">
        <v>262.22800000000001</v>
      </c>
      <c r="G89" s="43">
        <v>228.703</v>
      </c>
      <c r="H89" s="43">
        <v>196.61699999999999</v>
      </c>
      <c r="I89" s="43">
        <v>249.56399999999999</v>
      </c>
    </row>
    <row r="90" spans="1:9" x14ac:dyDescent="0.3">
      <c r="A90" t="s">
        <v>19</v>
      </c>
      <c r="B90" t="s">
        <v>188</v>
      </c>
      <c r="C90" t="s">
        <v>72</v>
      </c>
      <c r="D90" s="43">
        <v>21.543999999999901</v>
      </c>
      <c r="E90" s="43">
        <v>30.754000000000001</v>
      </c>
      <c r="F90" s="43">
        <v>31.157999999999902</v>
      </c>
      <c r="G90" s="43">
        <v>36.4909999999999</v>
      </c>
      <c r="H90" s="43">
        <v>37.056999999999903</v>
      </c>
      <c r="I90" s="43">
        <v>39.406999999999996</v>
      </c>
    </row>
    <row r="91" spans="1:9" x14ac:dyDescent="0.3">
      <c r="A91" t="s">
        <v>19</v>
      </c>
      <c r="B91" t="s">
        <v>188</v>
      </c>
      <c r="C91" t="s">
        <v>74</v>
      </c>
      <c r="D91" s="43">
        <v>21.543999999999901</v>
      </c>
      <c r="E91" s="43">
        <v>93.847999999999999</v>
      </c>
      <c r="F91" s="43">
        <v>133.185</v>
      </c>
      <c r="G91" s="43">
        <v>128.04299999999901</v>
      </c>
      <c r="H91" s="43">
        <v>99.763000000000005</v>
      </c>
      <c r="I91" s="43">
        <v>78.680000000000007</v>
      </c>
    </row>
    <row r="92" spans="1:9" x14ac:dyDescent="0.3">
      <c r="A92" t="s">
        <v>19</v>
      </c>
      <c r="B92" t="s">
        <v>190</v>
      </c>
      <c r="C92" t="s">
        <v>72</v>
      </c>
      <c r="D92" s="43">
        <v>57.031599999999997</v>
      </c>
      <c r="E92" s="43">
        <v>325.51100000000002</v>
      </c>
      <c r="F92" s="43">
        <v>725.71900000000005</v>
      </c>
      <c r="G92" s="43">
        <v>1187.03</v>
      </c>
      <c r="H92" s="43">
        <v>1475.5</v>
      </c>
      <c r="I92" s="43">
        <v>1854</v>
      </c>
    </row>
    <row r="93" spans="1:9" x14ac:dyDescent="0.3">
      <c r="A93" t="s">
        <v>19</v>
      </c>
      <c r="B93" t="s">
        <v>190</v>
      </c>
      <c r="C93" t="s">
        <v>74</v>
      </c>
      <c r="D93" s="43">
        <v>57.031599999999997</v>
      </c>
      <c r="E93" s="43">
        <v>518.43399999999997</v>
      </c>
      <c r="F93" s="43">
        <v>1121.9000000000001</v>
      </c>
      <c r="G93" s="43">
        <v>1762.73</v>
      </c>
      <c r="H93" s="43">
        <v>2258.65</v>
      </c>
      <c r="I93" s="43">
        <v>2723.17</v>
      </c>
    </row>
    <row r="94" spans="1:9" x14ac:dyDescent="0.3">
      <c r="A94" t="s">
        <v>19</v>
      </c>
      <c r="B94" t="s">
        <v>191</v>
      </c>
      <c r="C94" t="s">
        <v>72</v>
      </c>
      <c r="D94" s="43">
        <v>2.6613099999999998</v>
      </c>
      <c r="E94" s="43">
        <v>3.85453</v>
      </c>
      <c r="F94" s="43">
        <v>3.0442499999999999</v>
      </c>
      <c r="G94" s="43">
        <v>0</v>
      </c>
      <c r="H94" s="43">
        <v>0</v>
      </c>
      <c r="I94" s="43">
        <v>0</v>
      </c>
    </row>
    <row r="95" spans="1:9" x14ac:dyDescent="0.3">
      <c r="A95" t="s">
        <v>19</v>
      </c>
      <c r="B95" t="s">
        <v>191</v>
      </c>
      <c r="C95" t="s">
        <v>74</v>
      </c>
      <c r="D95" s="43">
        <v>2.6613099999999998</v>
      </c>
      <c r="E95" s="43">
        <v>6.1846899999999998</v>
      </c>
      <c r="F95" s="43">
        <v>5.1842800000000002</v>
      </c>
      <c r="G95" s="43">
        <v>0</v>
      </c>
      <c r="H95" s="43">
        <v>0</v>
      </c>
      <c r="I95" s="43">
        <v>0</v>
      </c>
    </row>
    <row r="96" spans="1:9" x14ac:dyDescent="0.3">
      <c r="A96" t="s">
        <v>19</v>
      </c>
      <c r="B96" t="s">
        <v>185</v>
      </c>
      <c r="C96" t="s">
        <v>72</v>
      </c>
      <c r="D96" s="43">
        <v>181.72200000000001</v>
      </c>
      <c r="E96" s="43">
        <v>498.71300000000002</v>
      </c>
      <c r="F96" s="43">
        <v>883.43399999999997</v>
      </c>
      <c r="G96" s="43">
        <v>1332.27</v>
      </c>
      <c r="H96" s="43">
        <v>1633.78</v>
      </c>
      <c r="I96" s="43">
        <v>2045.31</v>
      </c>
    </row>
    <row r="97" spans="1:9" x14ac:dyDescent="0.3">
      <c r="A97" t="s">
        <v>19</v>
      </c>
      <c r="B97" t="s">
        <v>185</v>
      </c>
      <c r="C97" t="s">
        <v>74</v>
      </c>
      <c r="D97" s="43">
        <v>181.72200000000001</v>
      </c>
      <c r="E97" s="43">
        <v>861.26700000000005</v>
      </c>
      <c r="F97" s="43">
        <v>1522.49</v>
      </c>
      <c r="G97" s="43">
        <v>2119.48</v>
      </c>
      <c r="H97" s="43">
        <v>2555.0300000000002</v>
      </c>
      <c r="I97" s="43">
        <v>3051.42</v>
      </c>
    </row>
    <row r="98" spans="1:9" x14ac:dyDescent="0.3">
      <c r="A98" t="s">
        <v>20</v>
      </c>
      <c r="B98" t="s">
        <v>75</v>
      </c>
      <c r="C98" t="s">
        <v>72</v>
      </c>
      <c r="D98" s="43">
        <v>0.25901099999999999</v>
      </c>
      <c r="E98" s="43">
        <v>0.40853600000000001</v>
      </c>
      <c r="F98" s="43">
        <v>0.42533300000000002</v>
      </c>
      <c r="G98" s="43">
        <v>0.41571200000000003</v>
      </c>
      <c r="H98" s="43">
        <v>0.40100200000000003</v>
      </c>
      <c r="I98" s="43">
        <v>0.42277500000000001</v>
      </c>
    </row>
    <row r="99" spans="1:9" x14ac:dyDescent="0.3">
      <c r="A99" t="s">
        <v>20</v>
      </c>
      <c r="B99" t="s">
        <v>75</v>
      </c>
      <c r="C99" t="s">
        <v>74</v>
      </c>
      <c r="D99" s="43">
        <v>0.25901099999999999</v>
      </c>
      <c r="E99" s="43">
        <v>0.54083800000000004</v>
      </c>
      <c r="F99" s="43">
        <v>0.53861899999999996</v>
      </c>
      <c r="G99" s="43">
        <v>0.44169599999999998</v>
      </c>
      <c r="H99" s="43">
        <v>0.29642499999999999</v>
      </c>
      <c r="I99" s="43">
        <v>0.34509099999999998</v>
      </c>
    </row>
    <row r="100" spans="1:9" x14ac:dyDescent="0.3">
      <c r="A100" t="s">
        <v>20</v>
      </c>
      <c r="B100" t="s">
        <v>77</v>
      </c>
      <c r="C100" t="s">
        <v>72</v>
      </c>
      <c r="D100" s="43">
        <v>13.239699999999999</v>
      </c>
      <c r="E100" s="43">
        <v>18.464400000000001</v>
      </c>
      <c r="F100" s="43">
        <v>16.473099999999999</v>
      </c>
      <c r="G100" s="43">
        <v>14.5114</v>
      </c>
      <c r="H100" s="43">
        <v>16.171500000000002</v>
      </c>
      <c r="I100" s="43">
        <v>20.3216</v>
      </c>
    </row>
    <row r="101" spans="1:9" x14ac:dyDescent="0.3">
      <c r="A101" t="s">
        <v>20</v>
      </c>
      <c r="B101" t="s">
        <v>77</v>
      </c>
      <c r="C101" t="s">
        <v>74</v>
      </c>
      <c r="D101" s="43">
        <v>13.239699999999999</v>
      </c>
      <c r="E101" s="43">
        <v>32.351999999999997</v>
      </c>
      <c r="F101" s="43">
        <v>34.916699999999999</v>
      </c>
      <c r="G101" s="43">
        <v>30.532800000000002</v>
      </c>
      <c r="H101" s="43">
        <v>26.333500000000001</v>
      </c>
      <c r="I101" s="43">
        <v>33.517099999999999</v>
      </c>
    </row>
    <row r="102" spans="1:9" x14ac:dyDescent="0.3">
      <c r="A102" t="s">
        <v>20</v>
      </c>
      <c r="B102" t="s">
        <v>188</v>
      </c>
      <c r="C102" t="s">
        <v>72</v>
      </c>
      <c r="D102" s="43">
        <v>15.370688999999899</v>
      </c>
      <c r="E102" s="43">
        <v>30.667763999999998</v>
      </c>
      <c r="F102" s="43">
        <v>22.999267</v>
      </c>
      <c r="G102" s="43">
        <v>26.2831879999999</v>
      </c>
      <c r="H102" s="43">
        <v>26.378397999999901</v>
      </c>
      <c r="I102" s="43">
        <v>24.156624999999998</v>
      </c>
    </row>
    <row r="103" spans="1:9" x14ac:dyDescent="0.3">
      <c r="A103" t="s">
        <v>20</v>
      </c>
      <c r="B103" t="s">
        <v>188</v>
      </c>
      <c r="C103" t="s">
        <v>74</v>
      </c>
      <c r="D103" s="43">
        <v>15.370688999999899</v>
      </c>
      <c r="E103" s="43">
        <v>71.476162000000002</v>
      </c>
      <c r="F103" s="43">
        <v>56.589880999999998</v>
      </c>
      <c r="G103" s="43">
        <v>45.721603999999999</v>
      </c>
      <c r="H103" s="43">
        <v>36.505674999999997</v>
      </c>
      <c r="I103" s="43">
        <v>28.981508999999999</v>
      </c>
    </row>
    <row r="104" spans="1:9" x14ac:dyDescent="0.3">
      <c r="A104" t="s">
        <v>20</v>
      </c>
      <c r="B104" t="s">
        <v>185</v>
      </c>
      <c r="C104" t="s">
        <v>72</v>
      </c>
      <c r="D104" s="43">
        <v>28.869399999999999</v>
      </c>
      <c r="E104" s="43">
        <v>49.540700000000001</v>
      </c>
      <c r="F104" s="43">
        <v>39.8977</v>
      </c>
      <c r="G104" s="43">
        <v>41.210299999999997</v>
      </c>
      <c r="H104" s="43">
        <v>42.950899999999997</v>
      </c>
      <c r="I104" s="43">
        <v>44.901000000000003</v>
      </c>
    </row>
    <row r="105" spans="1:9" x14ac:dyDescent="0.3">
      <c r="A105" t="s">
        <v>20</v>
      </c>
      <c r="B105" t="s">
        <v>185</v>
      </c>
      <c r="C105" t="s">
        <v>74</v>
      </c>
      <c r="D105" s="43">
        <v>28.869399999999999</v>
      </c>
      <c r="E105" s="43">
        <v>104.369</v>
      </c>
      <c r="F105" s="43">
        <v>92.045199999999994</v>
      </c>
      <c r="G105" s="43">
        <v>76.696100000000001</v>
      </c>
      <c r="H105" s="43">
        <v>63.135599999999997</v>
      </c>
      <c r="I105" s="43">
        <v>62.843699999999998</v>
      </c>
    </row>
    <row r="106" spans="1:9" x14ac:dyDescent="0.3">
      <c r="A106" t="s">
        <v>21</v>
      </c>
      <c r="B106" t="s">
        <v>77</v>
      </c>
      <c r="C106" t="s">
        <v>72</v>
      </c>
      <c r="D106" s="43">
        <v>7.43492</v>
      </c>
      <c r="E106" s="43">
        <v>12.8855</v>
      </c>
      <c r="F106" s="43">
        <v>10.9068</v>
      </c>
      <c r="G106" s="43">
        <v>8.9205100000000002</v>
      </c>
      <c r="H106" s="43">
        <v>9.6977499999999992</v>
      </c>
      <c r="I106" s="43">
        <v>12.8033</v>
      </c>
    </row>
    <row r="107" spans="1:9" x14ac:dyDescent="0.3">
      <c r="A107" t="s">
        <v>21</v>
      </c>
      <c r="B107" t="s">
        <v>77</v>
      </c>
      <c r="C107" t="s">
        <v>74</v>
      </c>
      <c r="D107" s="43">
        <v>7.43492</v>
      </c>
      <c r="E107" s="43">
        <v>22.004799999999999</v>
      </c>
      <c r="F107" s="43">
        <v>21.179200000000002</v>
      </c>
      <c r="G107" s="43">
        <v>17.588799999999999</v>
      </c>
      <c r="H107" s="43">
        <v>15.569699999999999</v>
      </c>
      <c r="I107" s="43">
        <v>19.811399999999999</v>
      </c>
    </row>
    <row r="108" spans="1:9" x14ac:dyDescent="0.3">
      <c r="A108" t="s">
        <v>21</v>
      </c>
      <c r="B108" t="s">
        <v>190</v>
      </c>
      <c r="C108" t="s">
        <v>72</v>
      </c>
      <c r="D108" s="43">
        <v>5.1639999999999997</v>
      </c>
      <c r="E108" s="43">
        <v>17.933299999999999</v>
      </c>
      <c r="F108" s="43">
        <v>25.232600000000001</v>
      </c>
      <c r="G108" s="43">
        <v>28.7165</v>
      </c>
      <c r="H108" s="43">
        <v>30.3904</v>
      </c>
      <c r="I108" s="43">
        <v>31.7441</v>
      </c>
    </row>
    <row r="109" spans="1:9" x14ac:dyDescent="0.3">
      <c r="A109" t="s">
        <v>21</v>
      </c>
      <c r="B109" t="s">
        <v>190</v>
      </c>
      <c r="C109" t="s">
        <v>74</v>
      </c>
      <c r="D109" s="43">
        <v>5.1639999999999997</v>
      </c>
      <c r="E109" s="43">
        <v>25.745000000000001</v>
      </c>
      <c r="F109" s="43">
        <v>36.6858</v>
      </c>
      <c r="G109" s="43">
        <v>37.832599999999999</v>
      </c>
      <c r="H109" s="43">
        <v>39.853999999999999</v>
      </c>
      <c r="I109" s="43">
        <v>41.041200000000003</v>
      </c>
    </row>
    <row r="110" spans="1:9" x14ac:dyDescent="0.3">
      <c r="A110" t="s">
        <v>21</v>
      </c>
      <c r="B110" t="s">
        <v>185</v>
      </c>
      <c r="C110" t="s">
        <v>72</v>
      </c>
      <c r="D110" s="43">
        <v>12.5989</v>
      </c>
      <c r="E110" s="43">
        <v>30.8188</v>
      </c>
      <c r="F110" s="43">
        <v>36.139400000000002</v>
      </c>
      <c r="G110" s="43">
        <v>37.637</v>
      </c>
      <c r="H110" s="43">
        <v>40.088099999999997</v>
      </c>
      <c r="I110" s="43">
        <v>44.547400000000003</v>
      </c>
    </row>
    <row r="111" spans="1:9" x14ac:dyDescent="0.3">
      <c r="A111" t="s">
        <v>21</v>
      </c>
      <c r="B111" t="s">
        <v>185</v>
      </c>
      <c r="C111" t="s">
        <v>74</v>
      </c>
      <c r="D111" s="43">
        <v>12.5989</v>
      </c>
      <c r="E111" s="43">
        <v>47.7498</v>
      </c>
      <c r="F111" s="43">
        <v>57.865000000000002</v>
      </c>
      <c r="G111" s="43">
        <v>55.421399999999998</v>
      </c>
      <c r="H111" s="43">
        <v>55.4238</v>
      </c>
      <c r="I111" s="43">
        <v>60.852600000000002</v>
      </c>
    </row>
    <row r="112" spans="1:9" x14ac:dyDescent="0.3">
      <c r="A112" t="s">
        <v>22</v>
      </c>
      <c r="B112" t="s">
        <v>75</v>
      </c>
      <c r="C112" t="s">
        <v>72</v>
      </c>
      <c r="D112" s="43">
        <v>0.434666</v>
      </c>
      <c r="E112" s="43">
        <v>0.61758000000000002</v>
      </c>
      <c r="F112" s="43">
        <v>0.63360899999999998</v>
      </c>
      <c r="G112" s="43">
        <v>0.62449500000000002</v>
      </c>
      <c r="H112" s="43">
        <v>0.65139599999999998</v>
      </c>
      <c r="I112" s="43">
        <v>0.71128499999999995</v>
      </c>
    </row>
    <row r="113" spans="1:9" x14ac:dyDescent="0.3">
      <c r="A113" t="s">
        <v>22</v>
      </c>
      <c r="B113" t="s">
        <v>75</v>
      </c>
      <c r="C113" t="s">
        <v>74</v>
      </c>
      <c r="D113" s="43">
        <v>0.434666</v>
      </c>
      <c r="E113" s="43">
        <v>0.99013499999999999</v>
      </c>
      <c r="F113" s="43">
        <v>1.0319700000000001</v>
      </c>
      <c r="G113" s="43">
        <v>0.87080800000000003</v>
      </c>
      <c r="H113" s="43">
        <v>0.70707799999999998</v>
      </c>
      <c r="I113" s="43">
        <v>0.89351100000000006</v>
      </c>
    </row>
    <row r="114" spans="1:9" x14ac:dyDescent="0.3">
      <c r="A114" t="s">
        <v>22</v>
      </c>
      <c r="B114" t="s">
        <v>77</v>
      </c>
      <c r="C114" t="s">
        <v>72</v>
      </c>
      <c r="D114" s="43">
        <v>45.739199999999997</v>
      </c>
      <c r="E114" s="43">
        <v>60.2136</v>
      </c>
      <c r="F114" s="43">
        <v>53.950800000000001</v>
      </c>
      <c r="G114" s="43">
        <v>47.970500000000001</v>
      </c>
      <c r="H114" s="43">
        <v>53.245800000000003</v>
      </c>
      <c r="I114" s="43">
        <v>65.282899999999998</v>
      </c>
    </row>
    <row r="115" spans="1:9" x14ac:dyDescent="0.3">
      <c r="A115" t="s">
        <v>22</v>
      </c>
      <c r="B115" t="s">
        <v>77</v>
      </c>
      <c r="C115" t="s">
        <v>74</v>
      </c>
      <c r="D115" s="43">
        <v>45.739199999999997</v>
      </c>
      <c r="E115" s="43">
        <v>105.425</v>
      </c>
      <c r="F115" s="43">
        <v>115.437</v>
      </c>
      <c r="G115" s="43">
        <v>100.648</v>
      </c>
      <c r="H115" s="43">
        <v>84.446600000000004</v>
      </c>
      <c r="I115" s="43">
        <v>104.66800000000001</v>
      </c>
    </row>
    <row r="116" spans="1:9" x14ac:dyDescent="0.3">
      <c r="A116" t="s">
        <v>22</v>
      </c>
      <c r="B116" t="s">
        <v>188</v>
      </c>
      <c r="C116" t="s">
        <v>72</v>
      </c>
      <c r="D116" s="43">
        <v>119.196134</v>
      </c>
      <c r="E116" s="43">
        <v>317.81281999999999</v>
      </c>
      <c r="F116" s="43">
        <v>237.831591</v>
      </c>
      <c r="G116" s="43">
        <v>276.60400499999997</v>
      </c>
      <c r="H116" s="43">
        <v>235.753804</v>
      </c>
      <c r="I116" s="43">
        <v>203.10781499999999</v>
      </c>
    </row>
    <row r="117" spans="1:9" x14ac:dyDescent="0.3">
      <c r="A117" t="s">
        <v>22</v>
      </c>
      <c r="B117" t="s">
        <v>188</v>
      </c>
      <c r="C117" t="s">
        <v>74</v>
      </c>
      <c r="D117" s="43">
        <v>119.196134</v>
      </c>
      <c r="E117" s="43">
        <v>759.81886499999996</v>
      </c>
      <c r="F117" s="43">
        <v>613.73302999999999</v>
      </c>
      <c r="G117" s="43">
        <v>492.49219199999902</v>
      </c>
      <c r="H117" s="43">
        <v>374.444322</v>
      </c>
      <c r="I117" s="43">
        <v>279.14648899999997</v>
      </c>
    </row>
    <row r="118" spans="1:9" x14ac:dyDescent="0.3">
      <c r="A118" t="s">
        <v>22</v>
      </c>
      <c r="B118" t="s">
        <v>190</v>
      </c>
      <c r="C118" t="s">
        <v>72</v>
      </c>
      <c r="D118" s="43">
        <v>299.26799999999997</v>
      </c>
      <c r="E118" s="43">
        <v>1184.46</v>
      </c>
      <c r="F118" s="43">
        <v>1759.43</v>
      </c>
      <c r="G118" s="43">
        <v>2081.34</v>
      </c>
      <c r="H118" s="43">
        <v>1997.76</v>
      </c>
      <c r="I118" s="43">
        <v>1799.25</v>
      </c>
    </row>
    <row r="119" spans="1:9" x14ac:dyDescent="0.3">
      <c r="A119" t="s">
        <v>22</v>
      </c>
      <c r="B119" t="s">
        <v>190</v>
      </c>
      <c r="C119" t="s">
        <v>74</v>
      </c>
      <c r="D119" s="43">
        <v>299.26799999999997</v>
      </c>
      <c r="E119" s="43">
        <v>1825.34</v>
      </c>
      <c r="F119" s="43">
        <v>2590.0100000000002</v>
      </c>
      <c r="G119" s="43">
        <v>2921.33</v>
      </c>
      <c r="H119" s="43">
        <v>2933.51</v>
      </c>
      <c r="I119" s="43">
        <v>2634.18</v>
      </c>
    </row>
    <row r="120" spans="1:9" x14ac:dyDescent="0.3">
      <c r="A120" t="s">
        <v>22</v>
      </c>
      <c r="B120" t="s">
        <v>191</v>
      </c>
      <c r="C120" t="s">
        <v>72</v>
      </c>
      <c r="D120" s="43">
        <v>12.1058</v>
      </c>
      <c r="E120" s="43">
        <v>17.571000000000002</v>
      </c>
      <c r="F120" s="43">
        <v>14.822699999999999</v>
      </c>
      <c r="G120" s="43">
        <v>0</v>
      </c>
      <c r="H120" s="43">
        <v>0</v>
      </c>
      <c r="I120" s="43">
        <v>0</v>
      </c>
    </row>
    <row r="121" spans="1:9" x14ac:dyDescent="0.3">
      <c r="A121" t="s">
        <v>22</v>
      </c>
      <c r="B121" t="s">
        <v>191</v>
      </c>
      <c r="C121" t="s">
        <v>74</v>
      </c>
      <c r="D121" s="43">
        <v>12.1058</v>
      </c>
      <c r="E121" s="43">
        <v>28.193100000000001</v>
      </c>
      <c r="F121" s="43">
        <v>25.242599999999999</v>
      </c>
      <c r="G121" s="43">
        <v>0</v>
      </c>
      <c r="H121" s="43">
        <v>0</v>
      </c>
      <c r="I121" s="43">
        <v>0</v>
      </c>
    </row>
    <row r="122" spans="1:9" x14ac:dyDescent="0.3">
      <c r="A122" t="s">
        <v>22</v>
      </c>
      <c r="B122" t="s">
        <v>193</v>
      </c>
      <c r="C122" t="s">
        <v>72</v>
      </c>
      <c r="D122" s="43">
        <v>0.95534600000000003</v>
      </c>
      <c r="E122" s="43">
        <v>4.7149299999999998</v>
      </c>
      <c r="F122" s="43">
        <v>5.1928700000000001</v>
      </c>
      <c r="G122" s="43">
        <v>4.0925799999999999</v>
      </c>
      <c r="H122" s="43">
        <v>3.92909</v>
      </c>
      <c r="I122" s="43">
        <v>5.3672300000000002</v>
      </c>
    </row>
    <row r="123" spans="1:9" x14ac:dyDescent="0.3">
      <c r="A123" t="s">
        <v>22</v>
      </c>
      <c r="B123" t="s">
        <v>193</v>
      </c>
      <c r="C123" t="s">
        <v>74</v>
      </c>
      <c r="D123" s="43">
        <v>0.95534600000000003</v>
      </c>
      <c r="E123" s="43">
        <v>73.976699999999994</v>
      </c>
      <c r="F123" s="43">
        <v>80.141599999999997</v>
      </c>
      <c r="G123" s="43">
        <v>68.261799999999994</v>
      </c>
      <c r="H123" s="43">
        <v>58.484699999999997</v>
      </c>
      <c r="I123" s="43">
        <v>75.442800000000005</v>
      </c>
    </row>
    <row r="124" spans="1:9" x14ac:dyDescent="0.3">
      <c r="A124" t="s">
        <v>22</v>
      </c>
      <c r="B124" t="s">
        <v>185</v>
      </c>
      <c r="C124" t="s">
        <v>72</v>
      </c>
      <c r="D124" s="43">
        <v>477.69900000000001</v>
      </c>
      <c r="E124" s="43">
        <v>1585.39</v>
      </c>
      <c r="F124" s="43">
        <v>2071.87</v>
      </c>
      <c r="G124" s="43">
        <v>2410.63</v>
      </c>
      <c r="H124" s="43">
        <v>2291.34</v>
      </c>
      <c r="I124" s="43">
        <v>2073.7199999999998</v>
      </c>
    </row>
    <row r="125" spans="1:9" x14ac:dyDescent="0.3">
      <c r="A125" t="s">
        <v>22</v>
      </c>
      <c r="B125" t="s">
        <v>185</v>
      </c>
      <c r="C125" t="s">
        <v>74</v>
      </c>
      <c r="D125" s="43">
        <v>477.69900000000001</v>
      </c>
      <c r="E125" s="43">
        <v>2793.75</v>
      </c>
      <c r="F125" s="43">
        <v>3425.6</v>
      </c>
      <c r="G125" s="43">
        <v>3583.6</v>
      </c>
      <c r="H125" s="43">
        <v>3451.59</v>
      </c>
      <c r="I125" s="43">
        <v>3094.33</v>
      </c>
    </row>
    <row r="126" spans="1:9" x14ac:dyDescent="0.3">
      <c r="A126" t="s">
        <v>178</v>
      </c>
      <c r="B126" t="s">
        <v>188</v>
      </c>
      <c r="C126" t="s">
        <v>72</v>
      </c>
      <c r="D126" s="43">
        <v>0.36290499999999998</v>
      </c>
      <c r="E126" s="43">
        <v>0.58671899999999999</v>
      </c>
      <c r="F126" s="43">
        <v>0.63600400000000001</v>
      </c>
      <c r="G126" s="43">
        <v>0.77099300000000004</v>
      </c>
      <c r="H126" s="43">
        <v>0.69926600000000005</v>
      </c>
      <c r="I126" s="43">
        <v>0.75683400000000001</v>
      </c>
    </row>
    <row r="127" spans="1:9" x14ac:dyDescent="0.3">
      <c r="A127" t="s">
        <v>178</v>
      </c>
      <c r="B127" t="s">
        <v>188</v>
      </c>
      <c r="C127" t="s">
        <v>74</v>
      </c>
      <c r="D127" s="43">
        <v>0.36290499999999998</v>
      </c>
      <c r="E127" s="43">
        <v>1.97496</v>
      </c>
      <c r="F127" s="43">
        <v>2.9449100000000001</v>
      </c>
      <c r="G127" s="43">
        <v>2.8677199999999998</v>
      </c>
      <c r="H127" s="43">
        <v>2.19895</v>
      </c>
      <c r="I127" s="43">
        <v>1.70113</v>
      </c>
    </row>
    <row r="128" spans="1:9" x14ac:dyDescent="0.3">
      <c r="A128" t="s">
        <v>202</v>
      </c>
      <c r="B128" t="s">
        <v>193</v>
      </c>
      <c r="C128" t="s">
        <v>72</v>
      </c>
      <c r="D128" s="43">
        <v>9.7736599999999991E-4</v>
      </c>
      <c r="E128" s="43">
        <v>6.6880300000000002E-3</v>
      </c>
      <c r="F128" s="43">
        <v>9.7800999999999999E-3</v>
      </c>
      <c r="G128" s="43">
        <v>1.3460700000000001E-2</v>
      </c>
      <c r="H128" s="43">
        <v>1.50755E-2</v>
      </c>
      <c r="I128" s="43">
        <v>1.54504E-2</v>
      </c>
    </row>
    <row r="129" spans="1:9" x14ac:dyDescent="0.3">
      <c r="A129" t="s">
        <v>202</v>
      </c>
      <c r="B129" t="s">
        <v>193</v>
      </c>
      <c r="C129" t="s">
        <v>74</v>
      </c>
      <c r="D129" s="43">
        <v>9.7736599999999991E-4</v>
      </c>
      <c r="E129" s="43">
        <v>3.20545E-2</v>
      </c>
      <c r="F129" s="43">
        <v>6.0859099999999999E-2</v>
      </c>
      <c r="G129" s="43">
        <v>9.1245499999999993E-2</v>
      </c>
      <c r="H129" s="43">
        <v>9.8639500000000005E-2</v>
      </c>
      <c r="I129" s="43">
        <v>8.7478E-2</v>
      </c>
    </row>
    <row r="130" spans="1:9" x14ac:dyDescent="0.3">
      <c r="A130" t="s">
        <v>24</v>
      </c>
      <c r="B130" t="s">
        <v>77</v>
      </c>
      <c r="C130" t="s">
        <v>72</v>
      </c>
      <c r="D130" s="43">
        <v>1.23</v>
      </c>
      <c r="E130" s="43">
        <v>2.2999999999999998</v>
      </c>
      <c r="F130" s="43">
        <v>1.97</v>
      </c>
      <c r="G130" s="43">
        <v>1.62</v>
      </c>
      <c r="H130" s="43">
        <v>1.8</v>
      </c>
      <c r="I130" s="43">
        <v>2.48</v>
      </c>
    </row>
    <row r="131" spans="1:9" x14ac:dyDescent="0.3">
      <c r="A131" t="s">
        <v>24</v>
      </c>
      <c r="B131" t="s">
        <v>77</v>
      </c>
      <c r="C131" t="s">
        <v>74</v>
      </c>
      <c r="D131" s="43">
        <v>1.23</v>
      </c>
      <c r="E131" s="43">
        <v>4.04</v>
      </c>
      <c r="F131" s="43">
        <v>3.97</v>
      </c>
      <c r="G131" s="43">
        <v>3.44</v>
      </c>
      <c r="H131" s="43">
        <v>3.28</v>
      </c>
      <c r="I131" s="43">
        <v>4.53</v>
      </c>
    </row>
    <row r="132" spans="1:9" x14ac:dyDescent="0.3">
      <c r="A132" t="s">
        <v>24</v>
      </c>
      <c r="B132" t="s">
        <v>190</v>
      </c>
      <c r="C132" t="s">
        <v>72</v>
      </c>
      <c r="D132" s="43">
        <v>0.77</v>
      </c>
      <c r="E132" s="43">
        <v>2.69</v>
      </c>
      <c r="F132" s="43">
        <v>3.78</v>
      </c>
      <c r="G132" s="43">
        <v>4.3099999999999996</v>
      </c>
      <c r="H132" s="43">
        <v>4.5599999999999996</v>
      </c>
      <c r="I132" s="43">
        <v>4.76</v>
      </c>
    </row>
    <row r="133" spans="1:9" x14ac:dyDescent="0.3">
      <c r="A133" t="s">
        <v>24</v>
      </c>
      <c r="B133" t="s">
        <v>190</v>
      </c>
      <c r="C133" t="s">
        <v>74</v>
      </c>
      <c r="D133" s="43">
        <v>0.77</v>
      </c>
      <c r="E133" s="43">
        <v>3.86</v>
      </c>
      <c r="F133" s="43">
        <v>5.5</v>
      </c>
      <c r="G133" s="43">
        <v>5.67</v>
      </c>
      <c r="H133" s="43">
        <v>5.98</v>
      </c>
      <c r="I133" s="43">
        <v>6.16</v>
      </c>
    </row>
    <row r="134" spans="1:9" x14ac:dyDescent="0.3">
      <c r="A134" t="s">
        <v>24</v>
      </c>
      <c r="B134" t="s">
        <v>185</v>
      </c>
      <c r="C134" t="s">
        <v>72</v>
      </c>
      <c r="D134" s="43">
        <v>2.0041199999999999</v>
      </c>
      <c r="E134" s="43">
        <v>4.9884700000000004</v>
      </c>
      <c r="F134" s="43">
        <v>5.7509699999999997</v>
      </c>
      <c r="G134" s="43">
        <v>5.9251199999999997</v>
      </c>
      <c r="H134" s="43">
        <v>6.3597999999999999</v>
      </c>
      <c r="I134" s="43">
        <v>7.2437699999999996</v>
      </c>
    </row>
    <row r="135" spans="1:9" x14ac:dyDescent="0.3">
      <c r="A135" t="s">
        <v>24</v>
      </c>
      <c r="B135" t="s">
        <v>185</v>
      </c>
      <c r="C135" t="s">
        <v>74</v>
      </c>
      <c r="D135" s="43">
        <v>2.0041199999999999</v>
      </c>
      <c r="E135" s="43">
        <v>7.8988300000000002</v>
      </c>
      <c r="F135" s="43">
        <v>9.4753600000000002</v>
      </c>
      <c r="G135" s="43">
        <v>9.11083</v>
      </c>
      <c r="H135" s="43">
        <v>9.2612900000000007</v>
      </c>
      <c r="I135" s="43">
        <v>10.6869</v>
      </c>
    </row>
    <row r="136" spans="1:9" x14ac:dyDescent="0.3">
      <c r="A136" t="s">
        <v>26</v>
      </c>
      <c r="B136" t="s">
        <v>75</v>
      </c>
      <c r="C136" t="s">
        <v>72</v>
      </c>
      <c r="D136" s="43">
        <v>0.13233500000000001</v>
      </c>
      <c r="E136" s="43">
        <v>0.14929799999999999</v>
      </c>
      <c r="F136" s="43">
        <v>0.1416</v>
      </c>
      <c r="G136" s="43">
        <v>0.123435</v>
      </c>
      <c r="H136" s="43">
        <v>0.10301299999999999</v>
      </c>
      <c r="I136" s="43">
        <v>8.9665999999999996E-2</v>
      </c>
    </row>
    <row r="137" spans="1:9" x14ac:dyDescent="0.3">
      <c r="A137" t="s">
        <v>26</v>
      </c>
      <c r="B137" t="s">
        <v>75</v>
      </c>
      <c r="C137" t="s">
        <v>74</v>
      </c>
      <c r="D137" s="43">
        <v>0.13233500000000001</v>
      </c>
      <c r="E137" s="43">
        <v>0.25808799999999998</v>
      </c>
      <c r="F137" s="43">
        <v>0.23378399999999999</v>
      </c>
      <c r="G137" s="43">
        <v>0.16763600000000001</v>
      </c>
      <c r="H137" s="43">
        <v>9.1445200000000004E-2</v>
      </c>
      <c r="I137" s="43">
        <v>7.3190000000000005E-2</v>
      </c>
    </row>
    <row r="138" spans="1:9" x14ac:dyDescent="0.3">
      <c r="A138" t="s">
        <v>27</v>
      </c>
      <c r="B138" t="s">
        <v>75</v>
      </c>
      <c r="C138" t="s">
        <v>72</v>
      </c>
      <c r="D138" s="43">
        <v>1109.9100000000001</v>
      </c>
      <c r="E138" s="43">
        <v>1183.53</v>
      </c>
      <c r="F138" s="43">
        <v>1152.6500000000001</v>
      </c>
      <c r="G138" s="43">
        <v>1078.31</v>
      </c>
      <c r="H138" s="43">
        <v>1081.8800000000001</v>
      </c>
      <c r="I138" s="43">
        <v>1137.1199999999999</v>
      </c>
    </row>
    <row r="139" spans="1:9" x14ac:dyDescent="0.3">
      <c r="A139" t="s">
        <v>27</v>
      </c>
      <c r="B139" t="s">
        <v>75</v>
      </c>
      <c r="C139" t="s">
        <v>74</v>
      </c>
      <c r="D139" s="43">
        <v>1109.9100000000001</v>
      </c>
      <c r="E139" s="43">
        <v>1848.56</v>
      </c>
      <c r="F139" s="43">
        <v>1793.05</v>
      </c>
      <c r="G139" s="43">
        <v>1446.98</v>
      </c>
      <c r="H139" s="43">
        <v>1106.55</v>
      </c>
      <c r="I139" s="43">
        <v>1334.16</v>
      </c>
    </row>
    <row r="140" spans="1:9" x14ac:dyDescent="0.3">
      <c r="A140" t="s">
        <v>27</v>
      </c>
      <c r="B140" t="s">
        <v>190</v>
      </c>
      <c r="C140" t="s">
        <v>72</v>
      </c>
      <c r="D140" s="43">
        <v>15.952999999999999</v>
      </c>
      <c r="E140" s="43">
        <v>113.16</v>
      </c>
      <c r="F140" s="43">
        <v>301.92099999999999</v>
      </c>
      <c r="G140" s="43">
        <v>443.77600000000001</v>
      </c>
      <c r="H140" s="43">
        <v>616.423</v>
      </c>
      <c r="I140" s="43">
        <v>769.38800000000003</v>
      </c>
    </row>
    <row r="141" spans="1:9" x14ac:dyDescent="0.3">
      <c r="A141" t="s">
        <v>27</v>
      </c>
      <c r="B141" t="s">
        <v>190</v>
      </c>
      <c r="C141" t="s">
        <v>74</v>
      </c>
      <c r="D141" s="43">
        <v>15.952999999999999</v>
      </c>
      <c r="E141" s="43">
        <v>176.042</v>
      </c>
      <c r="F141" s="43">
        <v>453.04899999999998</v>
      </c>
      <c r="G141" s="43">
        <v>640.50900000000001</v>
      </c>
      <c r="H141" s="43">
        <v>920.29600000000005</v>
      </c>
      <c r="I141" s="43">
        <v>1116.72</v>
      </c>
    </row>
    <row r="142" spans="1:9" x14ac:dyDescent="0.3">
      <c r="A142" t="s">
        <v>27</v>
      </c>
      <c r="B142" t="s">
        <v>191</v>
      </c>
      <c r="C142" t="s">
        <v>72</v>
      </c>
      <c r="D142" s="43">
        <v>0.23835400000000001</v>
      </c>
      <c r="E142" s="43">
        <v>3.2341199999999999</v>
      </c>
      <c r="F142" s="43">
        <v>5.7933300000000001</v>
      </c>
      <c r="G142" s="43">
        <v>10.277200000000001</v>
      </c>
      <c r="H142" s="43">
        <v>14.6061</v>
      </c>
      <c r="I142" s="43">
        <v>17.653600000000001</v>
      </c>
    </row>
    <row r="143" spans="1:9" x14ac:dyDescent="0.3">
      <c r="A143" t="s">
        <v>27</v>
      </c>
      <c r="B143" t="s">
        <v>191</v>
      </c>
      <c r="C143" t="s">
        <v>74</v>
      </c>
      <c r="D143" s="43">
        <v>0.23835400000000001</v>
      </c>
      <c r="E143" s="43">
        <v>5.1892300000000002</v>
      </c>
      <c r="F143" s="43">
        <v>9.8658699999999993</v>
      </c>
      <c r="G143" s="43">
        <v>17.666699999999999</v>
      </c>
      <c r="H143" s="43">
        <v>23.954899999999999</v>
      </c>
      <c r="I143" s="43">
        <v>29.093599999999999</v>
      </c>
    </row>
    <row r="144" spans="1:9" x14ac:dyDescent="0.3">
      <c r="A144" t="s">
        <v>27</v>
      </c>
      <c r="B144" t="s">
        <v>185</v>
      </c>
      <c r="C144" t="s">
        <v>72</v>
      </c>
      <c r="D144" s="43">
        <v>1126.1099999999999</v>
      </c>
      <c r="E144" s="43">
        <v>1299.93</v>
      </c>
      <c r="F144" s="43">
        <v>1460.37</v>
      </c>
      <c r="G144" s="43">
        <v>1532.36</v>
      </c>
      <c r="H144" s="43">
        <v>1712.91</v>
      </c>
      <c r="I144" s="43">
        <v>1924.16</v>
      </c>
    </row>
    <row r="145" spans="1:9" x14ac:dyDescent="0.3">
      <c r="A145" t="s">
        <v>27</v>
      </c>
      <c r="B145" t="s">
        <v>185</v>
      </c>
      <c r="C145" t="s">
        <v>74</v>
      </c>
      <c r="D145" s="43">
        <v>1126.1099999999999</v>
      </c>
      <c r="E145" s="43">
        <v>2029.79</v>
      </c>
      <c r="F145" s="43">
        <v>2255.9699999999998</v>
      </c>
      <c r="G145" s="43">
        <v>2105.16</v>
      </c>
      <c r="H145" s="43">
        <v>2050.8000000000002</v>
      </c>
      <c r="I145" s="43">
        <v>2479.98</v>
      </c>
    </row>
    <row r="146" spans="1:9" x14ac:dyDescent="0.3">
      <c r="A146" t="s">
        <v>28</v>
      </c>
      <c r="B146" t="s">
        <v>75</v>
      </c>
      <c r="C146" t="s">
        <v>72</v>
      </c>
      <c r="D146" s="43">
        <v>6.4241999999999999</v>
      </c>
      <c r="E146" s="43">
        <v>7.3526899999999999</v>
      </c>
      <c r="F146" s="43">
        <v>6.2517800000000001</v>
      </c>
      <c r="G146" s="43">
        <v>4.8923899999999998</v>
      </c>
      <c r="H146" s="43">
        <v>3.7840699999999998</v>
      </c>
      <c r="I146" s="43">
        <v>2.6888800000000002</v>
      </c>
    </row>
    <row r="147" spans="1:9" x14ac:dyDescent="0.3">
      <c r="A147" t="s">
        <v>28</v>
      </c>
      <c r="B147" t="s">
        <v>75</v>
      </c>
      <c r="C147" t="s">
        <v>74</v>
      </c>
      <c r="D147" s="43">
        <v>6.4241999999999999</v>
      </c>
      <c r="E147" s="43">
        <v>11.494400000000001</v>
      </c>
      <c r="F147" s="43">
        <v>9.5584199999999999</v>
      </c>
      <c r="G147" s="43">
        <v>5.94428</v>
      </c>
      <c r="H147" s="43">
        <v>3.0464899999999999</v>
      </c>
      <c r="I147" s="43">
        <v>1.50427</v>
      </c>
    </row>
    <row r="148" spans="1:9" x14ac:dyDescent="0.3">
      <c r="A148" t="s">
        <v>28</v>
      </c>
      <c r="B148" t="s">
        <v>188</v>
      </c>
      <c r="C148" t="s">
        <v>72</v>
      </c>
      <c r="D148" s="43">
        <v>4.7439999999999899E-2</v>
      </c>
      <c r="E148" s="43">
        <v>5.2080000000000098E-2</v>
      </c>
      <c r="F148" s="43">
        <v>6.2579999999999594E-2</v>
      </c>
      <c r="G148" s="43">
        <v>6.9550000000000403E-2</v>
      </c>
      <c r="H148" s="43">
        <v>7.4590000000000101E-2</v>
      </c>
      <c r="I148" s="43">
        <v>8.2409999999999803E-2</v>
      </c>
    </row>
    <row r="149" spans="1:9" x14ac:dyDescent="0.3">
      <c r="A149" t="s">
        <v>28</v>
      </c>
      <c r="B149" t="s">
        <v>188</v>
      </c>
      <c r="C149" t="s">
        <v>74</v>
      </c>
      <c r="D149" s="43">
        <v>4.7439999999999899E-2</v>
      </c>
      <c r="E149" s="43">
        <v>0.176199999999999</v>
      </c>
      <c r="F149" s="43">
        <v>0.33195999999999998</v>
      </c>
      <c r="G149" s="43">
        <v>0.32696999999999998</v>
      </c>
      <c r="H149" s="43">
        <v>0.25325999999999999</v>
      </c>
      <c r="I149" s="43">
        <v>0.1996</v>
      </c>
    </row>
    <row r="150" spans="1:9" x14ac:dyDescent="0.3">
      <c r="A150" t="s">
        <v>28</v>
      </c>
      <c r="B150" t="s">
        <v>185</v>
      </c>
      <c r="C150" t="s">
        <v>72</v>
      </c>
      <c r="D150" s="43">
        <v>6.4716399999999998</v>
      </c>
      <c r="E150" s="43">
        <v>7.4047700000000001</v>
      </c>
      <c r="F150" s="43">
        <v>6.3143599999999998</v>
      </c>
      <c r="G150" s="43">
        <v>4.9619400000000002</v>
      </c>
      <c r="H150" s="43">
        <v>3.85866</v>
      </c>
      <c r="I150" s="43">
        <v>2.77129</v>
      </c>
    </row>
    <row r="151" spans="1:9" x14ac:dyDescent="0.3">
      <c r="A151" t="s">
        <v>28</v>
      </c>
      <c r="B151" t="s">
        <v>185</v>
      </c>
      <c r="C151" t="s">
        <v>74</v>
      </c>
      <c r="D151" s="43">
        <v>6.4716399999999998</v>
      </c>
      <c r="E151" s="43">
        <v>11.6706</v>
      </c>
      <c r="F151" s="43">
        <v>9.8903800000000004</v>
      </c>
      <c r="G151" s="43">
        <v>6.2712500000000002</v>
      </c>
      <c r="H151" s="43">
        <v>3.29975</v>
      </c>
      <c r="I151" s="43">
        <v>1.70387</v>
      </c>
    </row>
    <row r="152" spans="1:9" x14ac:dyDescent="0.3">
      <c r="A152" t="s">
        <v>180</v>
      </c>
      <c r="B152" t="s">
        <v>188</v>
      </c>
      <c r="C152" t="s">
        <v>72</v>
      </c>
      <c r="D152" s="43">
        <v>5.8660700000000003E-2</v>
      </c>
      <c r="E152" s="43">
        <v>0.17486599999999999</v>
      </c>
      <c r="F152" s="43">
        <v>0.131685</v>
      </c>
      <c r="G152" s="43">
        <v>0.158277</v>
      </c>
      <c r="H152" s="43">
        <v>0.12601999999999999</v>
      </c>
      <c r="I152" s="43">
        <v>0.109266</v>
      </c>
    </row>
    <row r="153" spans="1:9" x14ac:dyDescent="0.3">
      <c r="A153" t="s">
        <v>180</v>
      </c>
      <c r="B153" t="s">
        <v>188</v>
      </c>
      <c r="C153" t="s">
        <v>74</v>
      </c>
      <c r="D153" s="43">
        <v>5.8660700000000003E-2</v>
      </c>
      <c r="E153" s="43">
        <v>0.43761</v>
      </c>
      <c r="F153" s="43">
        <v>0.335397</v>
      </c>
      <c r="G153" s="43">
        <v>0.26637100000000002</v>
      </c>
      <c r="H153" s="43">
        <v>0.20039599999999999</v>
      </c>
      <c r="I153" s="43">
        <v>0.14657600000000001</v>
      </c>
    </row>
    <row r="154" spans="1:9" x14ac:dyDescent="0.3">
      <c r="A154" t="s">
        <v>29</v>
      </c>
      <c r="B154" t="s">
        <v>75</v>
      </c>
      <c r="C154" t="s">
        <v>72</v>
      </c>
      <c r="D154" s="43">
        <v>0.69618800000000003</v>
      </c>
      <c r="E154" s="43">
        <v>0.65954999999999997</v>
      </c>
      <c r="F154" s="43">
        <v>0.65336399999999994</v>
      </c>
      <c r="G154" s="43">
        <v>0.61586300000000005</v>
      </c>
      <c r="H154" s="43">
        <v>0.58424100000000001</v>
      </c>
      <c r="I154" s="43">
        <v>0.56041399999999997</v>
      </c>
    </row>
    <row r="155" spans="1:9" x14ac:dyDescent="0.3">
      <c r="A155" t="s">
        <v>29</v>
      </c>
      <c r="B155" t="s">
        <v>75</v>
      </c>
      <c r="C155" t="s">
        <v>74</v>
      </c>
      <c r="D155" s="43">
        <v>0.69618800000000003</v>
      </c>
      <c r="E155" s="43">
        <v>1.55057</v>
      </c>
      <c r="F155" s="43">
        <v>1.47559</v>
      </c>
      <c r="G155" s="43">
        <v>1.07253</v>
      </c>
      <c r="H155" s="43">
        <v>0.67366700000000002</v>
      </c>
      <c r="I155" s="43">
        <v>0.53577200000000003</v>
      </c>
    </row>
    <row r="156" spans="1:9" x14ac:dyDescent="0.3">
      <c r="A156" t="s">
        <v>30</v>
      </c>
      <c r="B156" t="s">
        <v>77</v>
      </c>
      <c r="C156" t="s">
        <v>72</v>
      </c>
      <c r="D156" s="43">
        <v>0.28000000000000003</v>
      </c>
      <c r="E156" s="43">
        <v>0.51</v>
      </c>
      <c r="F156" s="43">
        <v>0.44</v>
      </c>
      <c r="G156" s="43">
        <v>0.37</v>
      </c>
      <c r="H156" s="43">
        <v>0.43</v>
      </c>
      <c r="I156" s="43">
        <v>0.59</v>
      </c>
    </row>
    <row r="157" spans="1:9" x14ac:dyDescent="0.3">
      <c r="A157" t="s">
        <v>30</v>
      </c>
      <c r="B157" t="s">
        <v>77</v>
      </c>
      <c r="C157" t="s">
        <v>74</v>
      </c>
      <c r="D157" s="43">
        <v>0.28000000000000003</v>
      </c>
      <c r="E157" s="43">
        <v>0.89</v>
      </c>
      <c r="F157" s="43">
        <v>0.9</v>
      </c>
      <c r="G157" s="43">
        <v>0.8</v>
      </c>
      <c r="H157" s="43">
        <v>0.77</v>
      </c>
      <c r="I157" s="43">
        <v>1.08</v>
      </c>
    </row>
    <row r="158" spans="1:9" x14ac:dyDescent="0.3">
      <c r="A158" t="s">
        <v>30</v>
      </c>
      <c r="B158" t="s">
        <v>190</v>
      </c>
      <c r="C158" t="s">
        <v>72</v>
      </c>
      <c r="D158" s="43">
        <v>0.11</v>
      </c>
      <c r="E158" s="43">
        <v>0.37</v>
      </c>
      <c r="F158" s="43">
        <v>0.52</v>
      </c>
      <c r="G158" s="43">
        <v>0.59</v>
      </c>
      <c r="H158" s="43">
        <v>0.63</v>
      </c>
      <c r="I158" s="43">
        <v>0.66</v>
      </c>
    </row>
    <row r="159" spans="1:9" x14ac:dyDescent="0.3">
      <c r="A159" t="s">
        <v>30</v>
      </c>
      <c r="B159" t="s">
        <v>190</v>
      </c>
      <c r="C159" t="s">
        <v>74</v>
      </c>
      <c r="D159" s="43">
        <v>0.11</v>
      </c>
      <c r="E159" s="43">
        <v>0.53</v>
      </c>
      <c r="F159" s="43">
        <v>0.76</v>
      </c>
      <c r="G159" s="43">
        <v>0.78</v>
      </c>
      <c r="H159" s="43">
        <v>0.82</v>
      </c>
      <c r="I159" s="43">
        <v>0.85</v>
      </c>
    </row>
    <row r="160" spans="1:9" x14ac:dyDescent="0.3">
      <c r="A160" t="s">
        <v>30</v>
      </c>
      <c r="B160" t="s">
        <v>185</v>
      </c>
      <c r="C160" t="s">
        <v>72</v>
      </c>
      <c r="D160" s="43">
        <v>0.38239899999999999</v>
      </c>
      <c r="E160" s="43">
        <v>0.87779600000000002</v>
      </c>
      <c r="F160" s="43">
        <v>0.96637600000000001</v>
      </c>
      <c r="G160" s="43">
        <v>0.96947000000000005</v>
      </c>
      <c r="H160" s="43">
        <v>1.0546599999999999</v>
      </c>
      <c r="I160" s="43">
        <v>1.2480599999999999</v>
      </c>
    </row>
    <row r="161" spans="1:9" x14ac:dyDescent="0.3">
      <c r="A161" t="s">
        <v>30</v>
      </c>
      <c r="B161" t="s">
        <v>185</v>
      </c>
      <c r="C161" t="s">
        <v>74</v>
      </c>
      <c r="D161" s="43">
        <v>0.38239899999999999</v>
      </c>
      <c r="E161" s="43">
        <v>1.4230400000000001</v>
      </c>
      <c r="F161" s="43">
        <v>1.6628499999999999</v>
      </c>
      <c r="G161" s="43">
        <v>1.5801400000000001</v>
      </c>
      <c r="H161" s="43">
        <v>1.59331</v>
      </c>
      <c r="I161" s="43">
        <v>1.9254599999999999</v>
      </c>
    </row>
    <row r="162" spans="1:9" x14ac:dyDescent="0.3">
      <c r="A162" t="s">
        <v>31</v>
      </c>
      <c r="B162" t="s">
        <v>75</v>
      </c>
      <c r="C162" t="s">
        <v>72</v>
      </c>
      <c r="D162" s="43">
        <v>2.0699999999999998</v>
      </c>
      <c r="E162" s="43">
        <v>2.96</v>
      </c>
      <c r="F162" s="43">
        <v>3.05</v>
      </c>
      <c r="G162" s="43">
        <v>3.02</v>
      </c>
      <c r="H162" s="43">
        <v>3.16</v>
      </c>
      <c r="I162" s="43">
        <v>3.47</v>
      </c>
    </row>
    <row r="163" spans="1:9" x14ac:dyDescent="0.3">
      <c r="A163" t="s">
        <v>31</v>
      </c>
      <c r="B163" t="s">
        <v>75</v>
      </c>
      <c r="C163" t="s">
        <v>74</v>
      </c>
      <c r="D163" s="43">
        <v>2.0699999999999998</v>
      </c>
      <c r="E163" s="43">
        <v>4.76</v>
      </c>
      <c r="F163" s="43">
        <v>4.9800000000000004</v>
      </c>
      <c r="G163" s="43">
        <v>4.22</v>
      </c>
      <c r="H163" s="43">
        <v>3.44</v>
      </c>
      <c r="I163" s="43">
        <v>4.37</v>
      </c>
    </row>
    <row r="164" spans="1:9" x14ac:dyDescent="0.3">
      <c r="A164" t="s">
        <v>31</v>
      </c>
      <c r="B164" t="s">
        <v>188</v>
      </c>
      <c r="C164" t="s">
        <v>72</v>
      </c>
      <c r="D164" s="43">
        <v>0.08</v>
      </c>
      <c r="E164" s="43">
        <v>0.12</v>
      </c>
      <c r="F164" s="43">
        <v>0.08</v>
      </c>
      <c r="G164" s="43">
        <v>0.06</v>
      </c>
      <c r="H164" s="43">
        <v>0.1</v>
      </c>
      <c r="I164" s="43">
        <v>7.0000000000000007E-2</v>
      </c>
    </row>
    <row r="165" spans="1:9" x14ac:dyDescent="0.3">
      <c r="A165" t="s">
        <v>31</v>
      </c>
      <c r="B165" t="s">
        <v>188</v>
      </c>
      <c r="C165" t="s">
        <v>74</v>
      </c>
      <c r="D165" s="43">
        <v>0.08</v>
      </c>
      <c r="E165" s="43">
        <v>0.16</v>
      </c>
      <c r="F165" s="43">
        <v>0.16</v>
      </c>
      <c r="G165" s="43">
        <v>0.12</v>
      </c>
      <c r="H165" s="43">
        <v>0.1</v>
      </c>
      <c r="I165" s="43">
        <v>0.09</v>
      </c>
    </row>
    <row r="166" spans="1:9" x14ac:dyDescent="0.3">
      <c r="A166" t="s">
        <v>31</v>
      </c>
      <c r="B166" t="s">
        <v>185</v>
      </c>
      <c r="C166" t="s">
        <v>72</v>
      </c>
      <c r="D166" s="43">
        <v>2.14947</v>
      </c>
      <c r="E166" s="43">
        <v>3.0844900000000002</v>
      </c>
      <c r="F166" s="43">
        <v>3.1288200000000002</v>
      </c>
      <c r="G166" s="43">
        <v>3.0824500000000001</v>
      </c>
      <c r="H166" s="43">
        <v>3.2622399999999998</v>
      </c>
      <c r="I166" s="43">
        <v>3.5408499999999998</v>
      </c>
    </row>
    <row r="167" spans="1:9" x14ac:dyDescent="0.3">
      <c r="A167" t="s">
        <v>31</v>
      </c>
      <c r="B167" t="s">
        <v>185</v>
      </c>
      <c r="C167" t="s">
        <v>74</v>
      </c>
      <c r="D167" s="43">
        <v>2.14947</v>
      </c>
      <c r="E167" s="43">
        <v>4.9107399999999997</v>
      </c>
      <c r="F167" s="43">
        <v>5.1396600000000001</v>
      </c>
      <c r="G167" s="43">
        <v>4.3419499999999998</v>
      </c>
      <c r="H167" s="43">
        <v>3.5440999999999998</v>
      </c>
      <c r="I167" s="43">
        <v>4.45296</v>
      </c>
    </row>
    <row r="168" spans="1:9" x14ac:dyDescent="0.3">
      <c r="A168" t="s">
        <v>181</v>
      </c>
      <c r="B168" t="s">
        <v>188</v>
      </c>
      <c r="C168" t="s">
        <v>72</v>
      </c>
      <c r="D168" s="43">
        <v>5.2086899999999998</v>
      </c>
      <c r="E168" s="43">
        <v>10.939399999999999</v>
      </c>
      <c r="F168" s="43">
        <v>6.4217300000000002</v>
      </c>
      <c r="G168" s="43">
        <v>7.6797599999999999</v>
      </c>
      <c r="H168" s="43">
        <v>7.0791599999999999</v>
      </c>
      <c r="I168" s="43">
        <v>7.2362700000000002</v>
      </c>
    </row>
    <row r="169" spans="1:9" x14ac:dyDescent="0.3">
      <c r="A169" t="s">
        <v>181</v>
      </c>
      <c r="B169" t="s">
        <v>188</v>
      </c>
      <c r="C169" t="s">
        <v>74</v>
      </c>
      <c r="D169" s="43">
        <v>5.2086899999999998</v>
      </c>
      <c r="E169" s="43">
        <v>22.692699999999999</v>
      </c>
      <c r="F169" s="43">
        <v>19.177499999999998</v>
      </c>
      <c r="G169" s="43">
        <v>15.070600000000001</v>
      </c>
      <c r="H169" s="43">
        <v>11.4437</v>
      </c>
      <c r="I169" s="43">
        <v>9.4756800000000005</v>
      </c>
    </row>
    <row r="170" spans="1:9" s="52" customFormat="1" x14ac:dyDescent="0.3">
      <c r="A170" s="52" t="s">
        <v>184</v>
      </c>
      <c r="B170" s="52" t="s">
        <v>77</v>
      </c>
      <c r="C170" s="52" t="s">
        <v>72</v>
      </c>
      <c r="D170" s="53">
        <v>9.74</v>
      </c>
      <c r="E170" s="53">
        <v>17.02</v>
      </c>
      <c r="F170" s="53">
        <v>14.45</v>
      </c>
      <c r="G170" s="53">
        <v>11.85</v>
      </c>
      <c r="H170" s="53">
        <v>12.94</v>
      </c>
      <c r="I170" s="53">
        <v>17.21</v>
      </c>
    </row>
    <row r="171" spans="1:9" s="52" customFormat="1" x14ac:dyDescent="0.3">
      <c r="A171" s="52" t="s">
        <v>184</v>
      </c>
      <c r="B171" s="52" t="s">
        <v>77</v>
      </c>
      <c r="C171" s="52" t="s">
        <v>74</v>
      </c>
      <c r="D171" s="53">
        <v>9.74</v>
      </c>
      <c r="E171" s="53">
        <v>29.27</v>
      </c>
      <c r="F171" s="53">
        <v>28.38</v>
      </c>
      <c r="G171" s="53">
        <v>23.8</v>
      </c>
      <c r="H171" s="53">
        <v>21.4</v>
      </c>
      <c r="I171" s="53">
        <v>27.73</v>
      </c>
    </row>
    <row r="172" spans="1:9" s="52" customFormat="1" x14ac:dyDescent="0.3">
      <c r="A172" s="52" t="s">
        <v>184</v>
      </c>
      <c r="B172" s="52" t="s">
        <v>190</v>
      </c>
      <c r="C172" s="52" t="s">
        <v>72</v>
      </c>
      <c r="D172" s="53">
        <v>6.58</v>
      </c>
      <c r="E172" s="53">
        <v>22.77</v>
      </c>
      <c r="F172" s="53">
        <v>32.01</v>
      </c>
      <c r="G172" s="53">
        <v>36.43</v>
      </c>
      <c r="H172" s="53">
        <v>38.56</v>
      </c>
      <c r="I172" s="53">
        <v>40.28</v>
      </c>
    </row>
    <row r="173" spans="1:9" s="52" customFormat="1" x14ac:dyDescent="0.3">
      <c r="A173" s="52" t="s">
        <v>184</v>
      </c>
      <c r="B173" s="52" t="s">
        <v>190</v>
      </c>
      <c r="C173" s="52" t="s">
        <v>74</v>
      </c>
      <c r="D173" s="53">
        <v>6.58</v>
      </c>
      <c r="E173" s="53">
        <v>32.69</v>
      </c>
      <c r="F173" s="53">
        <v>46.56</v>
      </c>
      <c r="G173" s="53">
        <v>48.03</v>
      </c>
      <c r="H173" s="53">
        <v>50.6</v>
      </c>
      <c r="I173" s="53">
        <v>52.11</v>
      </c>
    </row>
    <row r="174" spans="1:9" s="52" customFormat="1" x14ac:dyDescent="0.3">
      <c r="A174" s="52" t="s">
        <v>184</v>
      </c>
      <c r="B174" s="52" t="s">
        <v>185</v>
      </c>
      <c r="C174" s="52" t="s">
        <v>72</v>
      </c>
      <c r="D174" s="53">
        <v>16.331743450000001</v>
      </c>
      <c r="E174" s="53">
        <v>39.811079540000001</v>
      </c>
      <c r="F174" s="53">
        <v>46.476409320000002</v>
      </c>
      <c r="G174" s="53">
        <v>48.292229290000002</v>
      </c>
      <c r="H174" s="53">
        <v>51.515147899999903</v>
      </c>
      <c r="I174" s="53">
        <v>57.494781500000002</v>
      </c>
    </row>
    <row r="175" spans="1:9" s="52" customFormat="1" x14ac:dyDescent="0.3">
      <c r="A175" s="52" t="s">
        <v>184</v>
      </c>
      <c r="B175" s="52" t="s">
        <v>185</v>
      </c>
      <c r="C175" s="52" t="s">
        <v>74</v>
      </c>
      <c r="D175" s="53">
        <v>16.331743450000001</v>
      </c>
      <c r="E175" s="53">
        <v>62.068927700000003</v>
      </c>
      <c r="F175" s="53">
        <v>75.021404599999997</v>
      </c>
      <c r="G175" s="53">
        <v>71.892660699999993</v>
      </c>
      <c r="H175" s="53">
        <v>72.052879199999893</v>
      </c>
      <c r="I175" s="53">
        <v>79.908316529999993</v>
      </c>
    </row>
    <row r="176" spans="1:9" x14ac:dyDescent="0.3">
      <c r="A176" t="s">
        <v>182</v>
      </c>
      <c r="B176" t="s">
        <v>188</v>
      </c>
      <c r="C176" t="s">
        <v>72</v>
      </c>
      <c r="D176" s="43">
        <v>8.2333600000000007E-2</v>
      </c>
      <c r="E176" s="43">
        <v>0.13381299999999999</v>
      </c>
      <c r="F176" s="43">
        <v>8.4581900000000002E-2</v>
      </c>
      <c r="G176" s="43">
        <v>6.5545800000000001E-2</v>
      </c>
      <c r="H176" s="43">
        <v>0.106197</v>
      </c>
      <c r="I176" s="43">
        <v>7.7831600000000001E-2</v>
      </c>
    </row>
    <row r="177" spans="1:9" x14ac:dyDescent="0.3">
      <c r="A177" t="s">
        <v>182</v>
      </c>
      <c r="B177" t="s">
        <v>188</v>
      </c>
      <c r="C177" t="s">
        <v>74</v>
      </c>
      <c r="D177" s="43">
        <v>8.2333600000000007E-2</v>
      </c>
      <c r="E177" s="43">
        <v>0.16907700000000001</v>
      </c>
      <c r="F177" s="43">
        <v>0.174207</v>
      </c>
      <c r="G177" s="43">
        <v>0.13034000000000001</v>
      </c>
      <c r="H177" s="43">
        <v>0.110329</v>
      </c>
      <c r="I177" s="43">
        <v>9.5172300000000001E-2</v>
      </c>
    </row>
    <row r="178" spans="1:9" x14ac:dyDescent="0.3">
      <c r="A178" t="s">
        <v>32</v>
      </c>
      <c r="B178" t="s">
        <v>191</v>
      </c>
      <c r="C178" t="s">
        <v>72</v>
      </c>
      <c r="D178" s="43">
        <v>1.4047199999999999E-2</v>
      </c>
      <c r="E178" s="43">
        <v>21.975999999999999</v>
      </c>
      <c r="F178" s="43">
        <v>159.93199999999999</v>
      </c>
      <c r="G178" s="43">
        <v>323.66199999999998</v>
      </c>
      <c r="H178" s="43">
        <v>388.14600000000002</v>
      </c>
      <c r="I178" s="43">
        <v>469.125</v>
      </c>
    </row>
    <row r="179" spans="1:9" x14ac:dyDescent="0.3">
      <c r="A179" t="s">
        <v>32</v>
      </c>
      <c r="B179" t="s">
        <v>191</v>
      </c>
      <c r="C179" t="s">
        <v>74</v>
      </c>
      <c r="D179" s="43">
        <v>1.4047199999999999E-2</v>
      </c>
      <c r="E179" s="43">
        <v>35.268700000000003</v>
      </c>
      <c r="F179" s="43">
        <v>272.39100000000002</v>
      </c>
      <c r="G179" s="43">
        <v>556.40700000000004</v>
      </c>
      <c r="H179" s="43">
        <v>636.59400000000005</v>
      </c>
      <c r="I179" s="43">
        <v>773.13400000000001</v>
      </c>
    </row>
    <row r="180" spans="1:9" x14ac:dyDescent="0.3">
      <c r="A180" t="s">
        <v>33</v>
      </c>
      <c r="B180" t="s">
        <v>188</v>
      </c>
      <c r="C180" t="s">
        <v>72</v>
      </c>
      <c r="D180" s="43">
        <v>0.01</v>
      </c>
      <c r="E180" s="43">
        <v>0.01</v>
      </c>
      <c r="F180" s="43">
        <v>0.01</v>
      </c>
      <c r="G180" s="43">
        <v>0.01</v>
      </c>
      <c r="H180" s="43">
        <v>0.01</v>
      </c>
      <c r="I180" s="43">
        <v>0.01</v>
      </c>
    </row>
    <row r="181" spans="1:9" x14ac:dyDescent="0.3">
      <c r="A181" t="s">
        <v>33</v>
      </c>
      <c r="B181" t="s">
        <v>188</v>
      </c>
      <c r="C181" t="s">
        <v>74</v>
      </c>
      <c r="D181" s="43">
        <v>0.01</v>
      </c>
      <c r="E181" s="43">
        <v>0.02</v>
      </c>
      <c r="F181" s="43">
        <v>0.02</v>
      </c>
      <c r="G181" s="43">
        <v>0.01</v>
      </c>
      <c r="H181" s="43">
        <v>0.01</v>
      </c>
      <c r="I181" s="43">
        <v>0.01</v>
      </c>
    </row>
    <row r="182" spans="1:9" x14ac:dyDescent="0.3">
      <c r="A182" t="s">
        <v>33</v>
      </c>
      <c r="B182" t="s">
        <v>193</v>
      </c>
      <c r="C182" t="s">
        <v>72</v>
      </c>
      <c r="D182" s="43">
        <v>0</v>
      </c>
      <c r="E182" s="43">
        <v>0</v>
      </c>
      <c r="F182" s="43">
        <v>0</v>
      </c>
      <c r="G182" s="43">
        <v>0</v>
      </c>
      <c r="H182" s="43">
        <v>0</v>
      </c>
      <c r="I182" s="43">
        <v>0</v>
      </c>
    </row>
    <row r="183" spans="1:9" x14ac:dyDescent="0.3">
      <c r="A183" t="s">
        <v>33</v>
      </c>
      <c r="B183" t="s">
        <v>193</v>
      </c>
      <c r="C183" t="s">
        <v>74</v>
      </c>
      <c r="D183" s="43">
        <v>0</v>
      </c>
      <c r="E183" s="43">
        <v>0.01</v>
      </c>
      <c r="F183" s="43">
        <v>0.01</v>
      </c>
      <c r="G183" s="43">
        <v>0</v>
      </c>
      <c r="H183" s="43">
        <v>0</v>
      </c>
      <c r="I183" s="43">
        <v>0</v>
      </c>
    </row>
    <row r="184" spans="1:9" x14ac:dyDescent="0.3">
      <c r="A184" t="s">
        <v>33</v>
      </c>
      <c r="B184" t="s">
        <v>185</v>
      </c>
      <c r="C184" t="s">
        <v>72</v>
      </c>
      <c r="D184" s="43">
        <v>8.6195300000000002E-3</v>
      </c>
      <c r="E184" s="43">
        <v>1.4037000000000001E-2</v>
      </c>
      <c r="F184" s="43">
        <v>8.9829300000000001E-3</v>
      </c>
      <c r="G184" s="43">
        <v>6.8318199999999997E-3</v>
      </c>
      <c r="H184" s="43">
        <v>1.0753499999999999E-2</v>
      </c>
      <c r="I184" s="43">
        <v>7.7831599999999999E-3</v>
      </c>
    </row>
    <row r="185" spans="1:9" x14ac:dyDescent="0.3">
      <c r="A185" t="s">
        <v>33</v>
      </c>
      <c r="B185" t="s">
        <v>185</v>
      </c>
      <c r="C185" t="s">
        <v>74</v>
      </c>
      <c r="D185" s="43">
        <v>8.6195300000000002E-3</v>
      </c>
      <c r="E185" s="43">
        <v>2.7196000000000001E-2</v>
      </c>
      <c r="F185" s="43">
        <v>2.5518900000000001E-2</v>
      </c>
      <c r="G185" s="43">
        <v>1.7658E-2</v>
      </c>
      <c r="H185" s="43">
        <v>1.3024600000000001E-2</v>
      </c>
      <c r="I185" s="43">
        <v>9.5172299999999998E-3</v>
      </c>
    </row>
    <row r="186" spans="1:9" x14ac:dyDescent="0.3">
      <c r="A186" t="s">
        <v>34</v>
      </c>
      <c r="B186" t="s">
        <v>75</v>
      </c>
      <c r="C186" t="s">
        <v>72</v>
      </c>
      <c r="D186" s="43">
        <v>10.452299999999999</v>
      </c>
      <c r="E186" s="43">
        <v>14.926399999999999</v>
      </c>
      <c r="F186" s="43">
        <v>15.3781</v>
      </c>
      <c r="G186" s="43">
        <v>15.2326</v>
      </c>
      <c r="H186" s="43">
        <v>15.9503</v>
      </c>
      <c r="I186" s="43">
        <v>17.4862</v>
      </c>
    </row>
    <row r="187" spans="1:9" x14ac:dyDescent="0.3">
      <c r="A187" t="s">
        <v>34</v>
      </c>
      <c r="B187" t="s">
        <v>75</v>
      </c>
      <c r="C187" t="s">
        <v>74</v>
      </c>
      <c r="D187" s="43">
        <v>10.452299999999999</v>
      </c>
      <c r="E187" s="43">
        <v>23.9678</v>
      </c>
      <c r="F187" s="43">
        <v>25.097799999999999</v>
      </c>
      <c r="G187" s="43">
        <v>21.2805</v>
      </c>
      <c r="H187" s="43">
        <v>17.351900000000001</v>
      </c>
      <c r="I187" s="43">
        <v>22.0031</v>
      </c>
    </row>
    <row r="188" spans="1:9" x14ac:dyDescent="0.3">
      <c r="A188" t="s">
        <v>34</v>
      </c>
      <c r="B188" t="s">
        <v>77</v>
      </c>
      <c r="C188" t="s">
        <v>72</v>
      </c>
      <c r="D188" s="43">
        <v>704.62699999999995</v>
      </c>
      <c r="E188" s="43">
        <v>970.20299999999997</v>
      </c>
      <c r="F188" s="43">
        <v>864.49199999999996</v>
      </c>
      <c r="G188" s="43">
        <v>761.06200000000001</v>
      </c>
      <c r="H188" s="43">
        <v>848.36500000000001</v>
      </c>
      <c r="I188" s="43">
        <v>1062.6600000000001</v>
      </c>
    </row>
    <row r="189" spans="1:9" x14ac:dyDescent="0.3">
      <c r="A189" t="s">
        <v>34</v>
      </c>
      <c r="B189" t="s">
        <v>77</v>
      </c>
      <c r="C189" t="s">
        <v>74</v>
      </c>
      <c r="D189" s="43">
        <v>704.62699999999995</v>
      </c>
      <c r="E189" s="43">
        <v>1699.65</v>
      </c>
      <c r="F189" s="43">
        <v>1835.85</v>
      </c>
      <c r="G189" s="43">
        <v>1600.5</v>
      </c>
      <c r="H189" s="43">
        <v>1375.27</v>
      </c>
      <c r="I189" s="43">
        <v>1744.87</v>
      </c>
    </row>
    <row r="190" spans="1:9" x14ac:dyDescent="0.3">
      <c r="A190" t="s">
        <v>34</v>
      </c>
      <c r="B190" t="s">
        <v>188</v>
      </c>
      <c r="C190" t="s">
        <v>72</v>
      </c>
      <c r="D190" s="43">
        <v>15.886699999999999</v>
      </c>
      <c r="E190" s="43">
        <v>18.990600000000001</v>
      </c>
      <c r="F190" s="43">
        <v>15.812900000000001</v>
      </c>
      <c r="G190" s="43">
        <v>17.798399999999901</v>
      </c>
      <c r="H190" s="43">
        <v>22.6906999999999</v>
      </c>
      <c r="I190" s="43">
        <v>24.063799999999901</v>
      </c>
    </row>
    <row r="191" spans="1:9" x14ac:dyDescent="0.3">
      <c r="A191" t="s">
        <v>34</v>
      </c>
      <c r="B191" t="s">
        <v>188</v>
      </c>
      <c r="C191" t="s">
        <v>74</v>
      </c>
      <c r="D191" s="43">
        <v>15.886699999999999</v>
      </c>
      <c r="E191" s="43">
        <v>46.892200000000003</v>
      </c>
      <c r="F191" s="43">
        <v>52.812199999999997</v>
      </c>
      <c r="G191" s="43">
        <v>48.449499999999901</v>
      </c>
      <c r="H191" s="43">
        <v>39.958099999999803</v>
      </c>
      <c r="I191" s="43">
        <v>33.8669000000002</v>
      </c>
    </row>
    <row r="192" spans="1:9" x14ac:dyDescent="0.3">
      <c r="A192" t="s">
        <v>34</v>
      </c>
      <c r="B192" t="s">
        <v>185</v>
      </c>
      <c r="C192" t="s">
        <v>72</v>
      </c>
      <c r="D192" s="43">
        <v>730.96600000000001</v>
      </c>
      <c r="E192" s="43">
        <v>1004.12</v>
      </c>
      <c r="F192" s="43">
        <v>895.68299999999999</v>
      </c>
      <c r="G192" s="43">
        <v>794.09299999999996</v>
      </c>
      <c r="H192" s="43">
        <v>887.00599999999997</v>
      </c>
      <c r="I192" s="43">
        <v>1104.21</v>
      </c>
    </row>
    <row r="193" spans="1:9" x14ac:dyDescent="0.3">
      <c r="A193" t="s">
        <v>34</v>
      </c>
      <c r="B193" t="s">
        <v>185</v>
      </c>
      <c r="C193" t="s">
        <v>74</v>
      </c>
      <c r="D193" s="43">
        <v>730.96600000000001</v>
      </c>
      <c r="E193" s="43">
        <v>1770.51</v>
      </c>
      <c r="F193" s="43">
        <v>1913.76</v>
      </c>
      <c r="G193" s="43">
        <v>1670.23</v>
      </c>
      <c r="H193" s="43">
        <v>1432.58</v>
      </c>
      <c r="I193" s="43">
        <v>1800.74</v>
      </c>
    </row>
    <row r="194" spans="1:9" x14ac:dyDescent="0.3">
      <c r="A194" t="s">
        <v>35</v>
      </c>
      <c r="B194" t="s">
        <v>188</v>
      </c>
      <c r="C194" t="s">
        <v>72</v>
      </c>
      <c r="D194" s="43">
        <v>0.5</v>
      </c>
      <c r="E194" s="43">
        <v>0.82</v>
      </c>
      <c r="F194" s="43">
        <v>0.52</v>
      </c>
      <c r="G194" s="43">
        <v>0.4</v>
      </c>
      <c r="H194" s="43">
        <v>0.65</v>
      </c>
      <c r="I194" s="43">
        <v>0.47</v>
      </c>
    </row>
    <row r="195" spans="1:9" x14ac:dyDescent="0.3">
      <c r="A195" t="s">
        <v>35</v>
      </c>
      <c r="B195" t="s">
        <v>188</v>
      </c>
      <c r="C195" t="s">
        <v>74</v>
      </c>
      <c r="D195" s="43">
        <v>0.5</v>
      </c>
      <c r="E195" s="43">
        <v>1.03</v>
      </c>
      <c r="F195" s="43">
        <v>1.06</v>
      </c>
      <c r="G195" s="43">
        <v>0.8</v>
      </c>
      <c r="H195" s="43">
        <v>0.67</v>
      </c>
      <c r="I195" s="43">
        <v>0.57999999999999996</v>
      </c>
    </row>
    <row r="196" spans="1:9" x14ac:dyDescent="0.3">
      <c r="A196" t="s">
        <v>35</v>
      </c>
      <c r="B196" t="s">
        <v>193</v>
      </c>
      <c r="C196" t="s">
        <v>72</v>
      </c>
      <c r="D196" s="43">
        <v>0.13</v>
      </c>
      <c r="E196" s="43">
        <v>0.64</v>
      </c>
      <c r="F196" s="43">
        <v>0.71</v>
      </c>
      <c r="G196" s="43">
        <v>0.56000000000000005</v>
      </c>
      <c r="H196" s="43">
        <v>0.54</v>
      </c>
      <c r="I196" s="43">
        <v>0.73</v>
      </c>
    </row>
    <row r="197" spans="1:9" x14ac:dyDescent="0.3">
      <c r="A197" t="s">
        <v>35</v>
      </c>
      <c r="B197" t="s">
        <v>193</v>
      </c>
      <c r="C197" t="s">
        <v>74</v>
      </c>
      <c r="D197" s="43">
        <v>0.13</v>
      </c>
      <c r="E197" s="43">
        <v>10.11</v>
      </c>
      <c r="F197" s="43">
        <v>10.93</v>
      </c>
      <c r="G197" s="43">
        <v>9.3000000000000007</v>
      </c>
      <c r="H197" s="43">
        <v>7.97</v>
      </c>
      <c r="I197" s="43">
        <v>10.27</v>
      </c>
    </row>
    <row r="198" spans="1:9" x14ac:dyDescent="0.3">
      <c r="A198" t="s">
        <v>35</v>
      </c>
      <c r="B198" t="s">
        <v>185</v>
      </c>
      <c r="C198" t="s">
        <v>72</v>
      </c>
      <c r="D198" s="43">
        <v>0.63448099999999996</v>
      </c>
      <c r="E198" s="43">
        <v>1.4602999999999999</v>
      </c>
      <c r="F198" s="43">
        <v>1.2239199999999999</v>
      </c>
      <c r="G198" s="43">
        <v>0.95757400000000004</v>
      </c>
      <c r="H198" s="43">
        <v>1.18306</v>
      </c>
      <c r="I198" s="43">
        <v>1.20566</v>
      </c>
    </row>
    <row r="199" spans="1:9" x14ac:dyDescent="0.3">
      <c r="A199" t="s">
        <v>35</v>
      </c>
      <c r="B199" t="s">
        <v>185</v>
      </c>
      <c r="C199" t="s">
        <v>74</v>
      </c>
      <c r="D199" s="43">
        <v>0.63448099999999996</v>
      </c>
      <c r="E199" s="43">
        <v>11.1363</v>
      </c>
      <c r="F199" s="43">
        <v>11.9887</v>
      </c>
      <c r="G199" s="43">
        <v>10.097899999999999</v>
      </c>
      <c r="H199" s="43">
        <v>8.6403300000000005</v>
      </c>
      <c r="I199" s="43">
        <v>10.853999999999999</v>
      </c>
    </row>
  </sheetData>
  <autoFilter ref="A1:I199" xr:uid="{C2E4F33A-B4E8-4465-B4D7-D9010B9DF67A}">
    <sortState xmlns:xlrd2="http://schemas.microsoft.com/office/spreadsheetml/2017/richdata2" ref="A2:I232">
      <sortCondition ref="A1"/>
    </sortState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30AC-1F4A-4325-8B56-3B00F6F2C388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E9ADE-8C1C-4457-97A1-D3322764C59B}">
  <dimension ref="B1:I32"/>
  <sheetViews>
    <sheetView workbookViewId="0">
      <selection activeCell="I14" sqref="I14"/>
    </sheetView>
  </sheetViews>
  <sheetFormatPr defaultRowHeight="14.4" x14ac:dyDescent="0.3"/>
  <cols>
    <col min="2" max="2" width="13.109375" bestFit="1" customWidth="1"/>
    <col min="3" max="3" width="17.21875" bestFit="1" customWidth="1"/>
    <col min="4" max="4" width="14.6640625" bestFit="1" customWidth="1"/>
    <col min="5" max="5" width="36.21875" bestFit="1" customWidth="1"/>
    <col min="9" max="9" width="10.33203125" bestFit="1" customWidth="1"/>
  </cols>
  <sheetData>
    <row r="1" spans="2:9" x14ac:dyDescent="0.3">
      <c r="B1" s="14" t="s">
        <v>0</v>
      </c>
      <c r="C1" s="14"/>
      <c r="D1" s="14" t="s">
        <v>1</v>
      </c>
    </row>
    <row r="2" spans="2:9" x14ac:dyDescent="0.3">
      <c r="B2" t="s">
        <v>2</v>
      </c>
      <c r="D2" t="s">
        <v>2</v>
      </c>
      <c r="F2">
        <v>1</v>
      </c>
    </row>
    <row r="3" spans="2:9" x14ac:dyDescent="0.3">
      <c r="B3" t="s">
        <v>3</v>
      </c>
      <c r="D3" t="s">
        <v>3</v>
      </c>
      <c r="F3">
        <v>2</v>
      </c>
    </row>
    <row r="4" spans="2:9" x14ac:dyDescent="0.3">
      <c r="B4" t="s">
        <v>4</v>
      </c>
      <c r="D4" t="s">
        <v>4</v>
      </c>
      <c r="F4">
        <v>3</v>
      </c>
    </row>
    <row r="5" spans="2:9" x14ac:dyDescent="0.3">
      <c r="B5" t="s">
        <v>5</v>
      </c>
      <c r="D5" t="s">
        <v>5</v>
      </c>
      <c r="F5">
        <v>4</v>
      </c>
    </row>
    <row r="6" spans="2:9" x14ac:dyDescent="0.3">
      <c r="B6" t="s">
        <v>6</v>
      </c>
      <c r="D6" t="s">
        <v>6</v>
      </c>
      <c r="F6">
        <v>5</v>
      </c>
    </row>
    <row r="7" spans="2:9" x14ac:dyDescent="0.3">
      <c r="B7" t="s">
        <v>7</v>
      </c>
      <c r="D7" t="s">
        <v>7</v>
      </c>
      <c r="F7">
        <v>6</v>
      </c>
      <c r="I7" s="31" t="s">
        <v>208</v>
      </c>
    </row>
    <row r="8" spans="2:9" x14ac:dyDescent="0.3">
      <c r="B8" t="s">
        <v>8</v>
      </c>
      <c r="D8" t="s">
        <v>8</v>
      </c>
      <c r="F8">
        <v>7</v>
      </c>
      <c r="I8" t="s">
        <v>176</v>
      </c>
    </row>
    <row r="9" spans="2:9" x14ac:dyDescent="0.3">
      <c r="B9" t="s">
        <v>9</v>
      </c>
      <c r="D9" t="s">
        <v>9</v>
      </c>
      <c r="F9">
        <v>8</v>
      </c>
      <c r="I9" t="s">
        <v>183</v>
      </c>
    </row>
    <row r="10" spans="2:9" x14ac:dyDescent="0.3">
      <c r="B10" t="s">
        <v>10</v>
      </c>
      <c r="D10" s="1" t="s">
        <v>11</v>
      </c>
      <c r="E10" t="s">
        <v>169</v>
      </c>
      <c r="F10">
        <v>9</v>
      </c>
      <c r="I10" t="s">
        <v>177</v>
      </c>
    </row>
    <row r="11" spans="2:9" x14ac:dyDescent="0.3">
      <c r="B11" s="1" t="s">
        <v>12</v>
      </c>
      <c r="C11" s="1" t="s">
        <v>166</v>
      </c>
      <c r="D11" s="1" t="s">
        <v>13</v>
      </c>
      <c r="E11" t="s">
        <v>170</v>
      </c>
      <c r="F11">
        <v>10</v>
      </c>
      <c r="I11" t="s">
        <v>178</v>
      </c>
    </row>
    <row r="12" spans="2:9" x14ac:dyDescent="0.3">
      <c r="B12" t="s">
        <v>14</v>
      </c>
      <c r="D12" t="s">
        <v>10</v>
      </c>
      <c r="F12">
        <v>11</v>
      </c>
      <c r="I12" t="s">
        <v>180</v>
      </c>
    </row>
    <row r="13" spans="2:9" x14ac:dyDescent="0.3">
      <c r="B13" t="s">
        <v>15</v>
      </c>
      <c r="D13" t="s">
        <v>14</v>
      </c>
      <c r="F13">
        <v>12</v>
      </c>
      <c r="I13" t="s">
        <v>181</v>
      </c>
    </row>
    <row r="14" spans="2:9" x14ac:dyDescent="0.3">
      <c r="B14" t="s">
        <v>16</v>
      </c>
      <c r="D14" t="s">
        <v>15</v>
      </c>
      <c r="F14">
        <v>13</v>
      </c>
      <c r="I14" t="s">
        <v>182</v>
      </c>
    </row>
    <row r="15" spans="2:9" x14ac:dyDescent="0.3">
      <c r="B15" t="s">
        <v>17</v>
      </c>
      <c r="D15" t="s">
        <v>16</v>
      </c>
      <c r="E15" t="s">
        <v>167</v>
      </c>
      <c r="F15">
        <v>14</v>
      </c>
    </row>
    <row r="16" spans="2:9" x14ac:dyDescent="0.3">
      <c r="B16" t="s">
        <v>18</v>
      </c>
      <c r="D16" t="s">
        <v>17</v>
      </c>
      <c r="F16">
        <v>15</v>
      </c>
    </row>
    <row r="17" spans="2:9" x14ac:dyDescent="0.3">
      <c r="B17" t="s">
        <v>19</v>
      </c>
      <c r="D17" t="s">
        <v>18</v>
      </c>
      <c r="F17">
        <v>16</v>
      </c>
    </row>
    <row r="18" spans="2:9" x14ac:dyDescent="0.3">
      <c r="B18" t="s">
        <v>20</v>
      </c>
      <c r="D18" t="s">
        <v>19</v>
      </c>
      <c r="F18">
        <v>17</v>
      </c>
      <c r="I18" s="31" t="s">
        <v>186</v>
      </c>
    </row>
    <row r="19" spans="2:9" x14ac:dyDescent="0.3">
      <c r="B19" t="s">
        <v>21</v>
      </c>
      <c r="D19" t="s">
        <v>20</v>
      </c>
      <c r="F19">
        <v>18</v>
      </c>
      <c r="I19" t="s">
        <v>12</v>
      </c>
    </row>
    <row r="20" spans="2:9" x14ac:dyDescent="0.3">
      <c r="B20" t="s">
        <v>22</v>
      </c>
      <c r="D20" t="s">
        <v>21</v>
      </c>
      <c r="F20">
        <v>19</v>
      </c>
      <c r="I20" t="s">
        <v>16</v>
      </c>
    </row>
    <row r="21" spans="2:9" x14ac:dyDescent="0.3">
      <c r="B21" s="1" t="s">
        <v>23</v>
      </c>
      <c r="C21" s="1"/>
      <c r="D21" t="s">
        <v>22</v>
      </c>
      <c r="F21">
        <v>20</v>
      </c>
      <c r="I21" t="s">
        <v>32</v>
      </c>
    </row>
    <row r="22" spans="2:9" x14ac:dyDescent="0.3">
      <c r="B22" t="s">
        <v>24</v>
      </c>
      <c r="D22" s="1" t="s">
        <v>25</v>
      </c>
      <c r="E22" t="s">
        <v>168</v>
      </c>
      <c r="F22">
        <v>21</v>
      </c>
    </row>
    <row r="23" spans="2:9" x14ac:dyDescent="0.3">
      <c r="B23" t="s">
        <v>26</v>
      </c>
      <c r="D23" t="s">
        <v>24</v>
      </c>
      <c r="F23">
        <v>22</v>
      </c>
    </row>
    <row r="24" spans="2:9" x14ac:dyDescent="0.3">
      <c r="B24" t="s">
        <v>27</v>
      </c>
      <c r="D24" t="s">
        <v>26</v>
      </c>
      <c r="F24">
        <v>23</v>
      </c>
    </row>
    <row r="25" spans="2:9" x14ac:dyDescent="0.3">
      <c r="B25" t="s">
        <v>28</v>
      </c>
      <c r="D25" t="s">
        <v>27</v>
      </c>
      <c r="F25">
        <v>24</v>
      </c>
    </row>
    <row r="26" spans="2:9" x14ac:dyDescent="0.3">
      <c r="B26" t="s">
        <v>29</v>
      </c>
      <c r="D26" t="s">
        <v>28</v>
      </c>
      <c r="F26">
        <v>25</v>
      </c>
    </row>
    <row r="27" spans="2:9" x14ac:dyDescent="0.3">
      <c r="B27" t="s">
        <v>30</v>
      </c>
      <c r="D27" t="s">
        <v>29</v>
      </c>
      <c r="F27">
        <v>26</v>
      </c>
    </row>
    <row r="28" spans="2:9" x14ac:dyDescent="0.3">
      <c r="B28" t="s">
        <v>31</v>
      </c>
      <c r="D28" t="s">
        <v>30</v>
      </c>
      <c r="F28">
        <v>27</v>
      </c>
    </row>
    <row r="29" spans="2:9" x14ac:dyDescent="0.3">
      <c r="B29" t="s">
        <v>32</v>
      </c>
      <c r="D29" t="s">
        <v>31</v>
      </c>
      <c r="F29">
        <v>28</v>
      </c>
    </row>
    <row r="30" spans="2:9" x14ac:dyDescent="0.3">
      <c r="B30" s="1" t="s">
        <v>33</v>
      </c>
      <c r="C30" s="1" t="s">
        <v>166</v>
      </c>
      <c r="D30" t="s">
        <v>32</v>
      </c>
      <c r="F30">
        <v>29</v>
      </c>
    </row>
    <row r="31" spans="2:9" x14ac:dyDescent="0.3">
      <c r="B31" t="s">
        <v>34</v>
      </c>
      <c r="D31" t="s">
        <v>34</v>
      </c>
      <c r="F31">
        <v>30</v>
      </c>
    </row>
    <row r="32" spans="2:9" x14ac:dyDescent="0.3">
      <c r="B32" t="s">
        <v>35</v>
      </c>
      <c r="D32" t="s">
        <v>35</v>
      </c>
      <c r="F32">
        <v>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08B9A-D812-4FA0-9C19-5E3A58E1E967}">
  <dimension ref="A1:M113"/>
  <sheetViews>
    <sheetView topLeftCell="A24" workbookViewId="0">
      <selection activeCell="B1" sqref="B1"/>
    </sheetView>
  </sheetViews>
  <sheetFormatPr defaultColWidth="11.5546875" defaultRowHeight="14.4" x14ac:dyDescent="0.3"/>
  <cols>
    <col min="1" max="1" width="14.88671875" bestFit="1" customWidth="1"/>
    <col min="2" max="2" width="17" bestFit="1" customWidth="1"/>
    <col min="3" max="3" width="46.109375" bestFit="1" customWidth="1"/>
    <col min="4" max="4" width="30.77734375" bestFit="1" customWidth="1"/>
    <col min="5" max="5" width="9.77734375" bestFit="1" customWidth="1"/>
    <col min="6" max="6" width="9.88671875" bestFit="1" customWidth="1"/>
    <col min="7" max="13" width="7.21875" bestFit="1" customWidth="1"/>
    <col min="19" max="19" width="10.77734375" customWidth="1"/>
  </cols>
  <sheetData>
    <row r="1" spans="1:13" x14ac:dyDescent="0.3">
      <c r="A1" s="42" t="s">
        <v>38</v>
      </c>
      <c r="B1" s="42" t="s">
        <v>36</v>
      </c>
      <c r="C1" s="42" t="s">
        <v>95</v>
      </c>
      <c r="D1" s="42" t="s">
        <v>96</v>
      </c>
      <c r="E1" s="42" t="s">
        <v>97</v>
      </c>
      <c r="F1" s="42" t="s">
        <v>39</v>
      </c>
      <c r="G1" s="42" t="s">
        <v>40</v>
      </c>
      <c r="H1" s="42" t="s">
        <v>43</v>
      </c>
      <c r="I1" s="14" t="s">
        <v>48</v>
      </c>
      <c r="J1" s="14" t="s">
        <v>53</v>
      </c>
      <c r="K1" s="14" t="s">
        <v>58</v>
      </c>
      <c r="L1" s="14" t="s">
        <v>63</v>
      </c>
      <c r="M1" s="14" t="s">
        <v>68</v>
      </c>
    </row>
    <row r="2" spans="1:13" x14ac:dyDescent="0.3">
      <c r="A2" s="2" t="s">
        <v>2</v>
      </c>
      <c r="B2" s="2" t="s">
        <v>70</v>
      </c>
      <c r="C2" s="2" t="s">
        <v>98</v>
      </c>
      <c r="D2" s="2" t="s">
        <v>99</v>
      </c>
      <c r="E2" s="2" t="s">
        <v>100</v>
      </c>
      <c r="F2" s="2" t="s">
        <v>74</v>
      </c>
      <c r="G2" s="11">
        <v>10357</v>
      </c>
      <c r="H2" s="7">
        <v>12423</v>
      </c>
      <c r="I2" s="4">
        <v>17872</v>
      </c>
      <c r="J2" s="4">
        <v>22818</v>
      </c>
      <c r="K2" s="4">
        <v>26403</v>
      </c>
      <c r="L2" s="4">
        <v>25148</v>
      </c>
      <c r="M2" s="4">
        <v>20759</v>
      </c>
    </row>
    <row r="3" spans="1:13" x14ac:dyDescent="0.3">
      <c r="A3" s="2" t="s">
        <v>2</v>
      </c>
      <c r="B3" s="2" t="s">
        <v>70</v>
      </c>
      <c r="C3" s="2" t="s">
        <v>98</v>
      </c>
      <c r="D3" s="2" t="s">
        <v>99</v>
      </c>
      <c r="E3" s="2" t="s">
        <v>100</v>
      </c>
      <c r="F3" s="2" t="s">
        <v>72</v>
      </c>
      <c r="G3" s="11">
        <v>10357</v>
      </c>
      <c r="H3" s="7">
        <v>11606</v>
      </c>
      <c r="I3" s="4">
        <v>14527</v>
      </c>
      <c r="J3" s="4">
        <v>14482</v>
      </c>
      <c r="K3" s="4">
        <v>14174</v>
      </c>
      <c r="L3" s="4">
        <v>14943</v>
      </c>
      <c r="M3" s="4">
        <v>14343</v>
      </c>
    </row>
    <row r="4" spans="1:13" hidden="1" x14ac:dyDescent="0.3">
      <c r="A4" s="3" t="s">
        <v>3</v>
      </c>
      <c r="B4" s="3" t="s">
        <v>75</v>
      </c>
      <c r="C4" s="2" t="s">
        <v>101</v>
      </c>
      <c r="D4" s="2" t="s">
        <v>102</v>
      </c>
      <c r="E4" s="2" t="s">
        <v>103</v>
      </c>
      <c r="F4" s="2" t="s">
        <v>74</v>
      </c>
      <c r="G4" s="11">
        <v>0</v>
      </c>
      <c r="H4" s="7">
        <v>0</v>
      </c>
      <c r="I4" s="4">
        <v>0.43613600000000002</v>
      </c>
      <c r="J4" s="4">
        <v>2.5059999999999998</v>
      </c>
      <c r="K4" s="4">
        <v>13.811299999999999</v>
      </c>
      <c r="L4" s="4">
        <v>11.2171</v>
      </c>
      <c r="M4" s="4">
        <v>12.5443</v>
      </c>
    </row>
    <row r="5" spans="1:13" hidden="1" x14ac:dyDescent="0.3">
      <c r="A5" s="3" t="s">
        <v>3</v>
      </c>
      <c r="B5" s="3" t="s">
        <v>75</v>
      </c>
      <c r="C5" s="2" t="s">
        <v>101</v>
      </c>
      <c r="D5" s="2" t="s">
        <v>102</v>
      </c>
      <c r="E5" s="2" t="s">
        <v>103</v>
      </c>
      <c r="F5" s="2" t="s">
        <v>72</v>
      </c>
      <c r="G5" s="11">
        <v>0</v>
      </c>
      <c r="H5" s="7">
        <v>0</v>
      </c>
      <c r="I5" s="4">
        <v>0.190329</v>
      </c>
      <c r="J5" s="4">
        <v>1.08483</v>
      </c>
      <c r="K5" s="4">
        <v>6.3817899999999996</v>
      </c>
      <c r="L5" s="4">
        <v>7.3852500000000001</v>
      </c>
      <c r="M5" s="4">
        <v>8.3498300000000008</v>
      </c>
    </row>
    <row r="6" spans="1:13" hidden="1" x14ac:dyDescent="0.3">
      <c r="A6" s="2" t="s">
        <v>4</v>
      </c>
      <c r="B6" s="2" t="s">
        <v>77</v>
      </c>
      <c r="C6" s="2" t="s">
        <v>104</v>
      </c>
      <c r="D6" s="2" t="s">
        <v>105</v>
      </c>
      <c r="E6" s="2" t="s">
        <v>103</v>
      </c>
      <c r="F6" s="2" t="s">
        <v>74</v>
      </c>
      <c r="G6" s="7">
        <v>0.15861800000000001</v>
      </c>
      <c r="H6" s="4">
        <v>0.28235199999999999</v>
      </c>
      <c r="I6" s="4">
        <v>0.73109000000000002</v>
      </c>
      <c r="J6" s="4">
        <v>0.72846999999999995</v>
      </c>
      <c r="K6" s="4">
        <v>0.69159499999999996</v>
      </c>
      <c r="L6" s="4">
        <v>0.47279700000000002</v>
      </c>
      <c r="M6" s="4">
        <v>0.74607900000000005</v>
      </c>
    </row>
    <row r="7" spans="1:13" hidden="1" x14ac:dyDescent="0.3">
      <c r="A7" s="2" t="s">
        <v>4</v>
      </c>
      <c r="B7" s="2" t="s">
        <v>77</v>
      </c>
      <c r="C7" s="2" t="s">
        <v>104</v>
      </c>
      <c r="D7" s="2" t="s">
        <v>105</v>
      </c>
      <c r="E7" s="2" t="s">
        <v>103</v>
      </c>
      <c r="F7" s="2" t="s">
        <v>72</v>
      </c>
      <c r="G7" s="7">
        <v>0.15861800000000001</v>
      </c>
      <c r="H7" s="4">
        <v>0.17577799999999999</v>
      </c>
      <c r="I7" s="4">
        <v>0.314919</v>
      </c>
      <c r="J7" s="4">
        <v>0.28778799999999999</v>
      </c>
      <c r="K7" s="4">
        <v>0.25972899999999999</v>
      </c>
      <c r="L7" s="4">
        <v>0.329544</v>
      </c>
      <c r="M7" s="4">
        <v>0.40822599999999998</v>
      </c>
    </row>
    <row r="8" spans="1:13" hidden="1" x14ac:dyDescent="0.3">
      <c r="A8" s="2" t="s">
        <v>5</v>
      </c>
      <c r="B8" s="2" t="s">
        <v>75</v>
      </c>
      <c r="C8" s="2" t="s">
        <v>106</v>
      </c>
      <c r="D8" s="2" t="s">
        <v>107</v>
      </c>
      <c r="E8" s="2" t="s">
        <v>103</v>
      </c>
      <c r="F8" s="2" t="s">
        <v>74</v>
      </c>
      <c r="G8" s="7">
        <v>0.42084300000000002</v>
      </c>
      <c r="H8" s="4">
        <v>0.77033399999999996</v>
      </c>
      <c r="I8" s="4">
        <v>1.22404</v>
      </c>
      <c r="J8" s="4">
        <v>1.1326099999999999</v>
      </c>
      <c r="K8" s="4">
        <v>0.95422300000000004</v>
      </c>
      <c r="L8" s="4">
        <v>0.59882899999999994</v>
      </c>
      <c r="M8" s="4">
        <v>0.43118899999999999</v>
      </c>
    </row>
    <row r="9" spans="1:13" hidden="1" x14ac:dyDescent="0.3">
      <c r="A9" s="2" t="s">
        <v>5</v>
      </c>
      <c r="B9" s="2" t="s">
        <v>75</v>
      </c>
      <c r="C9" s="2" t="s">
        <v>106</v>
      </c>
      <c r="D9" s="2" t="s">
        <v>107</v>
      </c>
      <c r="E9" s="2" t="s">
        <v>103</v>
      </c>
      <c r="F9" s="2" t="s">
        <v>72</v>
      </c>
      <c r="G9" s="7">
        <v>0.42084300000000002</v>
      </c>
      <c r="H9" s="4">
        <v>0.420292</v>
      </c>
      <c r="I9" s="4">
        <v>0.39756200000000003</v>
      </c>
      <c r="J9" s="4">
        <v>0.39533099999999999</v>
      </c>
      <c r="K9" s="4">
        <v>0.41149999999999998</v>
      </c>
      <c r="L9" s="4">
        <v>0.465976</v>
      </c>
      <c r="M9" s="4">
        <v>0.503529</v>
      </c>
    </row>
    <row r="10" spans="1:13" hidden="1" x14ac:dyDescent="0.3">
      <c r="A10" s="2" t="s">
        <v>6</v>
      </c>
      <c r="B10" s="2" t="s">
        <v>77</v>
      </c>
      <c r="C10" s="2" t="s">
        <v>108</v>
      </c>
      <c r="D10" s="2" t="s">
        <v>109</v>
      </c>
      <c r="E10" s="2" t="s">
        <v>103</v>
      </c>
      <c r="F10" s="2" t="s">
        <v>74</v>
      </c>
      <c r="G10" s="7">
        <v>50.316000000000003</v>
      </c>
      <c r="H10" s="4">
        <v>90.784300000000002</v>
      </c>
      <c r="I10" s="4">
        <v>194.749</v>
      </c>
      <c r="J10" s="4">
        <v>184.31</v>
      </c>
      <c r="K10" s="4">
        <v>150.32</v>
      </c>
      <c r="L10" s="4">
        <v>104.515</v>
      </c>
      <c r="M10" s="4">
        <v>155.083</v>
      </c>
    </row>
    <row r="11" spans="1:13" hidden="1" x14ac:dyDescent="0.3">
      <c r="A11" s="2" t="s">
        <v>6</v>
      </c>
      <c r="B11" s="2" t="s">
        <v>77</v>
      </c>
      <c r="C11" s="2" t="s">
        <v>108</v>
      </c>
      <c r="D11" s="2" t="s">
        <v>109</v>
      </c>
      <c r="E11" s="2" t="s">
        <v>103</v>
      </c>
      <c r="F11" s="2" t="s">
        <v>72</v>
      </c>
      <c r="G11" s="7">
        <v>50.316000000000003</v>
      </c>
      <c r="H11" s="12">
        <v>54.177199999999999</v>
      </c>
      <c r="I11" s="12">
        <v>72.674999999999997</v>
      </c>
      <c r="J11" s="12">
        <v>70.675700000000006</v>
      </c>
      <c r="K11" s="12">
        <v>65.865600000000001</v>
      </c>
      <c r="L11" s="12">
        <v>81.292199999999994</v>
      </c>
      <c r="M11" s="12">
        <v>90.0715</v>
      </c>
    </row>
    <row r="12" spans="1:13" x14ac:dyDescent="0.3">
      <c r="A12" s="3" t="s">
        <v>7</v>
      </c>
      <c r="B12" s="2" t="s">
        <v>83</v>
      </c>
      <c r="C12" s="2" t="s">
        <v>110</v>
      </c>
      <c r="D12" s="2" t="s">
        <v>111</v>
      </c>
      <c r="E12" s="2" t="s">
        <v>100</v>
      </c>
      <c r="F12" s="2" t="s">
        <v>74</v>
      </c>
      <c r="G12" s="7">
        <v>3.58853</v>
      </c>
      <c r="H12" s="12">
        <v>6.2296500000000004</v>
      </c>
      <c r="I12" s="12">
        <v>17.021100000000001</v>
      </c>
      <c r="J12" s="12">
        <v>17.720300000000002</v>
      </c>
      <c r="K12" s="12">
        <v>14.4376</v>
      </c>
      <c r="L12" s="12">
        <v>6.9508200000000002</v>
      </c>
      <c r="M12" s="12">
        <v>0</v>
      </c>
    </row>
    <row r="13" spans="1:13" x14ac:dyDescent="0.3">
      <c r="A13" s="3" t="s">
        <v>7</v>
      </c>
      <c r="B13" s="2" t="s">
        <v>85</v>
      </c>
      <c r="C13" s="2" t="s">
        <v>110</v>
      </c>
      <c r="D13" s="2" t="s">
        <v>111</v>
      </c>
      <c r="E13" s="2" t="s">
        <v>100</v>
      </c>
      <c r="F13" s="2" t="s">
        <v>74</v>
      </c>
      <c r="G13" s="7">
        <v>64.560599999999994</v>
      </c>
      <c r="H13" s="12">
        <v>130.41800000000001</v>
      </c>
      <c r="I13" s="12">
        <v>187.99299999999999</v>
      </c>
      <c r="J13" s="12">
        <v>230.828</v>
      </c>
      <c r="K13" s="12">
        <v>243.97200000000001</v>
      </c>
      <c r="L13" s="12">
        <v>278.214</v>
      </c>
      <c r="M13" s="12">
        <v>290.55700000000002</v>
      </c>
    </row>
    <row r="14" spans="1:13" x14ac:dyDescent="0.3">
      <c r="A14" s="3" t="s">
        <v>7</v>
      </c>
      <c r="B14" s="2" t="s">
        <v>86</v>
      </c>
      <c r="C14" s="2" t="s">
        <v>110</v>
      </c>
      <c r="D14" s="2" t="s">
        <v>111</v>
      </c>
      <c r="E14" s="2" t="s">
        <v>100</v>
      </c>
      <c r="F14" s="2" t="s">
        <v>74</v>
      </c>
      <c r="G14" s="7">
        <v>1.07346E-2</v>
      </c>
      <c r="H14" s="12">
        <v>0.15110100000000001</v>
      </c>
      <c r="I14" s="12">
        <v>0.30206699999999997</v>
      </c>
      <c r="J14" s="12">
        <v>0.20594499999999999</v>
      </c>
      <c r="K14" s="12">
        <v>8.07919E-2</v>
      </c>
      <c r="L14" s="12">
        <v>5.5419099999999999E-2</v>
      </c>
      <c r="M14" s="13">
        <v>7.5869000000000006E-2</v>
      </c>
    </row>
    <row r="15" spans="1:13" x14ac:dyDescent="0.3">
      <c r="A15" s="3" t="s">
        <v>7</v>
      </c>
      <c r="B15" s="2" t="s">
        <v>85</v>
      </c>
      <c r="C15" s="2" t="s">
        <v>110</v>
      </c>
      <c r="D15" s="2" t="s">
        <v>111</v>
      </c>
      <c r="E15" s="2" t="s">
        <v>100</v>
      </c>
      <c r="F15" s="2" t="s">
        <v>72</v>
      </c>
      <c r="G15" s="7">
        <v>64.560599999999994</v>
      </c>
      <c r="H15" s="12">
        <v>66.370099999999994</v>
      </c>
      <c r="I15" s="12">
        <v>73.937399999999997</v>
      </c>
      <c r="J15" s="12">
        <v>77.672799999999995</v>
      </c>
      <c r="K15" s="12">
        <v>105.309</v>
      </c>
      <c r="L15" s="12">
        <v>133.98699999999999</v>
      </c>
      <c r="M15" s="12">
        <v>145.613</v>
      </c>
    </row>
    <row r="16" spans="1:13" x14ac:dyDescent="0.3">
      <c r="A16" s="3" t="s">
        <v>7</v>
      </c>
      <c r="B16" s="2" t="s">
        <v>83</v>
      </c>
      <c r="C16" s="2" t="s">
        <v>110</v>
      </c>
      <c r="D16" s="2" t="s">
        <v>111</v>
      </c>
      <c r="E16" s="2" t="s">
        <v>100</v>
      </c>
      <c r="F16" s="2" t="s">
        <v>72</v>
      </c>
      <c r="G16" s="7">
        <v>3.58853</v>
      </c>
      <c r="H16" s="7">
        <v>3.0903999999999998</v>
      </c>
      <c r="I16" s="4">
        <v>5.45465</v>
      </c>
      <c r="J16" s="4">
        <v>6.1734099999999996</v>
      </c>
      <c r="K16" s="4">
        <v>4.7454299999999998</v>
      </c>
      <c r="L16" s="4">
        <v>2.2589100000000002</v>
      </c>
      <c r="M16" s="4">
        <v>0</v>
      </c>
    </row>
    <row r="17" spans="1:13" x14ac:dyDescent="0.3">
      <c r="A17" s="3" t="s">
        <v>7</v>
      </c>
      <c r="B17" s="2" t="s">
        <v>86</v>
      </c>
      <c r="C17" s="2" t="s">
        <v>110</v>
      </c>
      <c r="D17" s="2" t="s">
        <v>111</v>
      </c>
      <c r="E17" s="2" t="s">
        <v>100</v>
      </c>
      <c r="F17" s="2" t="s">
        <v>72</v>
      </c>
      <c r="G17" s="7">
        <v>1.07346E-2</v>
      </c>
      <c r="H17" s="7">
        <v>1.0315700000000001E-2</v>
      </c>
      <c r="I17" s="4">
        <v>1.39028E-2</v>
      </c>
      <c r="J17" s="4">
        <v>7.3681199999999997E-3</v>
      </c>
      <c r="K17" s="4">
        <v>3.2998300000000001E-3</v>
      </c>
      <c r="L17" s="4">
        <v>3.56164E-3</v>
      </c>
      <c r="M17" s="4">
        <v>4.9536600000000004E-3</v>
      </c>
    </row>
    <row r="18" spans="1:13" x14ac:dyDescent="0.3">
      <c r="A18" s="3" t="s">
        <v>8</v>
      </c>
      <c r="B18" s="3" t="s">
        <v>83</v>
      </c>
      <c r="C18" s="2" t="s">
        <v>112</v>
      </c>
      <c r="D18" s="2" t="s">
        <v>113</v>
      </c>
      <c r="E18" s="2" t="s">
        <v>100</v>
      </c>
      <c r="F18" s="2" t="s">
        <v>74</v>
      </c>
      <c r="G18" s="7">
        <v>20.4468</v>
      </c>
      <c r="H18" s="7">
        <v>77.495000000000005</v>
      </c>
      <c r="I18" s="4">
        <v>258.15100000000001</v>
      </c>
      <c r="J18" s="4">
        <v>440.85899999999998</v>
      </c>
      <c r="K18" s="4">
        <v>685.31600000000003</v>
      </c>
      <c r="L18" s="4">
        <v>733.83</v>
      </c>
      <c r="M18" s="4">
        <v>665.15700000000004</v>
      </c>
    </row>
    <row r="19" spans="1:13" x14ac:dyDescent="0.3">
      <c r="A19" s="3" t="s">
        <v>8</v>
      </c>
      <c r="B19" s="3" t="s">
        <v>70</v>
      </c>
      <c r="C19" s="2" t="s">
        <v>112</v>
      </c>
      <c r="D19" s="2" t="s">
        <v>113</v>
      </c>
      <c r="E19" s="2" t="s">
        <v>100</v>
      </c>
      <c r="F19" s="2" t="s">
        <v>74</v>
      </c>
      <c r="G19" s="7">
        <v>4181.6099999999997</v>
      </c>
      <c r="H19" s="7">
        <v>5024.26</v>
      </c>
      <c r="I19" s="4">
        <v>8923.6</v>
      </c>
      <c r="J19" s="4">
        <v>11444.5</v>
      </c>
      <c r="K19" s="4">
        <v>12574.4</v>
      </c>
      <c r="L19" s="4">
        <v>11756.9</v>
      </c>
      <c r="M19" s="4">
        <v>9777.84</v>
      </c>
    </row>
    <row r="20" spans="1:13" x14ac:dyDescent="0.3">
      <c r="A20" s="3" t="s">
        <v>8</v>
      </c>
      <c r="B20" s="3" t="s">
        <v>85</v>
      </c>
      <c r="C20" s="2" t="s">
        <v>112</v>
      </c>
      <c r="D20" s="2" t="s">
        <v>113</v>
      </c>
      <c r="E20" s="2" t="s">
        <v>100</v>
      </c>
      <c r="F20" s="2" t="s">
        <v>74</v>
      </c>
      <c r="G20" s="7">
        <v>373.33100000000002</v>
      </c>
      <c r="H20" s="7">
        <v>1152.05</v>
      </c>
      <c r="I20" s="4">
        <v>2703.91</v>
      </c>
      <c r="J20" s="4">
        <v>3799.47</v>
      </c>
      <c r="K20" s="4">
        <v>3883.62</v>
      </c>
      <c r="L20" s="4">
        <v>3897.36</v>
      </c>
      <c r="M20" s="4">
        <v>3582.92</v>
      </c>
    </row>
    <row r="21" spans="1:13" x14ac:dyDescent="0.3">
      <c r="A21" s="3" t="s">
        <v>8</v>
      </c>
      <c r="B21" s="3" t="s">
        <v>75</v>
      </c>
      <c r="C21" s="2" t="s">
        <v>112</v>
      </c>
      <c r="D21" s="2" t="s">
        <v>113</v>
      </c>
      <c r="E21" s="2" t="s">
        <v>100</v>
      </c>
      <c r="F21" s="2" t="s">
        <v>74</v>
      </c>
      <c r="G21" s="7">
        <v>681.64499999999998</v>
      </c>
      <c r="H21" s="7">
        <v>1258.76</v>
      </c>
      <c r="I21" s="4">
        <v>1990.3</v>
      </c>
      <c r="J21" s="4">
        <v>2062.5</v>
      </c>
      <c r="K21" s="4">
        <v>2026.35</v>
      </c>
      <c r="L21" s="4">
        <v>1673.7</v>
      </c>
      <c r="M21" s="4">
        <v>1879.78</v>
      </c>
    </row>
    <row r="22" spans="1:13" x14ac:dyDescent="0.3">
      <c r="A22" s="3" t="s">
        <v>8</v>
      </c>
      <c r="B22" s="3" t="s">
        <v>77</v>
      </c>
      <c r="C22" s="2" t="s">
        <v>112</v>
      </c>
      <c r="D22" s="2" t="s">
        <v>113</v>
      </c>
      <c r="E22" s="2" t="s">
        <v>100</v>
      </c>
      <c r="F22" s="2" t="s">
        <v>74</v>
      </c>
      <c r="G22" s="7">
        <v>393.79199999999997</v>
      </c>
      <c r="H22" s="7">
        <v>704.90800000000002</v>
      </c>
      <c r="I22" s="4">
        <v>1630.04</v>
      </c>
      <c r="J22" s="4">
        <v>1542.65</v>
      </c>
      <c r="K22" s="4">
        <v>1327.88</v>
      </c>
      <c r="L22" s="4">
        <v>881.42200000000003</v>
      </c>
      <c r="M22" s="4">
        <v>1303.25</v>
      </c>
    </row>
    <row r="23" spans="1:13" x14ac:dyDescent="0.3">
      <c r="A23" s="3" t="s">
        <v>8</v>
      </c>
      <c r="B23" s="3" t="s">
        <v>75</v>
      </c>
      <c r="C23" s="2" t="s">
        <v>112</v>
      </c>
      <c r="D23" s="2" t="s">
        <v>113</v>
      </c>
      <c r="E23" s="2" t="s">
        <v>100</v>
      </c>
      <c r="F23" s="2" t="s">
        <v>72</v>
      </c>
      <c r="G23" s="7">
        <v>681.64499999999998</v>
      </c>
      <c r="H23" s="7">
        <v>778.95399999999995</v>
      </c>
      <c r="I23" s="4">
        <v>907.25199999999995</v>
      </c>
      <c r="J23" s="4">
        <v>924.8</v>
      </c>
      <c r="K23" s="4">
        <v>958.76599999999996</v>
      </c>
      <c r="L23" s="4">
        <v>1122.06</v>
      </c>
      <c r="M23" s="4">
        <v>1261.6600000000001</v>
      </c>
    </row>
    <row r="24" spans="1:13" x14ac:dyDescent="0.3">
      <c r="A24" s="3" t="s">
        <v>8</v>
      </c>
      <c r="B24" s="3" t="s">
        <v>77</v>
      </c>
      <c r="C24" s="2" t="s">
        <v>112</v>
      </c>
      <c r="D24" s="2" t="s">
        <v>113</v>
      </c>
      <c r="E24" s="2" t="s">
        <v>100</v>
      </c>
      <c r="F24" s="2" t="s">
        <v>72</v>
      </c>
      <c r="G24" s="7">
        <v>393.79199999999997</v>
      </c>
      <c r="H24" s="7">
        <v>427.76499999999999</v>
      </c>
      <c r="I24" s="4">
        <v>646.33299999999997</v>
      </c>
      <c r="J24" s="4">
        <v>595.255</v>
      </c>
      <c r="K24" s="4">
        <v>532.29</v>
      </c>
      <c r="L24" s="4">
        <v>639.00599999999997</v>
      </c>
      <c r="M24" s="4">
        <v>720.63400000000001</v>
      </c>
    </row>
    <row r="25" spans="1:13" x14ac:dyDescent="0.3">
      <c r="A25" s="3" t="s">
        <v>8</v>
      </c>
      <c r="B25" s="3" t="s">
        <v>85</v>
      </c>
      <c r="C25" s="2" t="s">
        <v>112</v>
      </c>
      <c r="D25" s="2" t="s">
        <v>113</v>
      </c>
      <c r="E25" s="2" t="s">
        <v>100</v>
      </c>
      <c r="F25" s="2" t="s">
        <v>72</v>
      </c>
      <c r="G25" s="7">
        <v>373.33100000000002</v>
      </c>
      <c r="H25" s="7">
        <v>579.78499999999997</v>
      </c>
      <c r="I25" s="4">
        <v>1044.1400000000001</v>
      </c>
      <c r="J25" s="4">
        <v>1219.21</v>
      </c>
      <c r="K25" s="4">
        <v>1421.16</v>
      </c>
      <c r="L25" s="4">
        <v>1457.66</v>
      </c>
      <c r="M25" s="4">
        <v>1345.87</v>
      </c>
    </row>
    <row r="26" spans="1:13" x14ac:dyDescent="0.3">
      <c r="A26" s="3" t="s">
        <v>8</v>
      </c>
      <c r="B26" s="3" t="s">
        <v>83</v>
      </c>
      <c r="C26" s="2" t="s">
        <v>112</v>
      </c>
      <c r="D26" s="2" t="s">
        <v>113</v>
      </c>
      <c r="E26" s="2" t="s">
        <v>100</v>
      </c>
      <c r="F26" s="2" t="s">
        <v>72</v>
      </c>
      <c r="G26" s="7">
        <v>20.4468</v>
      </c>
      <c r="H26" s="7">
        <v>38.4437</v>
      </c>
      <c r="I26" s="4">
        <v>82.727900000000005</v>
      </c>
      <c r="J26" s="4">
        <v>153.58699999999999</v>
      </c>
      <c r="K26" s="4">
        <v>225.25299999999999</v>
      </c>
      <c r="L26" s="4">
        <v>238.48400000000001</v>
      </c>
      <c r="M26" s="4">
        <v>219.72399999999999</v>
      </c>
    </row>
    <row r="27" spans="1:13" x14ac:dyDescent="0.3">
      <c r="A27" s="3" t="s">
        <v>8</v>
      </c>
      <c r="B27" s="3" t="s">
        <v>70</v>
      </c>
      <c r="C27" s="2" t="s">
        <v>112</v>
      </c>
      <c r="D27" s="2" t="s">
        <v>113</v>
      </c>
      <c r="E27" s="2" t="s">
        <v>100</v>
      </c>
      <c r="F27" s="2" t="s">
        <v>72</v>
      </c>
      <c r="G27" s="7">
        <v>4181.6099999999997</v>
      </c>
      <c r="H27" s="4">
        <v>4578.91</v>
      </c>
      <c r="I27" s="4">
        <v>6510.25</v>
      </c>
      <c r="J27" s="4">
        <v>6510.83</v>
      </c>
      <c r="K27" s="4">
        <v>6582.4</v>
      </c>
      <c r="L27" s="4">
        <v>7113.43</v>
      </c>
      <c r="M27" s="4">
        <v>6982.32</v>
      </c>
    </row>
    <row r="28" spans="1:13" hidden="1" x14ac:dyDescent="0.3">
      <c r="A28" s="3" t="s">
        <v>9</v>
      </c>
      <c r="B28" s="3" t="s">
        <v>85</v>
      </c>
      <c r="C28" s="2" t="s">
        <v>114</v>
      </c>
      <c r="D28" s="2" t="s">
        <v>115</v>
      </c>
      <c r="E28" s="2" t="s">
        <v>103</v>
      </c>
      <c r="F28" s="2" t="s">
        <v>74</v>
      </c>
      <c r="G28" s="4">
        <v>0.41256700000000002</v>
      </c>
      <c r="H28" s="4">
        <v>1.3304400000000001</v>
      </c>
      <c r="I28" s="4">
        <v>2.6114700000000002</v>
      </c>
      <c r="J28" s="4">
        <v>3.4509599999999998</v>
      </c>
      <c r="K28" s="4">
        <v>3.3506</v>
      </c>
      <c r="L28" s="4">
        <v>3.6247600000000002</v>
      </c>
      <c r="M28" s="4">
        <v>3.7072600000000002</v>
      </c>
    </row>
    <row r="29" spans="1:13" hidden="1" x14ac:dyDescent="0.3">
      <c r="A29" s="3" t="s">
        <v>9</v>
      </c>
      <c r="B29" s="3" t="s">
        <v>77</v>
      </c>
      <c r="C29" s="2" t="s">
        <v>114</v>
      </c>
      <c r="D29" s="2" t="s">
        <v>115</v>
      </c>
      <c r="E29" s="2" t="s">
        <v>103</v>
      </c>
      <c r="F29" s="2" t="s">
        <v>74</v>
      </c>
      <c r="G29" s="4">
        <v>0.62806300000000004</v>
      </c>
      <c r="H29" s="4">
        <v>1.1049100000000001</v>
      </c>
      <c r="I29" s="4">
        <v>2.5857100000000002</v>
      </c>
      <c r="J29" s="4">
        <v>2.44984</v>
      </c>
      <c r="K29" s="4">
        <v>2.1268899999999999</v>
      </c>
      <c r="L29" s="4">
        <v>1.4032199999999999</v>
      </c>
      <c r="M29" s="4">
        <v>2.0714899999999998</v>
      </c>
    </row>
    <row r="30" spans="1:13" hidden="1" x14ac:dyDescent="0.3">
      <c r="A30" s="3" t="s">
        <v>9</v>
      </c>
      <c r="B30" s="3" t="s">
        <v>77</v>
      </c>
      <c r="C30" s="2" t="s">
        <v>114</v>
      </c>
      <c r="D30" s="2" t="s">
        <v>115</v>
      </c>
      <c r="E30" s="2" t="s">
        <v>103</v>
      </c>
      <c r="F30" s="2" t="s">
        <v>72</v>
      </c>
      <c r="G30" s="4">
        <v>0.62806300000000004</v>
      </c>
      <c r="H30" s="4">
        <v>0.67679999999999996</v>
      </c>
      <c r="I30" s="4">
        <v>1.06196</v>
      </c>
      <c r="J30" s="4">
        <v>0.96148400000000001</v>
      </c>
      <c r="K30" s="4">
        <v>0.85091700000000003</v>
      </c>
      <c r="L30" s="4">
        <v>1.03322</v>
      </c>
      <c r="M30" s="4">
        <v>1.1855</v>
      </c>
    </row>
    <row r="31" spans="1:13" hidden="1" x14ac:dyDescent="0.3">
      <c r="A31" s="3" t="s">
        <v>9</v>
      </c>
      <c r="B31" s="3" t="s">
        <v>85</v>
      </c>
      <c r="C31" s="2" t="s">
        <v>114</v>
      </c>
      <c r="D31" s="2" t="s">
        <v>115</v>
      </c>
      <c r="E31" s="2" t="s">
        <v>103</v>
      </c>
      <c r="F31" s="2" t="s">
        <v>72</v>
      </c>
      <c r="G31" s="4">
        <v>0.41256700000000002</v>
      </c>
      <c r="H31" s="4">
        <v>0.74146599999999996</v>
      </c>
      <c r="I31" s="4">
        <v>1.20638</v>
      </c>
      <c r="J31" s="4">
        <v>1.47787</v>
      </c>
      <c r="K31" s="4">
        <v>1.8398399999999999</v>
      </c>
      <c r="L31" s="4">
        <v>2.12784</v>
      </c>
      <c r="M31" s="4">
        <v>2.2348499999999998</v>
      </c>
    </row>
    <row r="32" spans="1:13" s="44" customFormat="1" hidden="1" x14ac:dyDescent="0.3">
      <c r="A32" s="45" t="s">
        <v>11</v>
      </c>
      <c r="B32" s="45" t="s">
        <v>85</v>
      </c>
      <c r="C32" s="46" t="s">
        <v>116</v>
      </c>
      <c r="D32" s="46" t="s">
        <v>117</v>
      </c>
      <c r="E32" s="46" t="s">
        <v>103</v>
      </c>
      <c r="F32" s="46" t="s">
        <v>74</v>
      </c>
      <c r="G32" s="47">
        <v>37.684800000000003</v>
      </c>
      <c r="H32" s="48">
        <v>56.451500000000003</v>
      </c>
      <c r="I32" s="48">
        <v>188.96600000000001</v>
      </c>
      <c r="J32" s="48">
        <v>408.1925</v>
      </c>
      <c r="K32" s="48">
        <v>563.06500000000005</v>
      </c>
      <c r="L32" s="48">
        <v>783.06</v>
      </c>
      <c r="M32" s="48">
        <v>963.36500000000001</v>
      </c>
    </row>
    <row r="33" spans="1:13" s="44" customFormat="1" hidden="1" x14ac:dyDescent="0.3">
      <c r="A33" s="45" t="s">
        <v>11</v>
      </c>
      <c r="B33" s="45" t="s">
        <v>77</v>
      </c>
      <c r="C33" s="46" t="s">
        <v>116</v>
      </c>
      <c r="D33" s="46" t="s">
        <v>117</v>
      </c>
      <c r="E33" s="46" t="s">
        <v>103</v>
      </c>
      <c r="F33" s="46" t="s">
        <v>74</v>
      </c>
      <c r="G33" s="47">
        <v>79.9953</v>
      </c>
      <c r="H33" s="48">
        <v>144.40199999999999</v>
      </c>
      <c r="I33" s="48">
        <v>307.75</v>
      </c>
      <c r="J33" s="48">
        <v>289.84500000000003</v>
      </c>
      <c r="K33" s="48">
        <v>234.41399999999999</v>
      </c>
      <c r="L33" s="48">
        <v>163.25200000000001</v>
      </c>
      <c r="M33" s="48">
        <v>241.88900000000001</v>
      </c>
    </row>
    <row r="34" spans="1:13" s="44" customFormat="1" hidden="1" x14ac:dyDescent="0.3">
      <c r="A34" s="45" t="s">
        <v>11</v>
      </c>
      <c r="B34" s="45" t="s">
        <v>77</v>
      </c>
      <c r="C34" s="46" t="s">
        <v>116</v>
      </c>
      <c r="D34" s="46" t="s">
        <v>117</v>
      </c>
      <c r="E34" s="46" t="s">
        <v>103</v>
      </c>
      <c r="F34" s="46" t="s">
        <v>72</v>
      </c>
      <c r="G34" s="47">
        <v>79.9953</v>
      </c>
      <c r="H34" s="48">
        <v>86.051400000000001</v>
      </c>
      <c r="I34" s="48">
        <v>114.161</v>
      </c>
      <c r="J34" s="48">
        <v>111.021</v>
      </c>
      <c r="K34" s="48">
        <v>103.289</v>
      </c>
      <c r="L34" s="48">
        <v>127.459</v>
      </c>
      <c r="M34" s="48">
        <v>140.78700000000001</v>
      </c>
    </row>
    <row r="35" spans="1:13" s="44" customFormat="1" hidden="1" x14ac:dyDescent="0.3">
      <c r="A35" s="45" t="s">
        <v>11</v>
      </c>
      <c r="B35" s="45" t="s">
        <v>85</v>
      </c>
      <c r="C35" s="46" t="s">
        <v>116</v>
      </c>
      <c r="D35" s="46" t="s">
        <v>117</v>
      </c>
      <c r="E35" s="46" t="s">
        <v>103</v>
      </c>
      <c r="F35" s="46" t="s">
        <v>72</v>
      </c>
      <c r="G35" s="47">
        <v>37.684800000000003</v>
      </c>
      <c r="H35" s="48">
        <v>28.94595</v>
      </c>
      <c r="I35" s="48">
        <v>76.1785</v>
      </c>
      <c r="J35" s="48">
        <v>149.029</v>
      </c>
      <c r="K35" s="48">
        <v>260.7355</v>
      </c>
      <c r="L35" s="48">
        <v>400.78949999999998</v>
      </c>
      <c r="M35" s="48">
        <v>496.97199999999998</v>
      </c>
    </row>
    <row r="36" spans="1:13" s="44" customFormat="1" hidden="1" x14ac:dyDescent="0.3">
      <c r="A36" s="45" t="s">
        <v>13</v>
      </c>
      <c r="B36" s="45" t="s">
        <v>75</v>
      </c>
      <c r="C36" s="46" t="s">
        <v>118</v>
      </c>
      <c r="D36" s="46" t="s">
        <v>119</v>
      </c>
      <c r="E36" s="46" t="s">
        <v>103</v>
      </c>
      <c r="F36" s="46" t="s">
        <v>74</v>
      </c>
      <c r="G36" s="47">
        <v>0.25209999999999999</v>
      </c>
      <c r="H36" s="48">
        <v>0.48078700000000002</v>
      </c>
      <c r="I36" s="48">
        <v>0.78315699999999999</v>
      </c>
      <c r="J36" s="48">
        <v>0.80165500000000001</v>
      </c>
      <c r="K36" s="48">
        <v>0.78648300000000004</v>
      </c>
      <c r="L36" s="48">
        <v>0.63642500000000002</v>
      </c>
      <c r="M36" s="48">
        <v>0.70857000000000003</v>
      </c>
    </row>
    <row r="37" spans="1:13" s="44" customFormat="1" hidden="1" x14ac:dyDescent="0.3">
      <c r="A37" s="45" t="s">
        <v>13</v>
      </c>
      <c r="B37" s="45" t="s">
        <v>77</v>
      </c>
      <c r="C37" s="46" t="s">
        <v>118</v>
      </c>
      <c r="D37" s="46" t="s">
        <v>119</v>
      </c>
      <c r="E37" s="46" t="s">
        <v>103</v>
      </c>
      <c r="F37" s="46" t="s">
        <v>74</v>
      </c>
      <c r="G37" s="47">
        <v>36.5381</v>
      </c>
      <c r="H37" s="48">
        <v>66.064899999999994</v>
      </c>
      <c r="I37" s="48">
        <v>137.63300000000001</v>
      </c>
      <c r="J37" s="48">
        <v>128.91200000000001</v>
      </c>
      <c r="K37" s="48">
        <v>101.849</v>
      </c>
      <c r="L37" s="48">
        <v>71.034800000000004</v>
      </c>
      <c r="M37" s="48">
        <v>103.887</v>
      </c>
    </row>
    <row r="38" spans="1:13" s="44" customFormat="1" hidden="1" x14ac:dyDescent="0.3">
      <c r="A38" s="45" t="s">
        <v>13</v>
      </c>
      <c r="B38" s="45" t="s">
        <v>75</v>
      </c>
      <c r="C38" s="46" t="s">
        <v>118</v>
      </c>
      <c r="D38" s="46" t="s">
        <v>119</v>
      </c>
      <c r="E38" s="46" t="s">
        <v>103</v>
      </c>
      <c r="F38" s="46" t="s">
        <v>72</v>
      </c>
      <c r="G38" s="47">
        <v>0.25209999999999999</v>
      </c>
      <c r="H38" s="48">
        <v>0.28875200000000001</v>
      </c>
      <c r="I38" s="48">
        <v>0.34216099999999999</v>
      </c>
      <c r="J38" s="48">
        <v>0.34743000000000002</v>
      </c>
      <c r="K38" s="48">
        <v>0.36375299999999999</v>
      </c>
      <c r="L38" s="48">
        <v>0.41937099999999999</v>
      </c>
      <c r="M38" s="48">
        <v>0.47185500000000002</v>
      </c>
    </row>
    <row r="39" spans="1:13" s="44" customFormat="1" hidden="1" x14ac:dyDescent="0.3">
      <c r="A39" s="45" t="s">
        <v>13</v>
      </c>
      <c r="B39" s="45" t="s">
        <v>77</v>
      </c>
      <c r="C39" s="46" t="s">
        <v>118</v>
      </c>
      <c r="D39" s="46" t="s">
        <v>119</v>
      </c>
      <c r="E39" s="46" t="s">
        <v>103</v>
      </c>
      <c r="F39" s="46" t="s">
        <v>72</v>
      </c>
      <c r="G39" s="47">
        <v>36.5381</v>
      </c>
      <c r="H39" s="48">
        <v>39.186799999999998</v>
      </c>
      <c r="I39" s="48">
        <v>49.976599999999998</v>
      </c>
      <c r="J39" s="48">
        <v>49.156999999999996</v>
      </c>
      <c r="K39" s="48">
        <v>46.0379</v>
      </c>
      <c r="L39" s="48">
        <v>56.488999999999997</v>
      </c>
      <c r="M39" s="48">
        <v>61.148899999999998</v>
      </c>
    </row>
    <row r="40" spans="1:13" hidden="1" x14ac:dyDescent="0.3">
      <c r="A40" s="3" t="s">
        <v>10</v>
      </c>
      <c r="B40" s="3" t="s">
        <v>75</v>
      </c>
      <c r="C40" s="2" t="s">
        <v>120</v>
      </c>
      <c r="D40" s="2" t="s">
        <v>121</v>
      </c>
      <c r="E40" s="2" t="s">
        <v>103</v>
      </c>
      <c r="F40" s="2" t="s">
        <v>74</v>
      </c>
      <c r="G40" s="7">
        <v>8.6854800000000006E-3</v>
      </c>
      <c r="H40" s="4">
        <v>1.6431100000000001E-2</v>
      </c>
      <c r="I40" s="4">
        <v>0.19705300000000001</v>
      </c>
      <c r="J40" s="4">
        <v>1.0224500000000001</v>
      </c>
      <c r="K40" s="4">
        <v>5.5312299999999999</v>
      </c>
      <c r="L40" s="4">
        <v>4.4885900000000003</v>
      </c>
      <c r="M40" s="4">
        <v>5.0156299999999998</v>
      </c>
    </row>
    <row r="41" spans="1:13" hidden="1" x14ac:dyDescent="0.3">
      <c r="A41" s="3" t="s">
        <v>10</v>
      </c>
      <c r="B41" s="3" t="s">
        <v>75</v>
      </c>
      <c r="C41" s="2" t="s">
        <v>120</v>
      </c>
      <c r="D41" s="2" t="s">
        <v>121</v>
      </c>
      <c r="E41" s="2" t="s">
        <v>103</v>
      </c>
      <c r="F41" s="2" t="s">
        <v>72</v>
      </c>
      <c r="G41" s="7">
        <v>8.6854800000000006E-3</v>
      </c>
      <c r="H41" s="4">
        <v>1.03628E-2</v>
      </c>
      <c r="I41" s="4">
        <v>8.7645399999999998E-2</v>
      </c>
      <c r="J41" s="4">
        <v>0.44446000000000002</v>
      </c>
      <c r="K41" s="4">
        <v>2.5579399999999999</v>
      </c>
      <c r="L41" s="4">
        <v>2.9581400000000002</v>
      </c>
      <c r="M41" s="4">
        <v>3.3420899999999998</v>
      </c>
    </row>
    <row r="42" spans="1:13" hidden="1" x14ac:dyDescent="0.3">
      <c r="A42" s="3" t="s">
        <v>14</v>
      </c>
      <c r="B42" s="3" t="s">
        <v>83</v>
      </c>
      <c r="C42" s="2" t="s">
        <v>122</v>
      </c>
      <c r="D42" s="2" t="s">
        <v>123</v>
      </c>
      <c r="E42" s="2" t="s">
        <v>124</v>
      </c>
      <c r="F42" s="2" t="s">
        <v>74</v>
      </c>
      <c r="G42" s="7">
        <v>29.8398</v>
      </c>
      <c r="H42" s="4">
        <v>104.279</v>
      </c>
      <c r="I42" s="4">
        <v>334.95499999999998</v>
      </c>
      <c r="J42" s="4">
        <v>548.09799999999996</v>
      </c>
      <c r="K42" s="4">
        <v>812.99699999999996</v>
      </c>
      <c r="L42" s="4">
        <v>838.38099999999997</v>
      </c>
      <c r="M42" s="4">
        <v>742.13300000000004</v>
      </c>
    </row>
    <row r="43" spans="1:13" hidden="1" x14ac:dyDescent="0.3">
      <c r="A43" s="3" t="s">
        <v>14</v>
      </c>
      <c r="B43" s="3" t="s">
        <v>85</v>
      </c>
      <c r="C43" s="2" t="s">
        <v>122</v>
      </c>
      <c r="D43" s="2" t="s">
        <v>123</v>
      </c>
      <c r="E43" s="2" t="s">
        <v>124</v>
      </c>
      <c r="F43" s="2" t="s">
        <v>74</v>
      </c>
      <c r="G43" s="7">
        <v>557.20100000000002</v>
      </c>
      <c r="H43" s="4">
        <v>1844.36</v>
      </c>
      <c r="I43" s="4">
        <v>4114.97</v>
      </c>
      <c r="J43" s="4">
        <v>5486.07</v>
      </c>
      <c r="K43" s="4">
        <v>4540.3999999999996</v>
      </c>
      <c r="L43" s="4">
        <v>3786.42</v>
      </c>
      <c r="M43" s="4">
        <v>2726.08</v>
      </c>
    </row>
    <row r="44" spans="1:13" hidden="1" x14ac:dyDescent="0.3">
      <c r="A44" s="3" t="s">
        <v>14</v>
      </c>
      <c r="B44" s="3" t="s">
        <v>85</v>
      </c>
      <c r="C44" s="2" t="s">
        <v>122</v>
      </c>
      <c r="D44" s="2" t="s">
        <v>123</v>
      </c>
      <c r="E44" s="2" t="s">
        <v>124</v>
      </c>
      <c r="F44" s="2" t="s">
        <v>72</v>
      </c>
      <c r="G44" s="7">
        <v>557.20100000000002</v>
      </c>
      <c r="H44" s="4">
        <v>935.66700000000003</v>
      </c>
      <c r="I44" s="4">
        <v>1590.25</v>
      </c>
      <c r="J44" s="4">
        <v>1781.78</v>
      </c>
      <c r="K44" s="4">
        <v>1690.57</v>
      </c>
      <c r="L44" s="4">
        <v>1491.75</v>
      </c>
      <c r="M44" s="4">
        <v>1077.4000000000001</v>
      </c>
    </row>
    <row r="45" spans="1:13" hidden="1" x14ac:dyDescent="0.3">
      <c r="A45" s="3" t="s">
        <v>14</v>
      </c>
      <c r="B45" s="3" t="s">
        <v>83</v>
      </c>
      <c r="C45" s="2" t="s">
        <v>122</v>
      </c>
      <c r="D45" s="2" t="s">
        <v>123</v>
      </c>
      <c r="E45" s="2" t="s">
        <v>124</v>
      </c>
      <c r="F45" s="2" t="s">
        <v>72</v>
      </c>
      <c r="G45" s="7">
        <v>29.8398</v>
      </c>
      <c r="H45" s="4">
        <v>51.730899999999998</v>
      </c>
      <c r="I45" s="4">
        <v>107.34099999999999</v>
      </c>
      <c r="J45" s="4">
        <v>190.947</v>
      </c>
      <c r="K45" s="4">
        <v>267.22000000000003</v>
      </c>
      <c r="L45" s="4">
        <v>272.46100000000001</v>
      </c>
      <c r="M45" s="4">
        <v>245.15199999999999</v>
      </c>
    </row>
    <row r="46" spans="1:13" hidden="1" x14ac:dyDescent="0.3">
      <c r="A46" s="3" t="s">
        <v>15</v>
      </c>
      <c r="B46" s="3" t="s">
        <v>75</v>
      </c>
      <c r="C46" s="2" t="s">
        <v>125</v>
      </c>
      <c r="D46" s="2" t="s">
        <v>126</v>
      </c>
      <c r="E46" s="2" t="s">
        <v>103</v>
      </c>
      <c r="F46" s="2" t="s">
        <v>74</v>
      </c>
      <c r="G46" s="7">
        <v>3.2570599999999998E-2</v>
      </c>
      <c r="H46" s="4">
        <v>6.2330200000000002E-2</v>
      </c>
      <c r="I46" s="4">
        <v>9.1648400000000005E-2</v>
      </c>
      <c r="J46" s="4">
        <v>0.10294200000000001</v>
      </c>
      <c r="K46" s="4">
        <v>0.154943</v>
      </c>
      <c r="L46" s="4">
        <v>0.113717</v>
      </c>
      <c r="M46" s="4">
        <v>0.114121</v>
      </c>
    </row>
    <row r="47" spans="1:13" hidden="1" x14ac:dyDescent="0.3">
      <c r="A47" s="3" t="s">
        <v>15</v>
      </c>
      <c r="B47" s="3" t="s">
        <v>75</v>
      </c>
      <c r="C47" s="2" t="s">
        <v>125</v>
      </c>
      <c r="D47" s="2" t="s">
        <v>126</v>
      </c>
      <c r="E47" s="2" t="s">
        <v>103</v>
      </c>
      <c r="F47" s="2" t="s">
        <v>72</v>
      </c>
      <c r="G47" s="7">
        <v>3.2570599999999998E-2</v>
      </c>
      <c r="H47" s="4">
        <v>3.75406E-2</v>
      </c>
      <c r="I47" s="4">
        <v>4.0462199999999997E-2</v>
      </c>
      <c r="J47" s="4">
        <v>4.5377800000000003E-2</v>
      </c>
      <c r="K47" s="4">
        <v>7.2903899999999994E-2</v>
      </c>
      <c r="L47" s="4">
        <v>7.8432399999999999E-2</v>
      </c>
      <c r="M47" s="4">
        <v>8.1339099999999998E-2</v>
      </c>
    </row>
    <row r="48" spans="1:13" hidden="1" x14ac:dyDescent="0.3">
      <c r="A48" s="3" t="s">
        <v>16</v>
      </c>
      <c r="B48" s="3" t="s">
        <v>86</v>
      </c>
      <c r="C48" s="2" t="s">
        <v>127</v>
      </c>
      <c r="D48" s="2" t="s">
        <v>128</v>
      </c>
      <c r="E48" s="2" t="s">
        <v>129</v>
      </c>
      <c r="F48" s="2" t="s">
        <v>74</v>
      </c>
      <c r="G48" s="4">
        <v>3.1381200000000001E-4</v>
      </c>
      <c r="H48" s="8">
        <v>4.1357599999999996E-3</v>
      </c>
      <c r="I48" s="8">
        <v>4.9337399999999998E-3</v>
      </c>
      <c r="J48" s="8">
        <v>5.36368E-3</v>
      </c>
      <c r="K48" s="8">
        <v>4.0745499999999997E-3</v>
      </c>
      <c r="L48" s="8">
        <v>2.3997100000000002E-3</v>
      </c>
      <c r="M48" s="8">
        <v>2.2614000000000002E-3</v>
      </c>
    </row>
    <row r="49" spans="1:13" hidden="1" x14ac:dyDescent="0.3">
      <c r="A49" s="3" t="s">
        <v>16</v>
      </c>
      <c r="B49" s="3" t="s">
        <v>86</v>
      </c>
      <c r="C49" s="2" t="s">
        <v>127</v>
      </c>
      <c r="D49" s="2" t="s">
        <v>128</v>
      </c>
      <c r="E49" s="2" t="s">
        <v>129</v>
      </c>
      <c r="F49" s="2" t="s">
        <v>72</v>
      </c>
      <c r="G49" s="4">
        <v>3.1381200000000001E-4</v>
      </c>
      <c r="H49" s="4">
        <v>2.8234899999999999E-4</v>
      </c>
      <c r="I49" s="4">
        <v>2.27078E-4</v>
      </c>
      <c r="J49" s="4">
        <v>1.9189700000000001E-4</v>
      </c>
      <c r="K49" s="4">
        <v>1.6641900000000001E-4</v>
      </c>
      <c r="L49" s="4">
        <v>1.5422299999999999E-4</v>
      </c>
      <c r="M49" s="4">
        <v>1.4765199999999999E-4</v>
      </c>
    </row>
    <row r="50" spans="1:13" hidden="1" x14ac:dyDescent="0.3">
      <c r="A50" s="3" t="s">
        <v>17</v>
      </c>
      <c r="B50" s="3" t="s">
        <v>75</v>
      </c>
      <c r="C50" s="2" t="s">
        <v>130</v>
      </c>
      <c r="D50" s="2" t="s">
        <v>131</v>
      </c>
      <c r="E50" s="2" t="s">
        <v>103</v>
      </c>
      <c r="F50" s="2" t="s">
        <v>74</v>
      </c>
      <c r="G50" s="4">
        <v>1.16354</v>
      </c>
      <c r="H50" s="4">
        <v>2.2190099999999999</v>
      </c>
      <c r="I50" s="4">
        <v>3.6145700000000001</v>
      </c>
      <c r="J50" s="4">
        <v>3.6999499999999999</v>
      </c>
      <c r="K50" s="4">
        <v>3.6299199999999998</v>
      </c>
      <c r="L50" s="4">
        <v>2.94998</v>
      </c>
      <c r="M50" s="4">
        <v>3.2981199999999999</v>
      </c>
    </row>
    <row r="51" spans="1:13" hidden="1" x14ac:dyDescent="0.3">
      <c r="A51" s="3" t="s">
        <v>17</v>
      </c>
      <c r="B51" s="3" t="s">
        <v>75</v>
      </c>
      <c r="C51" s="2" t="s">
        <v>130</v>
      </c>
      <c r="D51" s="2" t="s">
        <v>131</v>
      </c>
      <c r="E51" s="2" t="s">
        <v>103</v>
      </c>
      <c r="F51" s="2" t="s">
        <v>72</v>
      </c>
      <c r="G51" s="4">
        <v>1.16354</v>
      </c>
      <c r="H51" s="4">
        <v>1.3327</v>
      </c>
      <c r="I51" s="4">
        <v>1.5791999999999999</v>
      </c>
      <c r="J51" s="4">
        <v>1.6035200000000001</v>
      </c>
      <c r="K51" s="4">
        <v>1.67886</v>
      </c>
      <c r="L51" s="4">
        <v>1.9433199999999999</v>
      </c>
      <c r="M51" s="4">
        <v>2.1957300000000002</v>
      </c>
    </row>
    <row r="52" spans="1:13" x14ac:dyDescent="0.3">
      <c r="A52" s="3" t="s">
        <v>18</v>
      </c>
      <c r="B52" s="3" t="s">
        <v>83</v>
      </c>
      <c r="C52" s="2" t="s">
        <v>132</v>
      </c>
      <c r="D52" s="2" t="s">
        <v>133</v>
      </c>
      <c r="E52" s="2" t="s">
        <v>100</v>
      </c>
      <c r="F52" s="2" t="s">
        <v>74</v>
      </c>
      <c r="G52" s="7">
        <v>3.4353600000000002</v>
      </c>
      <c r="H52" s="4">
        <v>11.4178</v>
      </c>
      <c r="I52" s="4">
        <v>36.863599999999998</v>
      </c>
      <c r="J52" s="4">
        <v>58.323999999999998</v>
      </c>
      <c r="K52" s="4">
        <v>81.896299999999997</v>
      </c>
      <c r="L52" s="4">
        <v>84.971999999999994</v>
      </c>
      <c r="M52" s="4">
        <v>74.451800000000006</v>
      </c>
    </row>
    <row r="53" spans="1:13" x14ac:dyDescent="0.3">
      <c r="A53" s="3" t="s">
        <v>18</v>
      </c>
      <c r="B53" s="3" t="s">
        <v>85</v>
      </c>
      <c r="C53" s="2" t="s">
        <v>132</v>
      </c>
      <c r="D53" s="2" t="s">
        <v>133</v>
      </c>
      <c r="E53" s="2" t="s">
        <v>100</v>
      </c>
      <c r="F53" s="2" t="s">
        <v>74</v>
      </c>
      <c r="G53" s="7">
        <v>69.739000000000004</v>
      </c>
      <c r="H53" s="4">
        <v>242.703</v>
      </c>
      <c r="I53" s="4">
        <v>591.55600000000004</v>
      </c>
      <c r="J53" s="4">
        <v>985.43700000000001</v>
      </c>
      <c r="K53" s="4">
        <v>1105.55</v>
      </c>
      <c r="L53" s="4">
        <v>1172.97</v>
      </c>
      <c r="M53" s="4">
        <v>1104.01</v>
      </c>
    </row>
    <row r="54" spans="1:13" x14ac:dyDescent="0.3">
      <c r="A54" s="3" t="s">
        <v>18</v>
      </c>
      <c r="B54" s="3" t="s">
        <v>85</v>
      </c>
      <c r="C54" s="2" t="s">
        <v>134</v>
      </c>
      <c r="D54" s="2" t="s">
        <v>133</v>
      </c>
      <c r="E54" s="2" t="s">
        <v>100</v>
      </c>
      <c r="F54" s="2" t="s">
        <v>72</v>
      </c>
      <c r="G54" s="7">
        <v>69.739000000000004</v>
      </c>
      <c r="H54" s="4">
        <v>123.04</v>
      </c>
      <c r="I54" s="4">
        <v>228.01300000000001</v>
      </c>
      <c r="J54" s="4">
        <v>325.35399999999998</v>
      </c>
      <c r="K54" s="4">
        <v>433.20699999999999</v>
      </c>
      <c r="L54" s="4">
        <v>490.85700000000003</v>
      </c>
      <c r="M54" s="4">
        <v>465.84199999999998</v>
      </c>
    </row>
    <row r="55" spans="1:13" x14ac:dyDescent="0.3">
      <c r="A55" s="3" t="s">
        <v>18</v>
      </c>
      <c r="B55" s="3" t="s">
        <v>83</v>
      </c>
      <c r="C55" s="2" t="s">
        <v>134</v>
      </c>
      <c r="D55" s="2" t="s">
        <v>133</v>
      </c>
      <c r="E55" s="2" t="s">
        <v>100</v>
      </c>
      <c r="F55" s="2" t="s">
        <v>72</v>
      </c>
      <c r="G55" s="7">
        <v>3.4353600000000002</v>
      </c>
      <c r="H55" s="4">
        <v>5.6641500000000002</v>
      </c>
      <c r="I55" s="4">
        <v>11.8134</v>
      </c>
      <c r="J55" s="4">
        <v>20.318999999999999</v>
      </c>
      <c r="K55" s="4">
        <v>26.918099999999999</v>
      </c>
      <c r="L55" s="4">
        <v>27.614599999999999</v>
      </c>
      <c r="M55" s="4">
        <v>24.593900000000001</v>
      </c>
    </row>
    <row r="56" spans="1:13" hidden="1" x14ac:dyDescent="0.3">
      <c r="A56" s="3" t="s">
        <v>19</v>
      </c>
      <c r="B56" s="3" t="s">
        <v>83</v>
      </c>
      <c r="C56" s="2" t="s">
        <v>135</v>
      </c>
      <c r="D56" s="2" t="s">
        <v>136</v>
      </c>
      <c r="E56" s="2" t="s">
        <v>103</v>
      </c>
      <c r="F56" s="2" t="s">
        <v>74</v>
      </c>
      <c r="G56" s="7">
        <v>3.2273100000000001</v>
      </c>
      <c r="H56" s="4">
        <v>6.1013900000000003</v>
      </c>
      <c r="I56" s="4">
        <v>15.978</v>
      </c>
      <c r="J56" s="4">
        <v>14.57</v>
      </c>
      <c r="K56" s="4">
        <v>9.7581399999999991</v>
      </c>
      <c r="L56" s="4">
        <v>1.1071899999999999</v>
      </c>
      <c r="M56" s="4">
        <v>0</v>
      </c>
    </row>
    <row r="57" spans="1:13" hidden="1" x14ac:dyDescent="0.3">
      <c r="A57" s="3" t="s">
        <v>19</v>
      </c>
      <c r="B57" s="3" t="s">
        <v>85</v>
      </c>
      <c r="C57" s="2" t="s">
        <v>135</v>
      </c>
      <c r="D57" s="2" t="s">
        <v>136</v>
      </c>
      <c r="E57" s="2" t="s">
        <v>103</v>
      </c>
      <c r="F57" s="2" t="s">
        <v>74</v>
      </c>
      <c r="G57" s="7">
        <v>37.684800000000003</v>
      </c>
      <c r="H57" s="4">
        <v>56.451500000000003</v>
      </c>
      <c r="I57" s="4">
        <v>188.96600000000001</v>
      </c>
      <c r="J57" s="4">
        <v>408.1925</v>
      </c>
      <c r="K57" s="4">
        <v>563.06500000000005</v>
      </c>
      <c r="L57" s="4">
        <v>783.06</v>
      </c>
      <c r="M57" s="4">
        <v>963.36500000000001</v>
      </c>
    </row>
    <row r="58" spans="1:13" hidden="1" x14ac:dyDescent="0.3">
      <c r="A58" s="3" t="s">
        <v>19</v>
      </c>
      <c r="B58" s="3" t="s">
        <v>85</v>
      </c>
      <c r="C58" s="2" t="s">
        <v>135</v>
      </c>
      <c r="D58" s="2" t="s">
        <v>136</v>
      </c>
      <c r="E58" s="2" t="s">
        <v>103</v>
      </c>
      <c r="F58" s="2" t="s">
        <v>72</v>
      </c>
      <c r="G58" s="7">
        <v>37.684800000000003</v>
      </c>
      <c r="H58" s="4">
        <v>28.94595</v>
      </c>
      <c r="I58" s="4">
        <v>76.1785</v>
      </c>
      <c r="J58" s="4">
        <v>149.029</v>
      </c>
      <c r="K58" s="4">
        <v>260.7355</v>
      </c>
      <c r="L58" s="4">
        <v>400.78949999999998</v>
      </c>
      <c r="M58" s="4">
        <v>496.97199999999998</v>
      </c>
    </row>
    <row r="59" spans="1:13" hidden="1" x14ac:dyDescent="0.3">
      <c r="A59" s="3" t="s">
        <v>19</v>
      </c>
      <c r="B59" s="3" t="s">
        <v>83</v>
      </c>
      <c r="C59" s="2" t="s">
        <v>135</v>
      </c>
      <c r="D59" s="2" t="s">
        <v>136</v>
      </c>
      <c r="E59" s="2" t="s">
        <v>103</v>
      </c>
      <c r="F59" s="2" t="s">
        <v>72</v>
      </c>
      <c r="G59" s="7">
        <v>3.2273100000000001</v>
      </c>
      <c r="H59" s="4">
        <v>3.02678</v>
      </c>
      <c r="I59" s="4">
        <v>5.1203599999999998</v>
      </c>
      <c r="J59" s="4">
        <v>5.0758900000000002</v>
      </c>
      <c r="K59" s="4">
        <v>3.2073499999999999</v>
      </c>
      <c r="L59" s="4">
        <v>0.359821</v>
      </c>
      <c r="M59" s="4">
        <v>0</v>
      </c>
    </row>
    <row r="60" spans="1:13" hidden="1" x14ac:dyDescent="0.3">
      <c r="A60" s="3" t="s">
        <v>20</v>
      </c>
      <c r="B60" s="3" t="s">
        <v>75</v>
      </c>
      <c r="C60" s="2" t="s">
        <v>137</v>
      </c>
      <c r="D60" s="2" t="s">
        <v>138</v>
      </c>
      <c r="E60" s="2" t="s">
        <v>103</v>
      </c>
      <c r="F60" s="2" t="s">
        <v>74</v>
      </c>
      <c r="G60" s="7">
        <v>0.14333199999999999</v>
      </c>
      <c r="H60" s="4">
        <v>0.27743499999999999</v>
      </c>
      <c r="I60" s="4">
        <v>0.40671800000000002</v>
      </c>
      <c r="J60" s="4">
        <v>0.420076</v>
      </c>
      <c r="K60" s="4">
        <v>0.39804299999999998</v>
      </c>
      <c r="L60" s="4">
        <v>0.27806199999999998</v>
      </c>
      <c r="M60" s="4">
        <v>0.26272499999999999</v>
      </c>
    </row>
    <row r="61" spans="1:13" hidden="1" x14ac:dyDescent="0.3">
      <c r="A61" s="3" t="s">
        <v>20</v>
      </c>
      <c r="B61" s="3" t="s">
        <v>77</v>
      </c>
      <c r="C61" s="2" t="s">
        <v>137</v>
      </c>
      <c r="D61" s="2" t="s">
        <v>138</v>
      </c>
      <c r="E61" s="2" t="s">
        <v>103</v>
      </c>
      <c r="F61" s="2" t="s">
        <v>74</v>
      </c>
      <c r="G61" s="7">
        <v>10.530099999999999</v>
      </c>
      <c r="H61" s="4">
        <v>19.000499999999999</v>
      </c>
      <c r="I61" s="4">
        <v>40.720199999999998</v>
      </c>
      <c r="J61" s="4">
        <v>38.510100000000001</v>
      </c>
      <c r="K61" s="4">
        <v>31.369499999999999</v>
      </c>
      <c r="L61" s="4">
        <v>21.815899999999999</v>
      </c>
      <c r="M61" s="4">
        <v>32.3645</v>
      </c>
    </row>
    <row r="62" spans="1:13" hidden="1" x14ac:dyDescent="0.3">
      <c r="A62" s="3" t="s">
        <v>20</v>
      </c>
      <c r="B62" s="3" t="s">
        <v>75</v>
      </c>
      <c r="C62" s="2" t="s">
        <v>137</v>
      </c>
      <c r="D62" s="2" t="s">
        <v>138</v>
      </c>
      <c r="E62" s="2" t="s">
        <v>103</v>
      </c>
      <c r="F62" s="2" t="s">
        <v>72</v>
      </c>
      <c r="G62" s="7">
        <v>0.14333199999999999</v>
      </c>
      <c r="H62" s="4">
        <v>0.17585100000000001</v>
      </c>
      <c r="I62" s="4">
        <v>0.20899899999999999</v>
      </c>
      <c r="J62" s="4">
        <v>0.21915499999999999</v>
      </c>
      <c r="K62" s="4">
        <v>0.22742200000000001</v>
      </c>
      <c r="L62" s="4">
        <v>0.24241199999999999</v>
      </c>
      <c r="M62" s="4">
        <v>0.24534800000000001</v>
      </c>
    </row>
    <row r="63" spans="1:13" hidden="1" x14ac:dyDescent="0.3">
      <c r="A63" s="3" t="s">
        <v>20</v>
      </c>
      <c r="B63" s="3" t="s">
        <v>77</v>
      </c>
      <c r="C63" s="2" t="s">
        <v>137</v>
      </c>
      <c r="D63" s="2" t="s">
        <v>138</v>
      </c>
      <c r="E63" s="2" t="s">
        <v>103</v>
      </c>
      <c r="F63" s="2" t="s">
        <v>72</v>
      </c>
      <c r="G63" s="7">
        <v>10.530099999999999</v>
      </c>
      <c r="H63" s="4">
        <v>11.336499999999999</v>
      </c>
      <c r="I63" s="4">
        <v>15.182399999999999</v>
      </c>
      <c r="J63" s="4">
        <v>14.764699999999999</v>
      </c>
      <c r="K63" s="4">
        <v>13.756399999999999</v>
      </c>
      <c r="L63" s="4">
        <v>16.977900000000002</v>
      </c>
      <c r="M63" s="4">
        <v>18.803000000000001</v>
      </c>
    </row>
    <row r="64" spans="1:13" hidden="1" x14ac:dyDescent="0.3">
      <c r="A64" s="3" t="s">
        <v>21</v>
      </c>
      <c r="B64" s="3" t="s">
        <v>85</v>
      </c>
      <c r="C64" s="2" t="s">
        <v>139</v>
      </c>
      <c r="D64" s="2" t="s">
        <v>140</v>
      </c>
      <c r="E64" s="2" t="s">
        <v>103</v>
      </c>
      <c r="F64" s="2" t="s">
        <v>74</v>
      </c>
      <c r="G64" s="4">
        <v>3.9619399999999998</v>
      </c>
      <c r="H64" s="4">
        <v>12.9681</v>
      </c>
      <c r="I64" s="4">
        <v>26.305199999999999</v>
      </c>
      <c r="J64" s="4">
        <v>35.014499999999998</v>
      </c>
      <c r="K64" s="4">
        <v>33.930100000000003</v>
      </c>
      <c r="L64" s="4">
        <v>36.664099999999998</v>
      </c>
      <c r="M64" s="4">
        <v>37.463299999999997</v>
      </c>
    </row>
    <row r="65" spans="1:13" hidden="1" x14ac:dyDescent="0.3">
      <c r="A65" s="3" t="s">
        <v>21</v>
      </c>
      <c r="B65" s="3" t="s">
        <v>77</v>
      </c>
      <c r="C65" s="2" t="s">
        <v>139</v>
      </c>
      <c r="D65" s="2" t="s">
        <v>140</v>
      </c>
      <c r="E65" s="2" t="s">
        <v>103</v>
      </c>
      <c r="F65" s="2" t="s">
        <v>74</v>
      </c>
      <c r="G65" s="4">
        <v>5.806</v>
      </c>
      <c r="H65" s="4">
        <v>10.088699999999999</v>
      </c>
      <c r="I65" s="4">
        <v>23.768799999999999</v>
      </c>
      <c r="J65" s="4">
        <v>22.1797</v>
      </c>
      <c r="K65" s="4">
        <v>19.132300000000001</v>
      </c>
      <c r="L65" s="4">
        <v>12.229200000000001</v>
      </c>
      <c r="M65" s="4">
        <v>17.548500000000001</v>
      </c>
    </row>
    <row r="66" spans="1:13" hidden="1" x14ac:dyDescent="0.3">
      <c r="A66" s="3" t="s">
        <v>21</v>
      </c>
      <c r="B66" s="3" t="s">
        <v>77</v>
      </c>
      <c r="C66" s="2" t="s">
        <v>139</v>
      </c>
      <c r="D66" s="2" t="s">
        <v>140</v>
      </c>
      <c r="E66" s="2" t="s">
        <v>103</v>
      </c>
      <c r="F66" s="2" t="s">
        <v>72</v>
      </c>
      <c r="G66" s="4">
        <v>5.806</v>
      </c>
      <c r="H66" s="4">
        <v>6.2718499999999997</v>
      </c>
      <c r="I66" s="4">
        <v>10.2111</v>
      </c>
      <c r="J66" s="4">
        <v>9.1431199999999997</v>
      </c>
      <c r="K66" s="4">
        <v>8.0314300000000003</v>
      </c>
      <c r="L66" s="4">
        <v>9.7569199999999991</v>
      </c>
      <c r="M66" s="4">
        <v>11.3337</v>
      </c>
    </row>
    <row r="67" spans="1:13" hidden="1" x14ac:dyDescent="0.3">
      <c r="A67" s="3" t="s">
        <v>21</v>
      </c>
      <c r="B67" s="3" t="s">
        <v>85</v>
      </c>
      <c r="C67" s="2" t="s">
        <v>139</v>
      </c>
      <c r="D67" s="2" t="s">
        <v>140</v>
      </c>
      <c r="E67" s="2" t="s">
        <v>103</v>
      </c>
      <c r="F67" s="2" t="s">
        <v>72</v>
      </c>
      <c r="G67" s="4">
        <v>3.9619399999999998</v>
      </c>
      <c r="H67" s="4">
        <v>7.2540399999999998</v>
      </c>
      <c r="I67" s="4">
        <v>12.216200000000001</v>
      </c>
      <c r="J67" s="4">
        <v>15.1311</v>
      </c>
      <c r="K67" s="4">
        <v>18.849599999999999</v>
      </c>
      <c r="L67" s="4">
        <v>21.8002</v>
      </c>
      <c r="M67" s="4">
        <v>22.879100000000001</v>
      </c>
    </row>
    <row r="68" spans="1:13" x14ac:dyDescent="0.3">
      <c r="A68" s="3" t="s">
        <v>22</v>
      </c>
      <c r="B68" s="3" t="s">
        <v>83</v>
      </c>
      <c r="C68" s="2" t="s">
        <v>141</v>
      </c>
      <c r="D68" s="2" t="s">
        <v>142</v>
      </c>
      <c r="E68" s="2" t="s">
        <v>100</v>
      </c>
      <c r="F68" s="2" t="s">
        <v>74</v>
      </c>
      <c r="G68" s="7">
        <v>8.9112399999999994</v>
      </c>
      <c r="H68" s="4">
        <v>17.5943</v>
      </c>
      <c r="I68" s="4">
        <v>60.389000000000003</v>
      </c>
      <c r="J68" s="4">
        <v>74.411600000000007</v>
      </c>
      <c r="K68" s="4">
        <v>64.607500000000002</v>
      </c>
      <c r="L68" s="4">
        <v>40.087800000000001</v>
      </c>
      <c r="M68" s="4">
        <v>0</v>
      </c>
    </row>
    <row r="69" spans="1:13" x14ac:dyDescent="0.3">
      <c r="A69" s="3" t="s">
        <v>22</v>
      </c>
      <c r="B69" s="3" t="s">
        <v>85</v>
      </c>
      <c r="C69" s="2" t="s">
        <v>141</v>
      </c>
      <c r="D69" s="2" t="s">
        <v>142</v>
      </c>
      <c r="E69" s="2" t="s">
        <v>100</v>
      </c>
      <c r="F69" s="2" t="s">
        <v>74</v>
      </c>
      <c r="G69" s="7">
        <v>325.83100000000002</v>
      </c>
      <c r="H69" s="4">
        <v>1157.04</v>
      </c>
      <c r="I69" s="4">
        <v>2414.37</v>
      </c>
      <c r="J69" s="4">
        <v>3391.95</v>
      </c>
      <c r="K69" s="4">
        <v>3450.65</v>
      </c>
      <c r="L69" s="4">
        <v>3444.45</v>
      </c>
      <c r="M69" s="4">
        <v>3289.2</v>
      </c>
    </row>
    <row r="70" spans="1:13" x14ac:dyDescent="0.3">
      <c r="A70" s="3" t="s">
        <v>22</v>
      </c>
      <c r="B70" s="3" t="s">
        <v>86</v>
      </c>
      <c r="C70" s="2" t="s">
        <v>141</v>
      </c>
      <c r="D70" s="2" t="s">
        <v>142</v>
      </c>
      <c r="E70" s="2" t="s">
        <v>100</v>
      </c>
      <c r="F70" s="2" t="s">
        <v>74</v>
      </c>
      <c r="G70" s="7">
        <v>1.7661100000000001</v>
      </c>
      <c r="H70" s="4">
        <v>35.5533</v>
      </c>
      <c r="I70" s="4">
        <v>115.07299999999999</v>
      </c>
      <c r="J70" s="4">
        <v>117.959</v>
      </c>
      <c r="K70" s="4">
        <v>92.645700000000005</v>
      </c>
      <c r="L70" s="4">
        <v>63.517899999999997</v>
      </c>
      <c r="M70" s="8">
        <v>86.755300000000005</v>
      </c>
    </row>
    <row r="71" spans="1:13" x14ac:dyDescent="0.3">
      <c r="A71" s="3" t="s">
        <v>22</v>
      </c>
      <c r="B71" s="3" t="s">
        <v>85</v>
      </c>
      <c r="C71" s="2" t="s">
        <v>141</v>
      </c>
      <c r="D71" s="2" t="s">
        <v>142</v>
      </c>
      <c r="E71" s="2" t="s">
        <v>100</v>
      </c>
      <c r="F71" s="2" t="s">
        <v>72</v>
      </c>
      <c r="G71" s="7">
        <v>325.83100000000002</v>
      </c>
      <c r="H71" s="4">
        <v>613.86199999999997</v>
      </c>
      <c r="I71" s="4">
        <v>988.053</v>
      </c>
      <c r="J71" s="4">
        <v>1214.57</v>
      </c>
      <c r="K71" s="4">
        <v>1515.79</v>
      </c>
      <c r="L71" s="4">
        <v>1615.17</v>
      </c>
      <c r="M71" s="4">
        <v>1579.68</v>
      </c>
    </row>
    <row r="72" spans="1:13" x14ac:dyDescent="0.3">
      <c r="A72" s="3" t="s">
        <v>22</v>
      </c>
      <c r="B72" s="3" t="s">
        <v>83</v>
      </c>
      <c r="C72" s="2" t="s">
        <v>141</v>
      </c>
      <c r="D72" s="2" t="s">
        <v>142</v>
      </c>
      <c r="E72" s="2" t="s">
        <v>100</v>
      </c>
      <c r="F72" s="2" t="s">
        <v>72</v>
      </c>
      <c r="G72" s="7">
        <v>8.9112399999999994</v>
      </c>
      <c r="H72" s="4">
        <v>8.7281700000000004</v>
      </c>
      <c r="I72" s="4">
        <v>19.352499999999999</v>
      </c>
      <c r="J72" s="4">
        <v>25.923500000000001</v>
      </c>
      <c r="K72" s="4">
        <v>21.235499999999998</v>
      </c>
      <c r="L72" s="4">
        <v>13.027900000000001</v>
      </c>
      <c r="M72" s="4">
        <v>0</v>
      </c>
    </row>
    <row r="73" spans="1:13" x14ac:dyDescent="0.3">
      <c r="A73" s="3" t="s">
        <v>22</v>
      </c>
      <c r="B73" s="3" t="s">
        <v>86</v>
      </c>
      <c r="C73" s="2" t="s">
        <v>141</v>
      </c>
      <c r="D73" s="2" t="s">
        <v>142</v>
      </c>
      <c r="E73" s="2" t="s">
        <v>100</v>
      </c>
      <c r="F73" s="2" t="s">
        <v>72</v>
      </c>
      <c r="G73" s="7">
        <v>1.7661100000000001</v>
      </c>
      <c r="H73" s="4">
        <v>2.4272300000000002</v>
      </c>
      <c r="I73" s="4">
        <v>5.2962999999999996</v>
      </c>
      <c r="J73" s="4">
        <v>4.2202500000000001</v>
      </c>
      <c r="K73" s="4">
        <v>3.7839800000000001</v>
      </c>
      <c r="L73" s="4">
        <v>4.0821199999999997</v>
      </c>
      <c r="M73" s="4">
        <v>5.6644500000000004</v>
      </c>
    </row>
    <row r="74" spans="1:13" hidden="1" x14ac:dyDescent="0.3">
      <c r="A74" s="3" t="s">
        <v>25</v>
      </c>
      <c r="B74" s="3" t="s">
        <v>86</v>
      </c>
      <c r="C74" s="2" t="s">
        <v>143</v>
      </c>
      <c r="D74" s="2" t="s">
        <v>144</v>
      </c>
      <c r="E74" s="2" t="s">
        <v>103</v>
      </c>
      <c r="F74" s="2" t="s">
        <v>74</v>
      </c>
      <c r="G74" s="4">
        <v>1.15664E-3</v>
      </c>
      <c r="H74" s="8">
        <v>2.5077599999999999E-2</v>
      </c>
      <c r="I74" s="8">
        <v>7.9083500000000001E-2</v>
      </c>
      <c r="J74" s="8">
        <v>0.16026000000000001</v>
      </c>
      <c r="K74" s="8">
        <v>0.19505900000000001</v>
      </c>
      <c r="L74" s="8">
        <v>0.18473600000000001</v>
      </c>
      <c r="M74" s="8">
        <v>0.138207</v>
      </c>
    </row>
    <row r="75" spans="1:13" hidden="1" x14ac:dyDescent="0.3">
      <c r="A75" s="3" t="s">
        <v>25</v>
      </c>
      <c r="B75" s="3" t="s">
        <v>86</v>
      </c>
      <c r="C75" s="2" t="s">
        <v>143</v>
      </c>
      <c r="D75" s="2" t="s">
        <v>144</v>
      </c>
      <c r="E75" s="2" t="s">
        <v>103</v>
      </c>
      <c r="F75" s="2" t="s">
        <v>72</v>
      </c>
      <c r="G75" s="4">
        <v>1.15664E-3</v>
      </c>
      <c r="H75" s="4">
        <v>2.6667700000000002E-3</v>
      </c>
      <c r="I75" s="4">
        <v>6.2101700000000001E-3</v>
      </c>
      <c r="J75" s="4">
        <v>9.9485300000000006E-3</v>
      </c>
      <c r="K75" s="4">
        <v>1.36475E-2</v>
      </c>
      <c r="L75" s="4">
        <v>1.6497399999999999E-2</v>
      </c>
      <c r="M75" s="4">
        <v>2.0263799999999998E-2</v>
      </c>
    </row>
    <row r="76" spans="1:13" hidden="1" x14ac:dyDescent="0.3">
      <c r="A76" s="3" t="s">
        <v>24</v>
      </c>
      <c r="B76" s="3" t="s">
        <v>85</v>
      </c>
      <c r="C76" s="2" t="s">
        <v>145</v>
      </c>
      <c r="D76" s="2" t="s">
        <v>146</v>
      </c>
      <c r="E76" s="2" t="s">
        <v>103</v>
      </c>
      <c r="F76" s="2" t="s">
        <v>74</v>
      </c>
      <c r="G76" s="4">
        <v>0.59429200000000004</v>
      </c>
      <c r="H76" s="4">
        <v>1.9452100000000001</v>
      </c>
      <c r="I76" s="4">
        <v>3.94577</v>
      </c>
      <c r="J76" s="4">
        <v>5.2521699999999996</v>
      </c>
      <c r="K76" s="4">
        <v>5.0895099999999998</v>
      </c>
      <c r="L76" s="4">
        <v>5.4996200000000002</v>
      </c>
      <c r="M76" s="4">
        <v>5.6194899999999999</v>
      </c>
    </row>
    <row r="77" spans="1:13" hidden="1" x14ac:dyDescent="0.3">
      <c r="A77" s="3" t="s">
        <v>24</v>
      </c>
      <c r="B77" s="3" t="s">
        <v>77</v>
      </c>
      <c r="C77" s="2" t="s">
        <v>145</v>
      </c>
      <c r="D77" s="2" t="s">
        <v>146</v>
      </c>
      <c r="E77" s="2" t="s">
        <v>103</v>
      </c>
      <c r="F77" s="2" t="s">
        <v>74</v>
      </c>
      <c r="G77" s="4">
        <v>0.95223400000000002</v>
      </c>
      <c r="H77" s="4">
        <v>1.6780999999999999</v>
      </c>
      <c r="I77" s="4">
        <v>4.2235500000000004</v>
      </c>
      <c r="J77" s="4">
        <v>4.1084500000000004</v>
      </c>
      <c r="K77" s="4">
        <v>3.7923399999999998</v>
      </c>
      <c r="L77" s="4">
        <v>2.5423900000000001</v>
      </c>
      <c r="M77" s="4">
        <v>3.9191799999999999</v>
      </c>
    </row>
    <row r="78" spans="1:13" hidden="1" x14ac:dyDescent="0.3">
      <c r="A78" s="3" t="s">
        <v>24</v>
      </c>
      <c r="B78" s="3" t="s">
        <v>77</v>
      </c>
      <c r="C78" s="2" t="s">
        <v>145</v>
      </c>
      <c r="D78" s="2" t="s">
        <v>146</v>
      </c>
      <c r="E78" s="2" t="s">
        <v>103</v>
      </c>
      <c r="F78" s="2" t="s">
        <v>72</v>
      </c>
      <c r="G78" s="4">
        <v>0.95223400000000002</v>
      </c>
      <c r="H78" s="4">
        <v>1.0422100000000001</v>
      </c>
      <c r="I78" s="4">
        <v>1.80891</v>
      </c>
      <c r="J78" s="4">
        <v>1.6247100000000001</v>
      </c>
      <c r="K78" s="4">
        <v>1.43824</v>
      </c>
      <c r="L78" s="4">
        <v>1.79318</v>
      </c>
      <c r="M78" s="4">
        <v>2.17475</v>
      </c>
    </row>
    <row r="79" spans="1:13" hidden="1" x14ac:dyDescent="0.3">
      <c r="A79" s="3" t="s">
        <v>24</v>
      </c>
      <c r="B79" s="3" t="s">
        <v>85</v>
      </c>
      <c r="C79" s="2" t="s">
        <v>145</v>
      </c>
      <c r="D79" s="2" t="s">
        <v>146</v>
      </c>
      <c r="E79" s="2" t="s">
        <v>103</v>
      </c>
      <c r="F79" s="2" t="s">
        <v>72</v>
      </c>
      <c r="G79" s="4">
        <v>0.59429200000000004</v>
      </c>
      <c r="H79" s="4">
        <v>1.0881099999999999</v>
      </c>
      <c r="I79" s="4">
        <v>1.83243</v>
      </c>
      <c r="J79" s="4">
        <v>2.2696700000000001</v>
      </c>
      <c r="K79" s="4">
        <v>2.8274400000000002</v>
      </c>
      <c r="L79" s="4">
        <v>3.2700300000000002</v>
      </c>
      <c r="M79" s="4">
        <v>3.43187</v>
      </c>
    </row>
    <row r="80" spans="1:13" hidden="1" x14ac:dyDescent="0.3">
      <c r="A80" s="3" t="s">
        <v>26</v>
      </c>
      <c r="B80" s="3" t="s">
        <v>75</v>
      </c>
      <c r="C80" s="2" t="s">
        <v>147</v>
      </c>
      <c r="D80" s="2" t="s">
        <v>148</v>
      </c>
      <c r="E80" s="2" t="s">
        <v>103</v>
      </c>
      <c r="F80" s="2" t="s">
        <v>74</v>
      </c>
      <c r="G80" s="7">
        <v>7.5997999999999996E-2</v>
      </c>
      <c r="H80" s="4">
        <v>0.14210700000000001</v>
      </c>
      <c r="I80" s="4">
        <v>0.19408600000000001</v>
      </c>
      <c r="J80" s="4">
        <v>0.18233099999999999</v>
      </c>
      <c r="K80" s="4">
        <v>0.15106800000000001</v>
      </c>
      <c r="L80" s="4">
        <v>8.5780200000000001E-2</v>
      </c>
      <c r="M80" s="4">
        <v>5.5721100000000003E-2</v>
      </c>
    </row>
    <row r="81" spans="1:13" hidden="1" x14ac:dyDescent="0.3">
      <c r="A81" s="3" t="s">
        <v>26</v>
      </c>
      <c r="B81" s="3" t="s">
        <v>75</v>
      </c>
      <c r="C81" s="2" t="s">
        <v>147</v>
      </c>
      <c r="D81" s="2" t="s">
        <v>148</v>
      </c>
      <c r="E81" s="2" t="s">
        <v>103</v>
      </c>
      <c r="F81" s="2" t="s">
        <v>72</v>
      </c>
      <c r="G81" s="7">
        <v>7.5997999999999996E-2</v>
      </c>
      <c r="H81" s="4">
        <v>8.2872699999999994E-2</v>
      </c>
      <c r="I81" s="4">
        <v>7.6377799999999996E-2</v>
      </c>
      <c r="J81" s="4">
        <v>7.2959999999999997E-2</v>
      </c>
      <c r="K81" s="4">
        <v>6.7527199999999996E-2</v>
      </c>
      <c r="L81" s="4">
        <v>6.2273099999999998E-2</v>
      </c>
      <c r="M81" s="4">
        <v>5.2035699999999997E-2</v>
      </c>
    </row>
    <row r="82" spans="1:13" hidden="1" x14ac:dyDescent="0.3">
      <c r="A82" s="3" t="s">
        <v>27</v>
      </c>
      <c r="B82" s="3" t="s">
        <v>83</v>
      </c>
      <c r="C82" s="2" t="s">
        <v>149</v>
      </c>
      <c r="D82" s="2" t="s">
        <v>150</v>
      </c>
      <c r="E82" s="2" t="s">
        <v>103</v>
      </c>
      <c r="F82" s="2" t="s">
        <v>74</v>
      </c>
      <c r="G82" s="7">
        <v>6.9968500000000003E-2</v>
      </c>
      <c r="H82" s="4">
        <v>0.37285299999999999</v>
      </c>
      <c r="I82" s="4">
        <v>3.5339299999999998</v>
      </c>
      <c r="J82" s="4">
        <v>7.7398100000000003</v>
      </c>
      <c r="K82" s="4">
        <v>14.919</v>
      </c>
      <c r="L82" s="4">
        <v>19.687899999999999</v>
      </c>
      <c r="M82" s="4">
        <v>18.577500000000001</v>
      </c>
    </row>
    <row r="83" spans="1:13" hidden="1" x14ac:dyDescent="0.3">
      <c r="A83" s="3" t="s">
        <v>27</v>
      </c>
      <c r="B83" s="3" t="s">
        <v>85</v>
      </c>
      <c r="C83" s="2" t="s">
        <v>149</v>
      </c>
      <c r="D83" s="2" t="s">
        <v>150</v>
      </c>
      <c r="E83" s="2" t="s">
        <v>103</v>
      </c>
      <c r="F83" s="2" t="s">
        <v>74</v>
      </c>
      <c r="G83" s="7">
        <v>8.6998200000000008</v>
      </c>
      <c r="H83" s="4">
        <v>74.535200000000003</v>
      </c>
      <c r="I83" s="4">
        <v>328.74700000000001</v>
      </c>
      <c r="J83" s="4">
        <v>594.71100000000001</v>
      </c>
      <c r="K83" s="4">
        <v>755.77200000000005</v>
      </c>
      <c r="L83" s="4">
        <v>771.62900000000002</v>
      </c>
      <c r="M83" s="4">
        <v>795.03399999999999</v>
      </c>
    </row>
    <row r="84" spans="1:13" hidden="1" x14ac:dyDescent="0.3">
      <c r="A84" s="3" t="s">
        <v>27</v>
      </c>
      <c r="B84" s="3" t="s">
        <v>75</v>
      </c>
      <c r="C84" s="2" t="s">
        <v>149</v>
      </c>
      <c r="D84" s="2" t="s">
        <v>150</v>
      </c>
      <c r="E84" s="2" t="s">
        <v>103</v>
      </c>
      <c r="F84" s="2" t="s">
        <v>74</v>
      </c>
      <c r="G84" s="7">
        <v>756.327</v>
      </c>
      <c r="H84" s="4">
        <v>1394.58</v>
      </c>
      <c r="I84" s="4">
        <v>2141.3000000000002</v>
      </c>
      <c r="J84" s="4">
        <v>2049.79</v>
      </c>
      <c r="K84" s="4">
        <v>1863.99</v>
      </c>
      <c r="L84" s="4">
        <v>1387.86</v>
      </c>
      <c r="M84" s="4">
        <v>1405.65</v>
      </c>
    </row>
    <row r="85" spans="1:13" hidden="1" x14ac:dyDescent="0.3">
      <c r="A85" s="3" t="s">
        <v>27</v>
      </c>
      <c r="B85" s="3" t="s">
        <v>75</v>
      </c>
      <c r="C85" s="2" t="s">
        <v>149</v>
      </c>
      <c r="D85" s="2" t="s">
        <v>150</v>
      </c>
      <c r="E85" s="2" t="s">
        <v>103</v>
      </c>
      <c r="F85" s="2" t="s">
        <v>72</v>
      </c>
      <c r="G85" s="7">
        <v>756.327</v>
      </c>
      <c r="H85" s="4">
        <v>807.81399999999996</v>
      </c>
      <c r="I85" s="4">
        <v>843.16300000000001</v>
      </c>
      <c r="J85" s="4">
        <v>823.26800000000003</v>
      </c>
      <c r="K85" s="4">
        <v>828.00300000000004</v>
      </c>
      <c r="L85" s="4">
        <v>915.71400000000006</v>
      </c>
      <c r="M85" s="4">
        <v>986.83699999999999</v>
      </c>
    </row>
    <row r="86" spans="1:13" hidden="1" x14ac:dyDescent="0.3">
      <c r="A86" s="3" t="s">
        <v>27</v>
      </c>
      <c r="B86" s="3" t="s">
        <v>85</v>
      </c>
      <c r="C86" s="2" t="s">
        <v>149</v>
      </c>
      <c r="D86" s="2" t="s">
        <v>150</v>
      </c>
      <c r="E86" s="2" t="s">
        <v>103</v>
      </c>
      <c r="F86" s="2" t="s">
        <v>72</v>
      </c>
      <c r="G86" s="7">
        <v>8.6998200000000008</v>
      </c>
      <c r="H86" s="4">
        <v>40.497199999999999</v>
      </c>
      <c r="I86" s="4">
        <v>138.51599999999999</v>
      </c>
      <c r="J86" s="4">
        <v>224.22300000000001</v>
      </c>
      <c r="K86" s="4">
        <v>351.98700000000002</v>
      </c>
      <c r="L86" s="4">
        <v>374.07100000000003</v>
      </c>
      <c r="M86" s="4">
        <v>373.48500000000001</v>
      </c>
    </row>
    <row r="87" spans="1:13" hidden="1" x14ac:dyDescent="0.3">
      <c r="A87" s="3" t="s">
        <v>27</v>
      </c>
      <c r="B87" s="3" t="s">
        <v>83</v>
      </c>
      <c r="C87" s="2" t="s">
        <v>149</v>
      </c>
      <c r="D87" s="2" t="s">
        <v>150</v>
      </c>
      <c r="E87" s="2" t="s">
        <v>103</v>
      </c>
      <c r="F87" s="2" t="s">
        <v>72</v>
      </c>
      <c r="G87" s="7">
        <v>6.9968500000000003E-2</v>
      </c>
      <c r="H87" s="4">
        <v>0.18496499999999999</v>
      </c>
      <c r="I87" s="4">
        <v>1.1325000000000001</v>
      </c>
      <c r="J87" s="4">
        <v>2.6964000000000001</v>
      </c>
      <c r="K87" s="4">
        <v>4.9036400000000002</v>
      </c>
      <c r="L87" s="4">
        <v>6.3982599999999996</v>
      </c>
      <c r="M87" s="4">
        <v>6.1367900000000004</v>
      </c>
    </row>
    <row r="88" spans="1:13" hidden="1" x14ac:dyDescent="0.3">
      <c r="A88" s="3" t="s">
        <v>28</v>
      </c>
      <c r="B88" s="3" t="s">
        <v>75</v>
      </c>
      <c r="C88" s="2" t="s">
        <v>151</v>
      </c>
      <c r="D88" s="2" t="s">
        <v>152</v>
      </c>
      <c r="E88" s="2" t="s">
        <v>103</v>
      </c>
      <c r="F88" s="2" t="s">
        <v>74</v>
      </c>
      <c r="G88" s="4">
        <v>3.831</v>
      </c>
      <c r="H88" s="4">
        <v>6.6685400000000001</v>
      </c>
      <c r="I88" s="4">
        <v>9.0971399999999996</v>
      </c>
      <c r="J88" s="4">
        <v>7.4248000000000003</v>
      </c>
      <c r="K88" s="4">
        <v>5.36883</v>
      </c>
      <c r="L88" s="4">
        <v>2.7405400000000002</v>
      </c>
      <c r="M88" s="4">
        <v>1.1936100000000001</v>
      </c>
    </row>
    <row r="89" spans="1:13" hidden="1" x14ac:dyDescent="0.3">
      <c r="A89" s="3" t="s">
        <v>28</v>
      </c>
      <c r="B89" s="3" t="s">
        <v>75</v>
      </c>
      <c r="C89" s="2" t="s">
        <v>151</v>
      </c>
      <c r="D89" s="2" t="s">
        <v>152</v>
      </c>
      <c r="E89" s="2" t="s">
        <v>103</v>
      </c>
      <c r="F89" s="2" t="s">
        <v>72</v>
      </c>
      <c r="G89" s="4">
        <v>3.831</v>
      </c>
      <c r="H89" s="4">
        <v>4.0307500000000003</v>
      </c>
      <c r="I89" s="4">
        <v>4.0780900000000004</v>
      </c>
      <c r="J89" s="4">
        <v>3.4312100000000001</v>
      </c>
      <c r="K89" s="4">
        <v>2.8524500000000002</v>
      </c>
      <c r="L89" s="4">
        <v>2.4385599999999998</v>
      </c>
      <c r="M89" s="4">
        <v>1.78745</v>
      </c>
    </row>
    <row r="90" spans="1:13" hidden="1" x14ac:dyDescent="0.3">
      <c r="A90" s="3" t="s">
        <v>29</v>
      </c>
      <c r="B90" s="3" t="s">
        <v>75</v>
      </c>
      <c r="C90" s="2" t="s">
        <v>153</v>
      </c>
      <c r="D90" s="2" t="s">
        <v>154</v>
      </c>
      <c r="E90" s="2" t="s">
        <v>103</v>
      </c>
      <c r="F90" s="2" t="s">
        <v>74</v>
      </c>
      <c r="G90" s="4">
        <v>0.422543</v>
      </c>
      <c r="H90" s="4">
        <v>0.79027800000000004</v>
      </c>
      <c r="I90" s="4">
        <v>1.23963</v>
      </c>
      <c r="J90" s="4">
        <v>1.1452100000000001</v>
      </c>
      <c r="K90" s="4">
        <v>0.96920200000000001</v>
      </c>
      <c r="L90" s="4">
        <v>0.60133300000000001</v>
      </c>
      <c r="M90" s="4">
        <v>0.42811399999999999</v>
      </c>
    </row>
    <row r="91" spans="1:13" hidden="1" x14ac:dyDescent="0.3">
      <c r="A91" s="3" t="s">
        <v>29</v>
      </c>
      <c r="B91" s="3" t="s">
        <v>75</v>
      </c>
      <c r="C91" s="2" t="s">
        <v>153</v>
      </c>
      <c r="D91" s="2" t="s">
        <v>154</v>
      </c>
      <c r="E91" s="2" t="s">
        <v>103</v>
      </c>
      <c r="F91" s="2" t="s">
        <v>72</v>
      </c>
      <c r="G91" s="4">
        <v>0.422543</v>
      </c>
      <c r="H91" s="4">
        <v>0.424987</v>
      </c>
      <c r="I91" s="4">
        <v>0.37269200000000002</v>
      </c>
      <c r="J91" s="4">
        <v>0.36435200000000001</v>
      </c>
      <c r="K91" s="4">
        <v>0.36510700000000001</v>
      </c>
      <c r="L91" s="4">
        <v>0.381685</v>
      </c>
      <c r="M91" s="4">
        <v>0.38216299999999997</v>
      </c>
    </row>
    <row r="92" spans="1:13" hidden="1" x14ac:dyDescent="0.3">
      <c r="A92" s="3" t="s">
        <v>30</v>
      </c>
      <c r="B92" s="3" t="s">
        <v>85</v>
      </c>
      <c r="C92" s="2" t="s">
        <v>155</v>
      </c>
      <c r="D92" s="2" t="s">
        <v>156</v>
      </c>
      <c r="E92" s="2" t="s">
        <v>103</v>
      </c>
      <c r="F92" s="2" t="s">
        <v>74</v>
      </c>
      <c r="G92" s="4">
        <v>8.0606300000000006E-2</v>
      </c>
      <c r="H92" s="4">
        <v>0.26501200000000003</v>
      </c>
      <c r="I92" s="4">
        <v>0.54269699999999998</v>
      </c>
      <c r="J92" s="4">
        <v>0.72385600000000005</v>
      </c>
      <c r="K92" s="4">
        <v>0.70105499999999998</v>
      </c>
      <c r="L92" s="4">
        <v>0.75729999999999997</v>
      </c>
      <c r="M92" s="4">
        <v>0.77360099999999998</v>
      </c>
    </row>
    <row r="93" spans="1:13" hidden="1" x14ac:dyDescent="0.3">
      <c r="A93" s="3" t="s">
        <v>30</v>
      </c>
      <c r="B93" s="3" t="s">
        <v>77</v>
      </c>
      <c r="C93" s="2" t="s">
        <v>155</v>
      </c>
      <c r="D93" s="2" t="s">
        <v>156</v>
      </c>
      <c r="E93" s="2" t="s">
        <v>103</v>
      </c>
      <c r="F93" s="2" t="s">
        <v>74</v>
      </c>
      <c r="G93" s="4">
        <v>0.215006</v>
      </c>
      <c r="H93" s="4">
        <v>0.38337599999999999</v>
      </c>
      <c r="I93" s="4">
        <v>0.955287</v>
      </c>
      <c r="J93" s="4">
        <v>0.94287399999999999</v>
      </c>
      <c r="K93" s="4">
        <v>0.87358199999999997</v>
      </c>
      <c r="L93" s="4">
        <v>0.60124100000000003</v>
      </c>
      <c r="M93" s="4">
        <v>0.94411</v>
      </c>
    </row>
    <row r="94" spans="1:13" hidden="1" x14ac:dyDescent="0.3">
      <c r="A94" s="3" t="s">
        <v>30</v>
      </c>
      <c r="B94" s="3" t="s">
        <v>77</v>
      </c>
      <c r="C94" s="2" t="s">
        <v>155</v>
      </c>
      <c r="D94" s="2" t="s">
        <v>156</v>
      </c>
      <c r="E94" s="2" t="s">
        <v>103</v>
      </c>
      <c r="F94" s="2" t="s">
        <v>72</v>
      </c>
      <c r="G94" s="4">
        <v>0.215006</v>
      </c>
      <c r="H94" s="4">
        <v>0.23651</v>
      </c>
      <c r="I94" s="4">
        <v>0.40149899999999999</v>
      </c>
      <c r="J94" s="4">
        <v>0.37059799999999998</v>
      </c>
      <c r="K94" s="4">
        <v>0.336117</v>
      </c>
      <c r="L94" s="4">
        <v>0.42655599999999999</v>
      </c>
      <c r="M94" s="4">
        <v>0.521262</v>
      </c>
    </row>
    <row r="95" spans="1:13" hidden="1" x14ac:dyDescent="0.3">
      <c r="A95" s="3" t="s">
        <v>30</v>
      </c>
      <c r="B95" s="3" t="s">
        <v>85</v>
      </c>
      <c r="C95" s="2" t="s">
        <v>155</v>
      </c>
      <c r="D95" s="2" t="s">
        <v>156</v>
      </c>
      <c r="E95" s="2" t="s">
        <v>103</v>
      </c>
      <c r="F95" s="2" t="s">
        <v>72</v>
      </c>
      <c r="G95" s="4">
        <v>8.0606300000000006E-2</v>
      </c>
      <c r="H95" s="4">
        <v>0.14840300000000001</v>
      </c>
      <c r="I95" s="4">
        <v>0.25240699999999999</v>
      </c>
      <c r="J95" s="4">
        <v>0.31359700000000001</v>
      </c>
      <c r="K95" s="4">
        <v>0.390735</v>
      </c>
      <c r="L95" s="4">
        <v>0.45189699999999999</v>
      </c>
      <c r="M95" s="4">
        <v>0.474163</v>
      </c>
    </row>
    <row r="96" spans="1:13" hidden="1" x14ac:dyDescent="0.3">
      <c r="A96" s="3" t="s">
        <v>31</v>
      </c>
      <c r="B96" s="3" t="s">
        <v>75</v>
      </c>
      <c r="C96" s="2" t="s">
        <v>157</v>
      </c>
      <c r="D96" s="2" t="s">
        <v>158</v>
      </c>
      <c r="E96" s="2" t="s">
        <v>103</v>
      </c>
      <c r="F96" s="2" t="s">
        <v>74</v>
      </c>
      <c r="G96" s="4">
        <v>1.2021900000000001</v>
      </c>
      <c r="H96" s="4">
        <v>2.2983699999999998</v>
      </c>
      <c r="I96" s="4">
        <v>3.7630699999999999</v>
      </c>
      <c r="J96" s="4">
        <v>3.8679000000000001</v>
      </c>
      <c r="K96" s="4">
        <v>3.81332</v>
      </c>
      <c r="L96" s="4">
        <v>3.09707</v>
      </c>
      <c r="M96" s="4">
        <v>3.4635099999999999</v>
      </c>
    </row>
    <row r="97" spans="1:13" hidden="1" x14ac:dyDescent="0.3">
      <c r="A97" s="3" t="s">
        <v>31</v>
      </c>
      <c r="B97" s="3" t="s">
        <v>75</v>
      </c>
      <c r="C97" s="2" t="s">
        <v>157</v>
      </c>
      <c r="D97" s="2" t="s">
        <v>158</v>
      </c>
      <c r="E97" s="2" t="s">
        <v>103</v>
      </c>
      <c r="F97" s="2" t="s">
        <v>72</v>
      </c>
      <c r="G97" s="4">
        <v>1.2021900000000001</v>
      </c>
      <c r="H97" s="4">
        <v>1.3798299999999999</v>
      </c>
      <c r="I97" s="4">
        <v>1.64219</v>
      </c>
      <c r="J97" s="4">
        <v>1.67438</v>
      </c>
      <c r="K97" s="4">
        <v>1.76203</v>
      </c>
      <c r="L97" s="4">
        <v>2.0390799999999998</v>
      </c>
      <c r="M97" s="4">
        <v>2.3054000000000001</v>
      </c>
    </row>
    <row r="98" spans="1:13" hidden="1" x14ac:dyDescent="0.3">
      <c r="A98" s="3" t="s">
        <v>32</v>
      </c>
      <c r="B98" s="3" t="s">
        <v>83</v>
      </c>
      <c r="C98" s="2" t="s">
        <v>159</v>
      </c>
      <c r="D98" s="2" t="s">
        <v>160</v>
      </c>
      <c r="E98" s="2" t="s">
        <v>161</v>
      </c>
      <c r="F98" s="2" t="s">
        <v>74</v>
      </c>
      <c r="G98" s="4">
        <v>0</v>
      </c>
      <c r="H98" s="4">
        <v>0</v>
      </c>
      <c r="I98" s="4">
        <v>47.984299999999998</v>
      </c>
      <c r="J98" s="4">
        <v>213.64599999999999</v>
      </c>
      <c r="K98" s="4">
        <v>671.17499999999995</v>
      </c>
      <c r="L98" s="4">
        <v>747.37699999999995</v>
      </c>
      <c r="M98" s="4">
        <v>705.22699999999998</v>
      </c>
    </row>
    <row r="99" spans="1:13" hidden="1" x14ac:dyDescent="0.3">
      <c r="A99" s="3" t="s">
        <v>32</v>
      </c>
      <c r="B99" s="3" t="s">
        <v>83</v>
      </c>
      <c r="C99" s="2" t="s">
        <v>159</v>
      </c>
      <c r="D99" s="2" t="s">
        <v>160</v>
      </c>
      <c r="E99" s="2" t="s">
        <v>161</v>
      </c>
      <c r="F99" s="2" t="s">
        <v>72</v>
      </c>
      <c r="G99" s="4">
        <v>0</v>
      </c>
      <c r="H99" s="4">
        <v>0</v>
      </c>
      <c r="I99" s="4">
        <v>15.3772</v>
      </c>
      <c r="J99" s="4">
        <v>74.430099999999996</v>
      </c>
      <c r="K99" s="4">
        <v>220.60499999999999</v>
      </c>
      <c r="L99" s="4">
        <v>242.886</v>
      </c>
      <c r="M99" s="4">
        <v>232.96</v>
      </c>
    </row>
    <row r="100" spans="1:13" hidden="1" x14ac:dyDescent="0.3">
      <c r="A100" s="3" t="s">
        <v>34</v>
      </c>
      <c r="B100" s="3" t="s">
        <v>75</v>
      </c>
      <c r="C100" s="2" t="s">
        <v>162</v>
      </c>
      <c r="D100" s="2" t="s">
        <v>163</v>
      </c>
      <c r="E100" s="2" t="s">
        <v>103</v>
      </c>
      <c r="F100" s="2" t="s">
        <v>74</v>
      </c>
      <c r="G100" s="4">
        <v>6.0594599999999996</v>
      </c>
      <c r="H100" s="7">
        <v>11.5845</v>
      </c>
      <c r="I100" s="4">
        <v>18.967099999999999</v>
      </c>
      <c r="J100" s="4">
        <v>19.4955</v>
      </c>
      <c r="K100" s="4">
        <v>19.220400000000001</v>
      </c>
      <c r="L100" s="4">
        <v>15.610300000000001</v>
      </c>
      <c r="M100" s="4">
        <v>17.4572</v>
      </c>
    </row>
    <row r="101" spans="1:13" hidden="1" x14ac:dyDescent="0.3">
      <c r="A101" s="3" t="s">
        <v>34</v>
      </c>
      <c r="B101" s="3" t="s">
        <v>77</v>
      </c>
      <c r="C101" s="2" t="s">
        <v>162</v>
      </c>
      <c r="D101" s="2" t="s">
        <v>163</v>
      </c>
      <c r="E101" s="2" t="s">
        <v>103</v>
      </c>
      <c r="F101" s="2" t="s">
        <v>74</v>
      </c>
      <c r="G101" s="4">
        <v>561.02599999999995</v>
      </c>
      <c r="H101" s="7">
        <v>1012.79</v>
      </c>
      <c r="I101" s="4">
        <v>2156.63</v>
      </c>
      <c r="J101" s="4">
        <v>2029.87</v>
      </c>
      <c r="K101" s="4">
        <v>1639.86</v>
      </c>
      <c r="L101" s="4">
        <v>1142.29</v>
      </c>
      <c r="M101" s="4">
        <v>1692.2</v>
      </c>
    </row>
    <row r="102" spans="1:13" hidden="1" x14ac:dyDescent="0.3">
      <c r="A102" s="3" t="s">
        <v>34</v>
      </c>
      <c r="B102" s="3" t="s">
        <v>75</v>
      </c>
      <c r="C102" s="2" t="s">
        <v>162</v>
      </c>
      <c r="D102" s="2" t="s">
        <v>163</v>
      </c>
      <c r="E102" s="2" t="s">
        <v>103</v>
      </c>
      <c r="F102" s="2" t="s">
        <v>72</v>
      </c>
      <c r="G102" s="4">
        <v>6.0594599999999996</v>
      </c>
      <c r="H102" s="7">
        <v>6.9548300000000003</v>
      </c>
      <c r="I102" s="4">
        <v>8.2772100000000002</v>
      </c>
      <c r="J102" s="4">
        <v>8.4394500000000008</v>
      </c>
      <c r="K102" s="4">
        <v>8.8811999999999998</v>
      </c>
      <c r="L102" s="4">
        <v>10.277699999999999</v>
      </c>
      <c r="M102" s="4">
        <v>11.62</v>
      </c>
    </row>
    <row r="103" spans="1:13" hidden="1" x14ac:dyDescent="0.3">
      <c r="A103" s="3" t="s">
        <v>34</v>
      </c>
      <c r="B103" s="3" t="s">
        <v>77</v>
      </c>
      <c r="C103" s="2" t="s">
        <v>162</v>
      </c>
      <c r="D103" s="2" t="s">
        <v>163</v>
      </c>
      <c r="E103" s="2" t="s">
        <v>103</v>
      </c>
      <c r="F103" s="2" t="s">
        <v>72</v>
      </c>
      <c r="G103" s="4">
        <v>561.02599999999995</v>
      </c>
      <c r="H103" s="7">
        <v>603.42399999999998</v>
      </c>
      <c r="I103" s="4">
        <v>799.38599999999997</v>
      </c>
      <c r="J103" s="4">
        <v>777.39700000000005</v>
      </c>
      <c r="K103" s="4">
        <v>723.09400000000005</v>
      </c>
      <c r="L103" s="4">
        <v>892.28399999999999</v>
      </c>
      <c r="M103" s="4">
        <v>985.18299999999999</v>
      </c>
    </row>
    <row r="104" spans="1:13" hidden="1" x14ac:dyDescent="0.3">
      <c r="A104" s="3" t="s">
        <v>35</v>
      </c>
      <c r="B104" s="3" t="s">
        <v>86</v>
      </c>
      <c r="C104" s="2" t="s">
        <v>164</v>
      </c>
      <c r="D104" s="2" t="s">
        <v>165</v>
      </c>
      <c r="E104" s="2" t="s">
        <v>103</v>
      </c>
      <c r="F104" s="2" t="s">
        <v>74</v>
      </c>
      <c r="G104" s="4">
        <v>0.239703</v>
      </c>
      <c r="H104" s="7">
        <v>4.8254400000000004</v>
      </c>
      <c r="I104" s="4">
        <v>15.6182</v>
      </c>
      <c r="J104" s="4">
        <v>16.046399999999998</v>
      </c>
      <c r="K104" s="4">
        <v>12.6297</v>
      </c>
      <c r="L104" s="4">
        <v>8.6758199999999999</v>
      </c>
      <c r="M104" s="8">
        <v>11.870699999999999</v>
      </c>
    </row>
    <row r="105" spans="1:13" hidden="1" x14ac:dyDescent="0.3">
      <c r="A105" s="3" t="s">
        <v>35</v>
      </c>
      <c r="B105" s="3" t="s">
        <v>86</v>
      </c>
      <c r="C105" s="2" t="s">
        <v>164</v>
      </c>
      <c r="D105" s="2" t="s">
        <v>165</v>
      </c>
      <c r="E105" s="2" t="s">
        <v>103</v>
      </c>
      <c r="F105" s="2" t="s">
        <v>72</v>
      </c>
      <c r="G105" s="4">
        <v>0.239703</v>
      </c>
      <c r="H105" s="4">
        <v>0.329434</v>
      </c>
      <c r="I105" s="4">
        <v>0.71883600000000003</v>
      </c>
      <c r="J105" s="4">
        <v>0.57409399999999999</v>
      </c>
      <c r="K105" s="4">
        <v>0.51584099999999999</v>
      </c>
      <c r="L105" s="4">
        <v>0.55757100000000004</v>
      </c>
      <c r="M105" s="4">
        <v>0.775065</v>
      </c>
    </row>
    <row r="113" spans="7:13" x14ac:dyDescent="0.3">
      <c r="G113" s="4"/>
      <c r="H113" s="4"/>
      <c r="I113" s="4"/>
      <c r="J113" s="4"/>
      <c r="K113" s="4"/>
      <c r="L113" s="4"/>
      <c r="M113" s="4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8778F-4920-4B98-BE30-ECCF54C61BB1}">
  <dimension ref="A1:CU178"/>
  <sheetViews>
    <sheetView topLeftCell="A15" workbookViewId="0">
      <selection activeCell="C85" sqref="C85"/>
    </sheetView>
  </sheetViews>
  <sheetFormatPr defaultColWidth="11.5546875" defaultRowHeight="14.4" x14ac:dyDescent="0.3"/>
  <cols>
    <col min="1" max="1" width="17.33203125" customWidth="1"/>
    <col min="5" max="33" width="10.109375" customWidth="1"/>
    <col min="34" max="34" width="10.77734375" customWidth="1"/>
  </cols>
  <sheetData>
    <row r="1" spans="1:34" x14ac:dyDescent="0.3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t="s">
        <v>41</v>
      </c>
      <c r="G1" t="s">
        <v>42</v>
      </c>
      <c r="H1" t="s">
        <v>43</v>
      </c>
      <c r="I1" t="s">
        <v>44</v>
      </c>
      <c r="J1" t="s">
        <v>45</v>
      </c>
      <c r="K1" t="s">
        <v>46</v>
      </c>
      <c r="L1" t="s">
        <v>47</v>
      </c>
      <c r="M1" t="s">
        <v>48</v>
      </c>
      <c r="N1" t="s">
        <v>49</v>
      </c>
      <c r="O1" t="s">
        <v>50</v>
      </c>
      <c r="P1" t="s">
        <v>51</v>
      </c>
      <c r="Q1" t="s">
        <v>52</v>
      </c>
      <c r="R1" t="s">
        <v>53</v>
      </c>
      <c r="S1" t="s">
        <v>54</v>
      </c>
      <c r="T1" t="s">
        <v>55</v>
      </c>
      <c r="U1" t="s">
        <v>56</v>
      </c>
      <c r="V1" t="s">
        <v>57</v>
      </c>
      <c r="W1" t="s">
        <v>58</v>
      </c>
      <c r="X1" t="s">
        <v>59</v>
      </c>
      <c r="Y1" t="s">
        <v>60</v>
      </c>
      <c r="Z1" t="s">
        <v>61</v>
      </c>
      <c r="AA1" t="s">
        <v>62</v>
      </c>
      <c r="AB1" t="s">
        <v>63</v>
      </c>
      <c r="AC1" t="s">
        <v>64</v>
      </c>
      <c r="AD1" t="s">
        <v>65</v>
      </c>
      <c r="AE1" t="s">
        <v>66</v>
      </c>
      <c r="AF1" t="s">
        <v>67</v>
      </c>
      <c r="AG1" t="s">
        <v>68</v>
      </c>
      <c r="AH1" s="2" t="s">
        <v>69</v>
      </c>
    </row>
    <row r="2" spans="1:34" x14ac:dyDescent="0.3">
      <c r="A2" s="2" t="s">
        <v>70</v>
      </c>
      <c r="B2" s="2" t="s">
        <v>71</v>
      </c>
      <c r="C2" s="3" t="s">
        <v>2</v>
      </c>
      <c r="D2" s="2" t="s">
        <v>72</v>
      </c>
      <c r="E2" s="4">
        <v>10357</v>
      </c>
      <c r="F2" s="4">
        <f t="shared" ref="F2:G21" si="0">(($H2-$E2)/($H$1-$E$1))*(F$1-$E$1)+$E2</f>
        <v>10773.333333333334</v>
      </c>
      <c r="G2" s="4">
        <f t="shared" si="0"/>
        <v>11189.666666666666</v>
      </c>
      <c r="H2" s="4">
        <v>11606</v>
      </c>
      <c r="I2" s="4">
        <f t="shared" ref="I2:L21" si="1">(($M2-$H2)/($M$1-$H$1))*(I$1-$H$1)+$H2</f>
        <v>12190.2</v>
      </c>
      <c r="J2" s="4">
        <f t="shared" si="1"/>
        <v>12774.4</v>
      </c>
      <c r="K2" s="4">
        <f t="shared" si="1"/>
        <v>13358.6</v>
      </c>
      <c r="L2" s="4">
        <f t="shared" si="1"/>
        <v>13942.8</v>
      </c>
      <c r="M2" s="4">
        <v>14527</v>
      </c>
      <c r="N2" s="4">
        <f t="shared" ref="N2:Q21" si="2">(($R2-$M2)/($R$1-$M$1))*(N$1-$M$1)+$M2</f>
        <v>14518</v>
      </c>
      <c r="O2" s="4">
        <f t="shared" si="2"/>
        <v>14509</v>
      </c>
      <c r="P2" s="4">
        <f t="shared" si="2"/>
        <v>14500</v>
      </c>
      <c r="Q2" s="4">
        <f t="shared" si="2"/>
        <v>14491</v>
      </c>
      <c r="R2" s="4">
        <v>14482</v>
      </c>
      <c r="S2" s="4">
        <f t="shared" ref="S2:V21" si="3">(($W2-$R2)/($W$1-$R$1))*(S$1-$R$1)+$R2</f>
        <v>14420.4</v>
      </c>
      <c r="T2" s="4">
        <f t="shared" si="3"/>
        <v>14358.8</v>
      </c>
      <c r="U2" s="4">
        <f t="shared" si="3"/>
        <v>14297.2</v>
      </c>
      <c r="V2" s="4">
        <f t="shared" si="3"/>
        <v>14235.6</v>
      </c>
      <c r="W2" s="4">
        <v>14174</v>
      </c>
      <c r="X2" s="4">
        <f t="shared" ref="X2:AA21" si="4">(($AB2-$W2)/($AB$1-$W$1))*(X$1-$W$1)+$W2</f>
        <v>14327.8</v>
      </c>
      <c r="Y2" s="4">
        <f t="shared" si="4"/>
        <v>14481.6</v>
      </c>
      <c r="Z2" s="4">
        <f t="shared" si="4"/>
        <v>14635.4</v>
      </c>
      <c r="AA2" s="4">
        <f t="shared" si="4"/>
        <v>14789.2</v>
      </c>
      <c r="AB2" s="4">
        <v>14943</v>
      </c>
      <c r="AC2" s="4">
        <f t="shared" ref="AC2:AF21" si="5">(($AG2-$AB2)/($AG$1-$AB$1))*(AC$1-$AB$1)+$AB2</f>
        <v>14823</v>
      </c>
      <c r="AD2" s="4">
        <f t="shared" si="5"/>
        <v>14703</v>
      </c>
      <c r="AE2" s="4">
        <f t="shared" si="5"/>
        <v>14583</v>
      </c>
      <c r="AF2" s="4">
        <f t="shared" si="5"/>
        <v>14463</v>
      </c>
      <c r="AG2" s="4">
        <v>14343</v>
      </c>
      <c r="AH2" s="5">
        <f>SUM(Tableau2[[#This Row],[2022]:[2050]])</f>
        <v>400797</v>
      </c>
    </row>
    <row r="3" spans="1:34" hidden="1" x14ac:dyDescent="0.3">
      <c r="A3" s="2" t="s">
        <v>70</v>
      </c>
      <c r="B3" s="2" t="s">
        <v>71</v>
      </c>
      <c r="C3" s="3" t="s">
        <v>2</v>
      </c>
      <c r="D3" s="2" t="s">
        <v>73</v>
      </c>
      <c r="E3" s="6">
        <v>10357</v>
      </c>
      <c r="F3" s="6">
        <f t="shared" si="0"/>
        <v>10853.333333333334</v>
      </c>
      <c r="G3" s="6">
        <f t="shared" si="0"/>
        <v>11349.666666666666</v>
      </c>
      <c r="H3">
        <v>11846</v>
      </c>
      <c r="I3" s="6">
        <f t="shared" si="1"/>
        <v>12606.6</v>
      </c>
      <c r="J3" s="6">
        <f t="shared" si="1"/>
        <v>13367.2</v>
      </c>
      <c r="K3" s="6">
        <f t="shared" si="1"/>
        <v>14127.8</v>
      </c>
      <c r="L3" s="6">
        <f t="shared" si="1"/>
        <v>14888.4</v>
      </c>
      <c r="M3">
        <v>15649</v>
      </c>
      <c r="N3" s="6">
        <f t="shared" si="2"/>
        <v>15981.2</v>
      </c>
      <c r="O3" s="6">
        <f t="shared" si="2"/>
        <v>16313.4</v>
      </c>
      <c r="P3" s="6">
        <f t="shared" si="2"/>
        <v>16645.599999999999</v>
      </c>
      <c r="Q3" s="6">
        <f t="shared" si="2"/>
        <v>16977.8</v>
      </c>
      <c r="R3">
        <v>17310</v>
      </c>
      <c r="S3" s="6">
        <f t="shared" si="3"/>
        <v>17541.400000000001</v>
      </c>
      <c r="T3" s="6">
        <f t="shared" si="3"/>
        <v>17772.8</v>
      </c>
      <c r="U3" s="6">
        <f t="shared" si="3"/>
        <v>18004.2</v>
      </c>
      <c r="V3" s="6">
        <f t="shared" si="3"/>
        <v>18235.599999999999</v>
      </c>
      <c r="W3">
        <v>18467</v>
      </c>
      <c r="X3" s="6">
        <f t="shared" si="4"/>
        <v>18709.400000000001</v>
      </c>
      <c r="Y3" s="6">
        <f t="shared" si="4"/>
        <v>18951.8</v>
      </c>
      <c r="Z3" s="6">
        <f t="shared" si="4"/>
        <v>19194.2</v>
      </c>
      <c r="AA3" s="6">
        <f t="shared" si="4"/>
        <v>19436.599999999999</v>
      </c>
      <c r="AB3">
        <v>19679</v>
      </c>
      <c r="AC3" s="6">
        <f t="shared" si="5"/>
        <v>19534.599999999999</v>
      </c>
      <c r="AD3" s="6">
        <f t="shared" si="5"/>
        <v>19390.2</v>
      </c>
      <c r="AE3" s="6">
        <f t="shared" si="5"/>
        <v>19245.8</v>
      </c>
      <c r="AF3" s="6">
        <f t="shared" si="5"/>
        <v>19101.400000000001</v>
      </c>
      <c r="AG3">
        <v>18957</v>
      </c>
      <c r="AH3" s="5">
        <f>SUM(Tableau2[[#This Row],[2022]:[2050]])</f>
        <v>480494</v>
      </c>
    </row>
    <row r="4" spans="1:34" x14ac:dyDescent="0.3">
      <c r="A4" s="2" t="s">
        <v>70</v>
      </c>
      <c r="B4" s="2" t="s">
        <v>71</v>
      </c>
      <c r="C4" s="3" t="s">
        <v>2</v>
      </c>
      <c r="D4" s="2" t="s">
        <v>74</v>
      </c>
      <c r="E4" s="4">
        <v>10357</v>
      </c>
      <c r="F4" s="4">
        <f t="shared" si="0"/>
        <v>11045.666666666666</v>
      </c>
      <c r="G4" s="4">
        <f t="shared" si="0"/>
        <v>11734.333333333334</v>
      </c>
      <c r="H4" s="4">
        <v>12423</v>
      </c>
      <c r="I4" s="4">
        <f t="shared" si="1"/>
        <v>13512.8</v>
      </c>
      <c r="J4" s="4">
        <f t="shared" si="1"/>
        <v>14602.6</v>
      </c>
      <c r="K4" s="4">
        <f t="shared" si="1"/>
        <v>15692.4</v>
      </c>
      <c r="L4" s="4">
        <f t="shared" si="1"/>
        <v>16782.2</v>
      </c>
      <c r="M4" s="4">
        <v>17872</v>
      </c>
      <c r="N4" s="4">
        <f t="shared" si="2"/>
        <v>18861.2</v>
      </c>
      <c r="O4" s="4">
        <f t="shared" si="2"/>
        <v>19850.400000000001</v>
      </c>
      <c r="P4" s="4">
        <f t="shared" si="2"/>
        <v>20839.599999999999</v>
      </c>
      <c r="Q4" s="4">
        <f t="shared" si="2"/>
        <v>21828.799999999999</v>
      </c>
      <c r="R4" s="4">
        <v>22818</v>
      </c>
      <c r="S4" s="4">
        <f t="shared" si="3"/>
        <v>23535</v>
      </c>
      <c r="T4" s="4">
        <f t="shared" si="3"/>
        <v>24252</v>
      </c>
      <c r="U4" s="4">
        <f t="shared" si="3"/>
        <v>24969</v>
      </c>
      <c r="V4" s="4">
        <f t="shared" si="3"/>
        <v>25686</v>
      </c>
      <c r="W4" s="4">
        <v>26403</v>
      </c>
      <c r="X4" s="4">
        <f t="shared" si="4"/>
        <v>26152</v>
      </c>
      <c r="Y4" s="4">
        <f t="shared" si="4"/>
        <v>25901</v>
      </c>
      <c r="Z4" s="4">
        <f t="shared" si="4"/>
        <v>25650</v>
      </c>
      <c r="AA4" s="4">
        <f t="shared" si="4"/>
        <v>25399</v>
      </c>
      <c r="AB4" s="4">
        <v>25148</v>
      </c>
      <c r="AC4" s="4">
        <f t="shared" si="5"/>
        <v>24270.2</v>
      </c>
      <c r="AD4" s="4">
        <f t="shared" si="5"/>
        <v>23392.400000000001</v>
      </c>
      <c r="AE4" s="4">
        <f t="shared" si="5"/>
        <v>22514.6</v>
      </c>
      <c r="AF4" s="4">
        <f t="shared" si="5"/>
        <v>21636.799999999999</v>
      </c>
      <c r="AG4" s="4">
        <v>20759</v>
      </c>
      <c r="AH4" s="4">
        <f>SUM(Tableau2[[#This Row],[2022]:[2050]])</f>
        <v>593888</v>
      </c>
    </row>
    <row r="5" spans="1:34" x14ac:dyDescent="0.3">
      <c r="A5" s="2" t="s">
        <v>75</v>
      </c>
      <c r="B5" s="2" t="s">
        <v>76</v>
      </c>
      <c r="C5" s="3" t="s">
        <v>3</v>
      </c>
      <c r="D5" s="2" t="s">
        <v>72</v>
      </c>
      <c r="E5" s="4">
        <v>0</v>
      </c>
      <c r="F5" s="4">
        <f t="shared" si="0"/>
        <v>0</v>
      </c>
      <c r="G5" s="4">
        <f t="shared" si="0"/>
        <v>0</v>
      </c>
      <c r="H5" s="4">
        <v>0</v>
      </c>
      <c r="I5" s="4">
        <f t="shared" si="1"/>
        <v>3.8065799999999997E-2</v>
      </c>
      <c r="J5" s="4">
        <f t="shared" si="1"/>
        <v>7.6131599999999994E-2</v>
      </c>
      <c r="K5" s="4">
        <f t="shared" si="1"/>
        <v>0.11419739999999999</v>
      </c>
      <c r="L5" s="4">
        <f t="shared" si="1"/>
        <v>0.15226319999999999</v>
      </c>
      <c r="M5" s="4">
        <v>0.190329</v>
      </c>
      <c r="N5" s="4">
        <f t="shared" si="2"/>
        <v>0.36922920000000004</v>
      </c>
      <c r="O5" s="4">
        <f t="shared" si="2"/>
        <v>0.54812939999999999</v>
      </c>
      <c r="P5" s="4">
        <f t="shared" si="2"/>
        <v>0.72702960000000005</v>
      </c>
      <c r="Q5" s="4">
        <f t="shared" si="2"/>
        <v>0.90592980000000001</v>
      </c>
      <c r="R5" s="4">
        <v>1.08483</v>
      </c>
      <c r="S5" s="4">
        <f t="shared" si="3"/>
        <v>2.1442220000000001</v>
      </c>
      <c r="T5" s="4">
        <f t="shared" si="3"/>
        <v>3.203614</v>
      </c>
      <c r="U5" s="4">
        <f t="shared" si="3"/>
        <v>4.2630059999999999</v>
      </c>
      <c r="V5" s="4">
        <f t="shared" si="3"/>
        <v>5.3223979999999997</v>
      </c>
      <c r="W5" s="4">
        <v>6.3817899999999996</v>
      </c>
      <c r="X5" s="4">
        <f t="shared" si="4"/>
        <v>6.5824819999999997</v>
      </c>
      <c r="Y5" s="4">
        <f t="shared" si="4"/>
        <v>6.7831739999999998</v>
      </c>
      <c r="Z5" s="4">
        <f t="shared" si="4"/>
        <v>6.9838659999999999</v>
      </c>
      <c r="AA5" s="4">
        <f t="shared" si="4"/>
        <v>7.184558</v>
      </c>
      <c r="AB5" s="4">
        <v>7.3852500000000001</v>
      </c>
      <c r="AC5" s="4">
        <f t="shared" si="5"/>
        <v>7.5781660000000004</v>
      </c>
      <c r="AD5" s="4">
        <f t="shared" si="5"/>
        <v>7.7710820000000007</v>
      </c>
      <c r="AE5" s="4">
        <f t="shared" si="5"/>
        <v>7.9639980000000001</v>
      </c>
      <c r="AF5" s="4">
        <f t="shared" si="5"/>
        <v>8.1569140000000004</v>
      </c>
      <c r="AG5" s="4">
        <v>8.3498300000000008</v>
      </c>
      <c r="AH5" s="5">
        <f>SUM(Tableau2[[#This Row],[2022]:[2050]])</f>
        <v>100.26048500000002</v>
      </c>
    </row>
    <row r="6" spans="1:34" hidden="1" x14ac:dyDescent="0.3">
      <c r="A6" s="2" t="s">
        <v>75</v>
      </c>
      <c r="B6" s="2" t="s">
        <v>76</v>
      </c>
      <c r="C6" s="3" t="s">
        <v>3</v>
      </c>
      <c r="D6" s="2" t="s">
        <v>73</v>
      </c>
      <c r="E6" s="6">
        <v>0</v>
      </c>
      <c r="F6" s="6">
        <f t="shared" si="0"/>
        <v>0</v>
      </c>
      <c r="G6" s="6">
        <f t="shared" si="0"/>
        <v>0</v>
      </c>
      <c r="H6" s="6">
        <v>0</v>
      </c>
      <c r="I6" s="6">
        <f t="shared" si="1"/>
        <v>5.0844999999999994E-2</v>
      </c>
      <c r="J6" s="6">
        <f t="shared" si="1"/>
        <v>0.10168999999999999</v>
      </c>
      <c r="K6" s="6">
        <f t="shared" si="1"/>
        <v>0.15253499999999998</v>
      </c>
      <c r="L6" s="6">
        <f t="shared" si="1"/>
        <v>0.20337999999999998</v>
      </c>
      <c r="M6" s="6">
        <v>0.25422499999999998</v>
      </c>
      <c r="N6" s="6">
        <f t="shared" si="2"/>
        <v>0.53866600000000009</v>
      </c>
      <c r="O6" s="6">
        <f t="shared" si="2"/>
        <v>0.82310700000000003</v>
      </c>
      <c r="P6" s="6">
        <f t="shared" si="2"/>
        <v>1.1075480000000002</v>
      </c>
      <c r="Q6" s="6">
        <f t="shared" si="2"/>
        <v>1.3919890000000001</v>
      </c>
      <c r="R6" s="6">
        <v>1.6764300000000001</v>
      </c>
      <c r="S6" s="6">
        <f t="shared" si="3"/>
        <v>3.2846860000000002</v>
      </c>
      <c r="T6" s="6">
        <f t="shared" si="3"/>
        <v>4.8929420000000006</v>
      </c>
      <c r="U6" s="6">
        <f t="shared" si="3"/>
        <v>6.5011980000000005</v>
      </c>
      <c r="V6" s="6">
        <f t="shared" si="3"/>
        <v>8.1094540000000013</v>
      </c>
      <c r="W6" s="6">
        <v>9.7177100000000003</v>
      </c>
      <c r="X6" s="6">
        <f t="shared" si="4"/>
        <v>10.055747999999999</v>
      </c>
      <c r="Y6" s="6">
        <f t="shared" si="4"/>
        <v>10.393786</v>
      </c>
      <c r="Z6" s="6">
        <f t="shared" si="4"/>
        <v>10.731824</v>
      </c>
      <c r="AA6" s="6">
        <f t="shared" si="4"/>
        <v>11.069862000000001</v>
      </c>
      <c r="AB6" s="6">
        <v>11.4079</v>
      </c>
      <c r="AC6" s="6">
        <f t="shared" si="5"/>
        <v>11.69186</v>
      </c>
      <c r="AD6" s="6">
        <f t="shared" si="5"/>
        <v>11.975820000000001</v>
      </c>
      <c r="AE6" s="6">
        <f t="shared" si="5"/>
        <v>12.259779999999999</v>
      </c>
      <c r="AF6" s="6">
        <f t="shared" si="5"/>
        <v>12.54374</v>
      </c>
      <c r="AG6" s="6">
        <v>12.8277</v>
      </c>
      <c r="AH6" s="5">
        <f>SUM(Tableau2[[#This Row],[2022]:[2050]])</f>
        <v>153.76442500000002</v>
      </c>
    </row>
    <row r="7" spans="1:34" x14ac:dyDescent="0.3">
      <c r="A7" s="2" t="s">
        <v>75</v>
      </c>
      <c r="B7" s="2" t="s">
        <v>76</v>
      </c>
      <c r="C7" s="3" t="s">
        <v>3</v>
      </c>
      <c r="D7" s="2" t="s">
        <v>74</v>
      </c>
      <c r="E7" s="4">
        <v>0</v>
      </c>
      <c r="F7" s="4">
        <f t="shared" si="0"/>
        <v>0</v>
      </c>
      <c r="G7" s="4">
        <f t="shared" si="0"/>
        <v>0</v>
      </c>
      <c r="H7" s="4">
        <v>0</v>
      </c>
      <c r="I7" s="4">
        <f t="shared" si="1"/>
        <v>8.7227200000000005E-2</v>
      </c>
      <c r="J7" s="4">
        <f t="shared" si="1"/>
        <v>0.17445440000000001</v>
      </c>
      <c r="K7" s="4">
        <f t="shared" si="1"/>
        <v>0.26168160000000001</v>
      </c>
      <c r="L7" s="4">
        <f t="shared" si="1"/>
        <v>0.34890880000000002</v>
      </c>
      <c r="M7" s="4">
        <v>0.43613600000000002</v>
      </c>
      <c r="N7" s="4">
        <f t="shared" si="2"/>
        <v>0.8501088</v>
      </c>
      <c r="O7" s="4">
        <f t="shared" si="2"/>
        <v>1.2640815999999999</v>
      </c>
      <c r="P7" s="4">
        <f t="shared" si="2"/>
        <v>1.6780543999999999</v>
      </c>
      <c r="Q7" s="4">
        <f t="shared" si="2"/>
        <v>2.0920272</v>
      </c>
      <c r="R7" s="4">
        <v>2.5059999999999998</v>
      </c>
      <c r="S7" s="4">
        <f t="shared" si="3"/>
        <v>4.767059999999999</v>
      </c>
      <c r="T7" s="4">
        <f t="shared" si="3"/>
        <v>7.0281199999999995</v>
      </c>
      <c r="U7" s="4">
        <f t="shared" si="3"/>
        <v>9.2891799999999982</v>
      </c>
      <c r="V7" s="4">
        <f t="shared" si="3"/>
        <v>11.550239999999999</v>
      </c>
      <c r="W7" s="4">
        <v>13.811299999999999</v>
      </c>
      <c r="X7" s="4">
        <f t="shared" si="4"/>
        <v>13.29246</v>
      </c>
      <c r="Y7" s="4">
        <f t="shared" si="4"/>
        <v>12.773619999999999</v>
      </c>
      <c r="Z7" s="4">
        <f t="shared" si="4"/>
        <v>12.25478</v>
      </c>
      <c r="AA7" s="4">
        <f t="shared" si="4"/>
        <v>11.735939999999999</v>
      </c>
      <c r="AB7" s="4">
        <v>11.2171</v>
      </c>
      <c r="AC7" s="4">
        <f t="shared" si="5"/>
        <v>11.48254</v>
      </c>
      <c r="AD7" s="4">
        <f t="shared" si="5"/>
        <v>11.74798</v>
      </c>
      <c r="AE7" s="4">
        <f t="shared" si="5"/>
        <v>12.01342</v>
      </c>
      <c r="AF7" s="4">
        <f t="shared" si="5"/>
        <v>12.27886</v>
      </c>
      <c r="AG7" s="4">
        <v>12.5443</v>
      </c>
      <c r="AH7" s="4">
        <f>SUM(Tableau2[[#This Row],[2022]:[2050]])</f>
        <v>177.48558</v>
      </c>
    </row>
    <row r="8" spans="1:34" x14ac:dyDescent="0.3">
      <c r="A8" s="2" t="s">
        <v>77</v>
      </c>
      <c r="B8" s="2" t="s">
        <v>78</v>
      </c>
      <c r="C8" s="3" t="s">
        <v>4</v>
      </c>
      <c r="D8" s="2" t="s">
        <v>72</v>
      </c>
      <c r="E8" s="4">
        <v>0.15845699999999999</v>
      </c>
      <c r="F8" s="4">
        <f t="shared" si="0"/>
        <v>0.16416866666666666</v>
      </c>
      <c r="G8" s="4">
        <f t="shared" si="0"/>
        <v>0.16988033333333333</v>
      </c>
      <c r="H8" s="4">
        <v>0.175592</v>
      </c>
      <c r="I8" s="4">
        <f t="shared" si="1"/>
        <v>0.20341319999999999</v>
      </c>
      <c r="J8" s="4">
        <f t="shared" si="1"/>
        <v>0.23123440000000001</v>
      </c>
      <c r="K8" s="4">
        <f t="shared" si="1"/>
        <v>0.2590556</v>
      </c>
      <c r="L8" s="4">
        <f t="shared" si="1"/>
        <v>0.28687679999999999</v>
      </c>
      <c r="M8" s="4">
        <v>0.31469799999999998</v>
      </c>
      <c r="N8" s="4">
        <f t="shared" si="2"/>
        <v>0.30927099999999996</v>
      </c>
      <c r="O8" s="4">
        <f t="shared" si="2"/>
        <v>0.303844</v>
      </c>
      <c r="P8" s="4">
        <f t="shared" si="2"/>
        <v>0.29841699999999999</v>
      </c>
      <c r="Q8" s="4">
        <f t="shared" si="2"/>
        <v>0.29299000000000003</v>
      </c>
      <c r="R8" s="4">
        <v>0.28756300000000001</v>
      </c>
      <c r="S8" s="4">
        <f t="shared" si="3"/>
        <v>0.2819488</v>
      </c>
      <c r="T8" s="4">
        <f t="shared" si="3"/>
        <v>0.27633459999999999</v>
      </c>
      <c r="U8" s="4">
        <f t="shared" si="3"/>
        <v>0.27072040000000003</v>
      </c>
      <c r="V8" s="4">
        <f t="shared" si="3"/>
        <v>0.26510620000000001</v>
      </c>
      <c r="W8" s="4">
        <v>0.259492</v>
      </c>
      <c r="X8" s="4">
        <f t="shared" si="4"/>
        <v>0.27344760000000001</v>
      </c>
      <c r="Y8" s="4">
        <f t="shared" si="4"/>
        <v>0.28740320000000003</v>
      </c>
      <c r="Z8" s="4">
        <f t="shared" si="4"/>
        <v>0.30135880000000004</v>
      </c>
      <c r="AA8" s="4">
        <f t="shared" si="4"/>
        <v>0.31531439999999999</v>
      </c>
      <c r="AB8" s="4">
        <v>0.32927000000000001</v>
      </c>
      <c r="AC8" s="4">
        <f t="shared" si="5"/>
        <v>0.34499920000000001</v>
      </c>
      <c r="AD8" s="4">
        <f t="shared" si="5"/>
        <v>0.3607284</v>
      </c>
      <c r="AE8" s="4">
        <f t="shared" si="5"/>
        <v>0.3764576</v>
      </c>
      <c r="AF8" s="4">
        <f t="shared" si="5"/>
        <v>0.3921868</v>
      </c>
      <c r="AG8" s="4">
        <v>0.407916</v>
      </c>
      <c r="AH8" s="5">
        <f>SUM(Tableau2[[#This Row],[2022]:[2050]])</f>
        <v>8.1981450000000002</v>
      </c>
    </row>
    <row r="9" spans="1:34" hidden="1" x14ac:dyDescent="0.3">
      <c r="A9" s="2" t="s">
        <v>77</v>
      </c>
      <c r="B9" s="2" t="s">
        <v>78</v>
      </c>
      <c r="C9" s="3" t="s">
        <v>4</v>
      </c>
      <c r="D9" s="2" t="s">
        <v>73</v>
      </c>
      <c r="E9" s="6">
        <v>0.15845699999999999</v>
      </c>
      <c r="F9" s="6">
        <f t="shared" si="0"/>
        <v>0.180978</v>
      </c>
      <c r="G9" s="6">
        <f t="shared" si="0"/>
        <v>0.20349899999999999</v>
      </c>
      <c r="H9" s="6">
        <v>0.22602</v>
      </c>
      <c r="I9" s="6">
        <f t="shared" si="1"/>
        <v>0.26273360000000001</v>
      </c>
      <c r="J9" s="6">
        <f t="shared" si="1"/>
        <v>0.29944720000000002</v>
      </c>
      <c r="K9" s="6">
        <f t="shared" si="1"/>
        <v>0.33616079999999998</v>
      </c>
      <c r="L9" s="6">
        <f t="shared" si="1"/>
        <v>0.37287439999999999</v>
      </c>
      <c r="M9" s="6">
        <v>0.40958800000000001</v>
      </c>
      <c r="N9" s="6">
        <f t="shared" si="2"/>
        <v>0.42279880000000003</v>
      </c>
      <c r="O9" s="6">
        <f t="shared" si="2"/>
        <v>0.4360096</v>
      </c>
      <c r="P9" s="6">
        <f t="shared" si="2"/>
        <v>0.44922040000000002</v>
      </c>
      <c r="Q9" s="6">
        <f t="shared" si="2"/>
        <v>0.46243119999999999</v>
      </c>
      <c r="R9" s="6">
        <v>0.47564200000000001</v>
      </c>
      <c r="S9" s="6">
        <f t="shared" si="3"/>
        <v>0.47936299999999998</v>
      </c>
      <c r="T9" s="6">
        <f t="shared" si="3"/>
        <v>0.48308400000000001</v>
      </c>
      <c r="U9" s="6">
        <f t="shared" si="3"/>
        <v>0.48680499999999999</v>
      </c>
      <c r="V9" s="6">
        <f t="shared" si="3"/>
        <v>0.49052600000000002</v>
      </c>
      <c r="W9" s="6">
        <v>0.49424699999999999</v>
      </c>
      <c r="X9" s="6">
        <f t="shared" si="4"/>
        <v>0.50366339999999998</v>
      </c>
      <c r="Y9" s="6">
        <f t="shared" si="4"/>
        <v>0.51307979999999997</v>
      </c>
      <c r="Z9" s="6">
        <f t="shared" si="4"/>
        <v>0.52249619999999997</v>
      </c>
      <c r="AA9" s="6">
        <f t="shared" si="4"/>
        <v>0.53191259999999996</v>
      </c>
      <c r="AB9" s="6">
        <v>0.54132899999999995</v>
      </c>
      <c r="AC9" s="6">
        <f t="shared" si="5"/>
        <v>0.5616816</v>
      </c>
      <c r="AD9" s="6">
        <f t="shared" si="5"/>
        <v>0.58203419999999995</v>
      </c>
      <c r="AE9" s="6">
        <f t="shared" si="5"/>
        <v>0.6023868</v>
      </c>
      <c r="AF9" s="6">
        <f t="shared" si="5"/>
        <v>0.62273939999999994</v>
      </c>
      <c r="AG9" s="6">
        <v>0.643092</v>
      </c>
      <c r="AH9" s="5">
        <f>SUM(Tableau2[[#This Row],[2022]:[2050]])</f>
        <v>12.754300000000001</v>
      </c>
    </row>
    <row r="10" spans="1:34" x14ac:dyDescent="0.3">
      <c r="A10" s="2" t="s">
        <v>77</v>
      </c>
      <c r="B10" s="2" t="s">
        <v>78</v>
      </c>
      <c r="C10" s="3" t="s">
        <v>4</v>
      </c>
      <c r="D10" s="2" t="s">
        <v>74</v>
      </c>
      <c r="E10" s="4">
        <v>0.15845699999999999</v>
      </c>
      <c r="F10" s="4">
        <f t="shared" si="0"/>
        <v>0.19965233333333332</v>
      </c>
      <c r="G10" s="4">
        <f t="shared" si="0"/>
        <v>0.24084766666666665</v>
      </c>
      <c r="H10" s="4">
        <v>0.28204299999999999</v>
      </c>
      <c r="I10" s="4">
        <f t="shared" si="1"/>
        <v>0.3717512</v>
      </c>
      <c r="J10" s="4">
        <f t="shared" si="1"/>
        <v>0.46145939999999996</v>
      </c>
      <c r="K10" s="4">
        <f t="shared" si="1"/>
        <v>0.55116759999999998</v>
      </c>
      <c r="L10" s="4">
        <f t="shared" si="1"/>
        <v>0.6408758</v>
      </c>
      <c r="M10" s="4">
        <v>0.73058400000000001</v>
      </c>
      <c r="N10" s="4">
        <f t="shared" si="2"/>
        <v>0.73005719999999996</v>
      </c>
      <c r="O10" s="4">
        <f t="shared" si="2"/>
        <v>0.72953040000000002</v>
      </c>
      <c r="P10" s="4">
        <f t="shared" si="2"/>
        <v>0.72900359999999997</v>
      </c>
      <c r="Q10" s="4">
        <f t="shared" si="2"/>
        <v>0.72847680000000004</v>
      </c>
      <c r="R10" s="4">
        <v>0.72794999999999999</v>
      </c>
      <c r="S10" s="4">
        <f t="shared" si="3"/>
        <v>0.72057640000000001</v>
      </c>
      <c r="T10" s="4">
        <f t="shared" si="3"/>
        <v>0.71320280000000003</v>
      </c>
      <c r="U10" s="4">
        <f t="shared" si="3"/>
        <v>0.70582919999999993</v>
      </c>
      <c r="V10" s="4">
        <f t="shared" si="3"/>
        <v>0.69845559999999995</v>
      </c>
      <c r="W10" s="4">
        <v>0.69108199999999997</v>
      </c>
      <c r="X10" s="4">
        <f t="shared" si="4"/>
        <v>0.64734179999999997</v>
      </c>
      <c r="Y10" s="4">
        <f t="shared" si="4"/>
        <v>0.60360159999999996</v>
      </c>
      <c r="Z10" s="4">
        <f t="shared" si="4"/>
        <v>0.55986139999999995</v>
      </c>
      <c r="AA10" s="4">
        <f t="shared" si="4"/>
        <v>0.51612119999999995</v>
      </c>
      <c r="AB10" s="4">
        <v>0.472381</v>
      </c>
      <c r="AC10" s="4">
        <f t="shared" si="5"/>
        <v>0.52702740000000003</v>
      </c>
      <c r="AD10" s="4">
        <f t="shared" si="5"/>
        <v>0.58167380000000002</v>
      </c>
      <c r="AE10" s="4">
        <f t="shared" si="5"/>
        <v>0.6363202</v>
      </c>
      <c r="AF10" s="4">
        <f t="shared" si="5"/>
        <v>0.69096659999999999</v>
      </c>
      <c r="AG10" s="4">
        <v>0.74561299999999997</v>
      </c>
      <c r="AH10" s="4">
        <f>SUM(Tableau2[[#This Row],[2022]:[2050]])</f>
        <v>16.791909999999994</v>
      </c>
    </row>
    <row r="11" spans="1:34" x14ac:dyDescent="0.3">
      <c r="A11" s="2" t="s">
        <v>75</v>
      </c>
      <c r="B11" s="2" t="s">
        <v>79</v>
      </c>
      <c r="C11" s="3" t="s">
        <v>5</v>
      </c>
      <c r="D11" s="2" t="s">
        <v>72</v>
      </c>
      <c r="E11" s="4">
        <v>0.40629199999999999</v>
      </c>
      <c r="F11" s="4">
        <f t="shared" si="0"/>
        <v>0.40829833333333332</v>
      </c>
      <c r="G11" s="4">
        <f t="shared" si="0"/>
        <v>0.41030466666666665</v>
      </c>
      <c r="H11" s="4">
        <v>0.41231099999999998</v>
      </c>
      <c r="I11" s="4">
        <f t="shared" si="1"/>
        <v>0.4040802</v>
      </c>
      <c r="J11" s="4">
        <f t="shared" si="1"/>
        <v>0.39584940000000002</v>
      </c>
      <c r="K11" s="4">
        <f t="shared" si="1"/>
        <v>0.38761859999999998</v>
      </c>
      <c r="L11" s="4">
        <f t="shared" si="1"/>
        <v>0.3793878</v>
      </c>
      <c r="M11" s="4">
        <v>0.37115700000000001</v>
      </c>
      <c r="N11" s="4">
        <f t="shared" si="2"/>
        <v>0.37265540000000003</v>
      </c>
      <c r="O11" s="4">
        <f t="shared" si="2"/>
        <v>0.37415380000000004</v>
      </c>
      <c r="P11" s="4">
        <f t="shared" si="2"/>
        <v>0.37565219999999999</v>
      </c>
      <c r="Q11" s="4">
        <f t="shared" si="2"/>
        <v>0.3771506</v>
      </c>
      <c r="R11" s="4">
        <v>0.37864900000000001</v>
      </c>
      <c r="S11" s="4">
        <f t="shared" si="3"/>
        <v>0.38292920000000003</v>
      </c>
      <c r="T11" s="4">
        <f t="shared" si="3"/>
        <v>0.38720940000000004</v>
      </c>
      <c r="U11" s="4">
        <f t="shared" si="3"/>
        <v>0.39148959999999999</v>
      </c>
      <c r="V11" s="4">
        <f t="shared" si="3"/>
        <v>0.3957698</v>
      </c>
      <c r="W11" s="4">
        <v>0.40005000000000002</v>
      </c>
      <c r="X11" s="4">
        <f t="shared" si="4"/>
        <v>0.40952880000000003</v>
      </c>
      <c r="Y11" s="4">
        <f t="shared" si="4"/>
        <v>0.41900760000000004</v>
      </c>
      <c r="Z11" s="4">
        <f t="shared" si="4"/>
        <v>0.42848639999999999</v>
      </c>
      <c r="AA11" s="4">
        <f t="shared" si="4"/>
        <v>0.4379652</v>
      </c>
      <c r="AB11" s="4">
        <v>0.44744400000000001</v>
      </c>
      <c r="AC11" s="4">
        <f t="shared" si="5"/>
        <v>0.45594580000000001</v>
      </c>
      <c r="AD11" s="4">
        <f t="shared" si="5"/>
        <v>0.46444760000000002</v>
      </c>
      <c r="AE11" s="4">
        <f t="shared" si="5"/>
        <v>0.47294940000000002</v>
      </c>
      <c r="AF11" s="4">
        <f t="shared" si="5"/>
        <v>0.48145120000000002</v>
      </c>
      <c r="AG11" s="4">
        <v>0.48995300000000003</v>
      </c>
      <c r="AH11" s="5">
        <f>SUM(Tableau2[[#This Row],[2022]:[2050]])</f>
        <v>11.918187000000003</v>
      </c>
    </row>
    <row r="12" spans="1:34" hidden="1" x14ac:dyDescent="0.3">
      <c r="A12" s="2" t="s">
        <v>75</v>
      </c>
      <c r="B12" s="2" t="s">
        <v>79</v>
      </c>
      <c r="C12" s="3" t="s">
        <v>5</v>
      </c>
      <c r="D12" s="2" t="s">
        <v>73</v>
      </c>
      <c r="E12" s="6">
        <v>0.40629199999999999</v>
      </c>
      <c r="F12" s="6">
        <f t="shared" si="0"/>
        <v>0.43390633333333334</v>
      </c>
      <c r="G12" s="6">
        <f t="shared" si="0"/>
        <v>0.46152066666666663</v>
      </c>
      <c r="H12" s="6">
        <v>0.48913499999999999</v>
      </c>
      <c r="I12" s="6">
        <f t="shared" si="1"/>
        <v>0.48783219999999999</v>
      </c>
      <c r="J12" s="6">
        <f t="shared" si="1"/>
        <v>0.4865294</v>
      </c>
      <c r="K12" s="6">
        <f t="shared" si="1"/>
        <v>0.48522660000000001</v>
      </c>
      <c r="L12" s="6">
        <f t="shared" si="1"/>
        <v>0.48392380000000002</v>
      </c>
      <c r="M12" s="6">
        <v>0.48262100000000002</v>
      </c>
      <c r="N12" s="6">
        <f t="shared" si="2"/>
        <v>0.49567360000000005</v>
      </c>
      <c r="O12" s="6">
        <f t="shared" si="2"/>
        <v>0.50872620000000002</v>
      </c>
      <c r="P12" s="6">
        <f t="shared" si="2"/>
        <v>0.52177879999999999</v>
      </c>
      <c r="Q12" s="6">
        <f t="shared" si="2"/>
        <v>0.53483140000000007</v>
      </c>
      <c r="R12" s="6">
        <v>0.54788400000000004</v>
      </c>
      <c r="S12" s="6">
        <f t="shared" si="3"/>
        <v>0.54629300000000003</v>
      </c>
      <c r="T12" s="6">
        <f t="shared" si="3"/>
        <v>0.54470200000000002</v>
      </c>
      <c r="U12" s="6">
        <f t="shared" si="3"/>
        <v>0.54311100000000001</v>
      </c>
      <c r="V12" s="6">
        <f t="shared" si="3"/>
        <v>0.54152</v>
      </c>
      <c r="W12" s="6">
        <v>0.53992899999999999</v>
      </c>
      <c r="X12" s="6">
        <f t="shared" si="4"/>
        <v>0.54746459999999997</v>
      </c>
      <c r="Y12" s="6">
        <f t="shared" si="4"/>
        <v>0.55500019999999994</v>
      </c>
      <c r="Z12" s="6">
        <f t="shared" si="4"/>
        <v>0.56253580000000003</v>
      </c>
      <c r="AA12" s="6">
        <f t="shared" si="4"/>
        <v>0.57007140000000001</v>
      </c>
      <c r="AB12" s="6">
        <v>0.57760699999999998</v>
      </c>
      <c r="AC12" s="6">
        <f t="shared" si="5"/>
        <v>0.57647300000000001</v>
      </c>
      <c r="AD12" s="6">
        <f t="shared" si="5"/>
        <v>0.57533900000000004</v>
      </c>
      <c r="AE12" s="6">
        <f t="shared" si="5"/>
        <v>0.57420499999999997</v>
      </c>
      <c r="AF12" s="6">
        <f t="shared" si="5"/>
        <v>0.573071</v>
      </c>
      <c r="AG12" s="6">
        <v>0.57193700000000003</v>
      </c>
      <c r="AH12" s="5">
        <f>SUM(Tableau2[[#This Row],[2022]:[2050]])</f>
        <v>15.22514</v>
      </c>
    </row>
    <row r="13" spans="1:34" x14ac:dyDescent="0.3">
      <c r="A13" s="2" t="s">
        <v>75</v>
      </c>
      <c r="B13" s="2" t="s">
        <v>79</v>
      </c>
      <c r="C13" s="3" t="s">
        <v>5</v>
      </c>
      <c r="D13" s="2" t="s">
        <v>74</v>
      </c>
      <c r="E13" s="4">
        <v>0.40629199999999999</v>
      </c>
      <c r="F13" s="4">
        <f t="shared" si="0"/>
        <v>0.52415566666666669</v>
      </c>
      <c r="G13" s="4">
        <f t="shared" si="0"/>
        <v>0.64201933333333328</v>
      </c>
      <c r="H13" s="4">
        <v>0.75988299999999998</v>
      </c>
      <c r="I13" s="4">
        <f t="shared" si="1"/>
        <v>0.84629639999999995</v>
      </c>
      <c r="J13" s="4">
        <f t="shared" si="1"/>
        <v>0.93270980000000003</v>
      </c>
      <c r="K13" s="4">
        <f t="shared" si="1"/>
        <v>1.0191232000000001</v>
      </c>
      <c r="L13" s="4">
        <f t="shared" si="1"/>
        <v>1.1055366</v>
      </c>
      <c r="M13" s="4">
        <v>1.1919500000000001</v>
      </c>
      <c r="N13" s="4">
        <f t="shared" si="2"/>
        <v>1.173794</v>
      </c>
      <c r="O13" s="4">
        <f t="shared" si="2"/>
        <v>1.1556379999999999</v>
      </c>
      <c r="P13" s="4">
        <f t="shared" si="2"/>
        <v>1.1374820000000001</v>
      </c>
      <c r="Q13" s="4">
        <f t="shared" si="2"/>
        <v>1.119326</v>
      </c>
      <c r="R13" s="4">
        <v>1.10117</v>
      </c>
      <c r="S13" s="4">
        <f t="shared" si="3"/>
        <v>1.067321</v>
      </c>
      <c r="T13" s="4">
        <f t="shared" si="3"/>
        <v>1.0334719999999999</v>
      </c>
      <c r="U13" s="4">
        <f t="shared" si="3"/>
        <v>0.99962299999999993</v>
      </c>
      <c r="V13" s="4">
        <f t="shared" si="3"/>
        <v>0.96577400000000002</v>
      </c>
      <c r="W13" s="4">
        <v>0.931925</v>
      </c>
      <c r="X13" s="4">
        <f t="shared" si="4"/>
        <v>0.86118099999999997</v>
      </c>
      <c r="Y13" s="4">
        <f t="shared" si="4"/>
        <v>0.79043700000000006</v>
      </c>
      <c r="Z13" s="4">
        <f t="shared" si="4"/>
        <v>0.71969300000000003</v>
      </c>
      <c r="AA13" s="4">
        <f t="shared" si="4"/>
        <v>0.648949</v>
      </c>
      <c r="AB13" s="4">
        <v>0.57820499999999997</v>
      </c>
      <c r="AC13" s="4">
        <f t="shared" si="5"/>
        <v>0.54489359999999998</v>
      </c>
      <c r="AD13" s="4">
        <f t="shared" si="5"/>
        <v>0.51158219999999999</v>
      </c>
      <c r="AE13" s="4">
        <f t="shared" si="5"/>
        <v>0.4782708</v>
      </c>
      <c r="AF13" s="4">
        <f t="shared" si="5"/>
        <v>0.4449594</v>
      </c>
      <c r="AG13" s="4">
        <v>0.41164800000000001</v>
      </c>
      <c r="AH13" s="4">
        <f>SUM(Tableau2[[#This Row],[2022]:[2050]])</f>
        <v>24.103309999999993</v>
      </c>
    </row>
    <row r="14" spans="1:34" hidden="1" x14ac:dyDescent="0.3">
      <c r="A14" s="2" t="s">
        <v>80</v>
      </c>
      <c r="B14" s="2" t="s">
        <v>81</v>
      </c>
      <c r="C14" s="3" t="s">
        <v>6</v>
      </c>
      <c r="D14" s="2" t="s">
        <v>73</v>
      </c>
      <c r="E14" s="2">
        <v>130.79300000000001</v>
      </c>
      <c r="F14" s="6">
        <f t="shared" si="0"/>
        <v>153.85936666666669</v>
      </c>
      <c r="G14" s="6">
        <f t="shared" si="0"/>
        <v>176.92573333333334</v>
      </c>
      <c r="H14" s="6">
        <v>199.99210000000002</v>
      </c>
      <c r="I14" s="6">
        <f t="shared" si="1"/>
        <v>244.87968000000001</v>
      </c>
      <c r="J14" s="6">
        <f t="shared" si="1"/>
        <v>289.76725999999996</v>
      </c>
      <c r="K14" s="6">
        <f t="shared" si="1"/>
        <v>334.65483999999998</v>
      </c>
      <c r="L14" s="6">
        <f t="shared" si="1"/>
        <v>379.54241999999999</v>
      </c>
      <c r="M14" s="6">
        <v>424.42999999999995</v>
      </c>
      <c r="N14" s="6">
        <f t="shared" si="2"/>
        <v>420.72919999999999</v>
      </c>
      <c r="O14" s="6">
        <f t="shared" si="2"/>
        <v>417.02839999999998</v>
      </c>
      <c r="P14" s="6">
        <f t="shared" si="2"/>
        <v>413.32760000000002</v>
      </c>
      <c r="Q14" s="6">
        <f t="shared" si="2"/>
        <v>409.6268</v>
      </c>
      <c r="R14" s="6">
        <v>405.92600000000004</v>
      </c>
      <c r="S14" s="6">
        <f t="shared" si="3"/>
        <v>422.31000000000006</v>
      </c>
      <c r="T14" s="6">
        <f t="shared" si="3"/>
        <v>438.69400000000002</v>
      </c>
      <c r="U14" s="6">
        <f t="shared" si="3"/>
        <v>455.07800000000003</v>
      </c>
      <c r="V14" s="6">
        <f t="shared" si="3"/>
        <v>471.46199999999999</v>
      </c>
      <c r="W14" s="6">
        <v>487.846</v>
      </c>
      <c r="X14" s="6">
        <f t="shared" si="4"/>
        <v>463.3218</v>
      </c>
      <c r="Y14" s="6">
        <f t="shared" si="4"/>
        <v>438.79759999999999</v>
      </c>
      <c r="Z14" s="6">
        <f t="shared" si="4"/>
        <v>414.27340000000004</v>
      </c>
      <c r="AA14" s="6">
        <f t="shared" si="4"/>
        <v>389.74920000000003</v>
      </c>
      <c r="AB14" s="6">
        <v>365.22500000000002</v>
      </c>
      <c r="AC14" s="6">
        <f t="shared" si="5"/>
        <v>377.48540000000003</v>
      </c>
      <c r="AD14" s="6">
        <f t="shared" si="5"/>
        <v>389.74580000000003</v>
      </c>
      <c r="AE14" s="6">
        <f t="shared" si="5"/>
        <v>402.00620000000004</v>
      </c>
      <c r="AF14" s="6">
        <f t="shared" si="5"/>
        <v>414.26660000000004</v>
      </c>
      <c r="AG14" s="6">
        <v>426.52700000000004</v>
      </c>
      <c r="AH14" s="5">
        <f>SUM(Tableau2[[#This Row],[2022]:[2050]])</f>
        <v>10758.270400000001</v>
      </c>
    </row>
    <row r="15" spans="1:34" x14ac:dyDescent="0.3">
      <c r="A15" s="2" t="s">
        <v>80</v>
      </c>
      <c r="B15" s="2" t="s">
        <v>81</v>
      </c>
      <c r="C15" s="3" t="s">
        <v>6</v>
      </c>
      <c r="D15" s="2" t="s">
        <v>72</v>
      </c>
      <c r="E15" s="7">
        <v>130.79300000000001</v>
      </c>
      <c r="F15" s="4">
        <f t="shared" si="0"/>
        <v>141.4556</v>
      </c>
      <c r="G15" s="4">
        <f t="shared" si="0"/>
        <v>152.1182</v>
      </c>
      <c r="H15" s="4">
        <v>162.7808</v>
      </c>
      <c r="I15" s="4">
        <f t="shared" si="1"/>
        <v>188.71564000000001</v>
      </c>
      <c r="J15" s="4">
        <f t="shared" si="1"/>
        <v>214.65047999999999</v>
      </c>
      <c r="K15" s="4">
        <f t="shared" si="1"/>
        <v>240.58532</v>
      </c>
      <c r="L15" s="4">
        <f t="shared" si="1"/>
        <v>266.52015999999998</v>
      </c>
      <c r="M15" s="4">
        <v>292.45499999999998</v>
      </c>
      <c r="N15" s="4">
        <f t="shared" si="2"/>
        <v>282.72705999999999</v>
      </c>
      <c r="O15" s="4">
        <f t="shared" si="2"/>
        <v>272.99912</v>
      </c>
      <c r="P15" s="4">
        <f t="shared" si="2"/>
        <v>263.27117999999996</v>
      </c>
      <c r="Q15" s="4">
        <f t="shared" si="2"/>
        <v>253.54323999999997</v>
      </c>
      <c r="R15" s="4">
        <v>243.81529999999998</v>
      </c>
      <c r="S15" s="4">
        <f t="shared" si="3"/>
        <v>267.38292000000001</v>
      </c>
      <c r="T15" s="4">
        <f t="shared" si="3"/>
        <v>290.95053999999999</v>
      </c>
      <c r="U15" s="4">
        <f t="shared" si="3"/>
        <v>314.51816000000002</v>
      </c>
      <c r="V15" s="4">
        <f t="shared" si="3"/>
        <v>338.08578</v>
      </c>
      <c r="W15" s="4">
        <v>361.65340000000003</v>
      </c>
      <c r="X15" s="4">
        <f t="shared" si="4"/>
        <v>339.29048</v>
      </c>
      <c r="Y15" s="4">
        <f t="shared" si="4"/>
        <v>316.92756000000003</v>
      </c>
      <c r="Z15" s="4">
        <f t="shared" si="4"/>
        <v>294.56464</v>
      </c>
      <c r="AA15" s="4">
        <f t="shared" si="4"/>
        <v>272.20172000000002</v>
      </c>
      <c r="AB15" s="4">
        <v>249.83879999999999</v>
      </c>
      <c r="AC15" s="4">
        <f t="shared" si="5"/>
        <v>247.07934</v>
      </c>
      <c r="AD15" s="4">
        <f t="shared" si="5"/>
        <v>244.31987999999998</v>
      </c>
      <c r="AE15" s="4">
        <f t="shared" si="5"/>
        <v>241.56041999999999</v>
      </c>
      <c r="AF15" s="4">
        <f t="shared" si="5"/>
        <v>238.80095999999998</v>
      </c>
      <c r="AG15" s="4">
        <v>236.04149999999998</v>
      </c>
      <c r="AH15" s="5">
        <f>SUM(Tableau2[[#This Row],[2022]:[2050]])</f>
        <v>7359.6462000000001</v>
      </c>
    </row>
    <row r="16" spans="1:34" x14ac:dyDescent="0.3">
      <c r="A16" s="2" t="s">
        <v>80</v>
      </c>
      <c r="B16" s="2" t="s">
        <v>81</v>
      </c>
      <c r="C16" s="3" t="s">
        <v>6</v>
      </c>
      <c r="D16" s="2" t="s">
        <v>74</v>
      </c>
      <c r="E16" s="7">
        <v>130.79300000000001</v>
      </c>
      <c r="F16" s="4">
        <f t="shared" si="0"/>
        <v>192.7379</v>
      </c>
      <c r="G16" s="4">
        <f t="shared" si="0"/>
        <v>254.68279999999999</v>
      </c>
      <c r="H16" s="4">
        <v>316.6277</v>
      </c>
      <c r="I16" s="4">
        <f t="shared" si="1"/>
        <v>384.72316000000001</v>
      </c>
      <c r="J16" s="4">
        <f t="shared" si="1"/>
        <v>452.81862000000001</v>
      </c>
      <c r="K16" s="4">
        <f t="shared" si="1"/>
        <v>520.91408000000001</v>
      </c>
      <c r="L16" s="4">
        <f t="shared" si="1"/>
        <v>589.00954000000002</v>
      </c>
      <c r="M16" s="4">
        <v>657.10500000000002</v>
      </c>
      <c r="N16" s="4">
        <f t="shared" si="2"/>
        <v>640.42899999999997</v>
      </c>
      <c r="O16" s="4">
        <f t="shared" si="2"/>
        <v>623.75299999999993</v>
      </c>
      <c r="P16" s="4">
        <f t="shared" si="2"/>
        <v>607.077</v>
      </c>
      <c r="Q16" s="4">
        <f t="shared" si="2"/>
        <v>590.40099999999995</v>
      </c>
      <c r="R16" s="4">
        <v>573.72499999999991</v>
      </c>
      <c r="S16" s="4">
        <f t="shared" si="3"/>
        <v>573.12899999999991</v>
      </c>
      <c r="T16" s="4">
        <f t="shared" si="3"/>
        <v>572.53300000000002</v>
      </c>
      <c r="U16" s="4">
        <f t="shared" si="3"/>
        <v>571.93700000000001</v>
      </c>
      <c r="V16" s="4">
        <f t="shared" si="3"/>
        <v>571.34100000000012</v>
      </c>
      <c r="W16" s="4">
        <v>570.74500000000012</v>
      </c>
      <c r="X16" s="4">
        <f t="shared" si="4"/>
        <v>528.53520000000015</v>
      </c>
      <c r="Y16" s="4">
        <f t="shared" si="4"/>
        <v>486.32540000000006</v>
      </c>
      <c r="Z16" s="4">
        <f t="shared" si="4"/>
        <v>444.11560000000009</v>
      </c>
      <c r="AA16" s="4">
        <f t="shared" si="4"/>
        <v>401.90580000000006</v>
      </c>
      <c r="AB16" s="4">
        <v>359.69600000000003</v>
      </c>
      <c r="AC16" s="4">
        <f t="shared" si="5"/>
        <v>348.56120000000004</v>
      </c>
      <c r="AD16" s="4">
        <f t="shared" si="5"/>
        <v>337.42640000000006</v>
      </c>
      <c r="AE16" s="4">
        <f t="shared" si="5"/>
        <v>326.29160000000002</v>
      </c>
      <c r="AF16" s="4">
        <f t="shared" si="5"/>
        <v>315.15680000000003</v>
      </c>
      <c r="AG16" s="4">
        <v>304.02200000000005</v>
      </c>
      <c r="AH16" s="4">
        <f>SUM(Tableau2[[#This Row],[2022]:[2050]])</f>
        <v>13246.517800000005</v>
      </c>
    </row>
    <row r="17" spans="1:37" x14ac:dyDescent="0.3">
      <c r="A17" s="2" t="s">
        <v>77</v>
      </c>
      <c r="B17" s="2" t="s">
        <v>82</v>
      </c>
      <c r="C17" s="3" t="s">
        <v>6</v>
      </c>
      <c r="D17" s="2" t="s">
        <v>72</v>
      </c>
      <c r="E17" s="4">
        <v>50.316000000000003</v>
      </c>
      <c r="F17" s="4">
        <f t="shared" si="0"/>
        <v>51.60306666666667</v>
      </c>
      <c r="G17" s="4">
        <f t="shared" si="0"/>
        <v>52.890133333333331</v>
      </c>
      <c r="H17" s="4">
        <v>54.177199999999999</v>
      </c>
      <c r="I17" s="4">
        <f t="shared" si="1"/>
        <v>57.876759999999997</v>
      </c>
      <c r="J17" s="4">
        <f t="shared" si="1"/>
        <v>61.576319999999996</v>
      </c>
      <c r="K17" s="4">
        <f t="shared" si="1"/>
        <v>65.275880000000001</v>
      </c>
      <c r="L17" s="4">
        <f t="shared" si="1"/>
        <v>68.975439999999992</v>
      </c>
      <c r="M17" s="4">
        <v>72.674999999999997</v>
      </c>
      <c r="N17" s="4">
        <f t="shared" si="2"/>
        <v>72.275139999999993</v>
      </c>
      <c r="O17" s="4">
        <f t="shared" si="2"/>
        <v>71.875280000000004</v>
      </c>
      <c r="P17" s="4">
        <f t="shared" si="2"/>
        <v>71.47542</v>
      </c>
      <c r="Q17" s="4">
        <f t="shared" si="2"/>
        <v>71.07556000000001</v>
      </c>
      <c r="R17" s="4">
        <v>70.675700000000006</v>
      </c>
      <c r="S17" s="4">
        <f t="shared" si="3"/>
        <v>69.713680000000011</v>
      </c>
      <c r="T17" s="4">
        <f t="shared" si="3"/>
        <v>68.751660000000001</v>
      </c>
      <c r="U17" s="4">
        <f t="shared" si="3"/>
        <v>67.789640000000006</v>
      </c>
      <c r="V17" s="4">
        <f t="shared" si="3"/>
        <v>66.827619999999996</v>
      </c>
      <c r="W17" s="4">
        <v>65.865600000000001</v>
      </c>
      <c r="X17" s="4">
        <f t="shared" si="4"/>
        <v>68.950919999999996</v>
      </c>
      <c r="Y17" s="4">
        <f t="shared" si="4"/>
        <v>72.036239999999992</v>
      </c>
      <c r="Z17" s="4">
        <f t="shared" si="4"/>
        <v>75.121559999999988</v>
      </c>
      <c r="AA17" s="4">
        <f t="shared" si="4"/>
        <v>78.206879999999998</v>
      </c>
      <c r="AB17" s="4">
        <v>81.292199999999994</v>
      </c>
      <c r="AC17" s="4">
        <f t="shared" si="5"/>
        <v>83.048059999999992</v>
      </c>
      <c r="AD17" s="4">
        <f t="shared" si="5"/>
        <v>84.803919999999991</v>
      </c>
      <c r="AE17" s="4">
        <f t="shared" si="5"/>
        <v>86.559780000000003</v>
      </c>
      <c r="AF17" s="4">
        <f t="shared" si="5"/>
        <v>88.315640000000002</v>
      </c>
      <c r="AG17" s="4">
        <v>90.0715</v>
      </c>
      <c r="AH17" s="5">
        <f>SUM(Tableau2[[#This Row],[2022]:[2050]])</f>
        <v>2040.0978000000002</v>
      </c>
    </row>
    <row r="18" spans="1:37" x14ac:dyDescent="0.3">
      <c r="A18" s="2" t="s">
        <v>77</v>
      </c>
      <c r="B18" s="2" t="s">
        <v>82</v>
      </c>
      <c r="C18" s="3" t="s">
        <v>6</v>
      </c>
      <c r="D18" s="2" t="s">
        <v>74</v>
      </c>
      <c r="E18" s="4">
        <v>50.316000000000003</v>
      </c>
      <c r="F18" s="4">
        <f t="shared" si="0"/>
        <v>63.805433333333333</v>
      </c>
      <c r="G18" s="4">
        <f t="shared" si="0"/>
        <v>77.294866666666664</v>
      </c>
      <c r="H18" s="4">
        <v>90.784300000000002</v>
      </c>
      <c r="I18" s="4">
        <f t="shared" si="1"/>
        <v>111.57724</v>
      </c>
      <c r="J18" s="4">
        <f t="shared" si="1"/>
        <v>132.37018</v>
      </c>
      <c r="K18" s="4">
        <f t="shared" si="1"/>
        <v>153.16311999999999</v>
      </c>
      <c r="L18" s="4">
        <f t="shared" si="1"/>
        <v>173.95605999999998</v>
      </c>
      <c r="M18" s="4">
        <v>194.749</v>
      </c>
      <c r="N18" s="4">
        <f t="shared" si="2"/>
        <v>192.66120000000001</v>
      </c>
      <c r="O18" s="4">
        <f t="shared" si="2"/>
        <v>190.57339999999999</v>
      </c>
      <c r="P18" s="4">
        <f t="shared" si="2"/>
        <v>188.48560000000001</v>
      </c>
      <c r="Q18" s="4">
        <f t="shared" si="2"/>
        <v>186.39779999999999</v>
      </c>
      <c r="R18" s="4">
        <v>184.31</v>
      </c>
      <c r="S18" s="4">
        <f t="shared" si="3"/>
        <v>177.512</v>
      </c>
      <c r="T18" s="4">
        <f t="shared" si="3"/>
        <v>170.714</v>
      </c>
      <c r="U18" s="4">
        <f t="shared" si="3"/>
        <v>163.916</v>
      </c>
      <c r="V18" s="4">
        <f t="shared" si="3"/>
        <v>157.11799999999999</v>
      </c>
      <c r="W18" s="4">
        <v>150.32</v>
      </c>
      <c r="X18" s="4">
        <f t="shared" si="4"/>
        <v>141.15899999999999</v>
      </c>
      <c r="Y18" s="4">
        <f t="shared" si="4"/>
        <v>131.99799999999999</v>
      </c>
      <c r="Z18" s="4">
        <f t="shared" si="4"/>
        <v>122.837</v>
      </c>
      <c r="AA18" s="4">
        <f t="shared" si="4"/>
        <v>113.676</v>
      </c>
      <c r="AB18" s="4">
        <v>104.515</v>
      </c>
      <c r="AC18" s="4">
        <f t="shared" si="5"/>
        <v>114.62860000000001</v>
      </c>
      <c r="AD18" s="4">
        <f t="shared" si="5"/>
        <v>124.7422</v>
      </c>
      <c r="AE18" s="4">
        <f t="shared" si="5"/>
        <v>134.85579999999999</v>
      </c>
      <c r="AF18" s="4">
        <f t="shared" si="5"/>
        <v>144.96940000000001</v>
      </c>
      <c r="AG18" s="4">
        <v>155.083</v>
      </c>
      <c r="AH18" s="4">
        <f>SUM(Tableau2[[#This Row],[2022]:[2050]])</f>
        <v>4098.4881999999998</v>
      </c>
    </row>
    <row r="19" spans="1:37" hidden="1" x14ac:dyDescent="0.3">
      <c r="A19" s="2" t="s">
        <v>77</v>
      </c>
      <c r="B19" s="2" t="s">
        <v>82</v>
      </c>
      <c r="C19" s="3" t="s">
        <v>6</v>
      </c>
      <c r="D19" s="2" t="s">
        <v>73</v>
      </c>
      <c r="E19" s="6">
        <v>50.316000000000003</v>
      </c>
      <c r="F19" s="6">
        <f t="shared" si="0"/>
        <v>56.085633333333334</v>
      </c>
      <c r="G19" s="6">
        <f t="shared" si="0"/>
        <v>61.855266666666665</v>
      </c>
      <c r="H19">
        <v>67.624899999999997</v>
      </c>
      <c r="I19" s="6">
        <f t="shared" si="1"/>
        <v>74.774720000000002</v>
      </c>
      <c r="J19" s="6">
        <f t="shared" si="1"/>
        <v>81.924539999999993</v>
      </c>
      <c r="K19" s="6">
        <f t="shared" si="1"/>
        <v>89.074359999999999</v>
      </c>
      <c r="L19" s="6">
        <f t="shared" si="1"/>
        <v>96.22417999999999</v>
      </c>
      <c r="M19">
        <v>103.374</v>
      </c>
      <c r="N19" s="6">
        <f t="shared" si="2"/>
        <v>105.8626</v>
      </c>
      <c r="O19" s="6">
        <f t="shared" si="2"/>
        <v>108.35119999999999</v>
      </c>
      <c r="P19" s="6">
        <f t="shared" si="2"/>
        <v>110.8398</v>
      </c>
      <c r="Q19" s="6">
        <f t="shared" si="2"/>
        <v>113.32839999999999</v>
      </c>
      <c r="R19">
        <v>115.81699999999999</v>
      </c>
      <c r="S19" s="6">
        <f t="shared" si="3"/>
        <v>116.36619999999999</v>
      </c>
      <c r="T19" s="6">
        <f t="shared" si="3"/>
        <v>116.91539999999999</v>
      </c>
      <c r="U19" s="6">
        <f t="shared" si="3"/>
        <v>117.4646</v>
      </c>
      <c r="V19" s="6">
        <f t="shared" si="3"/>
        <v>118.0138</v>
      </c>
      <c r="W19">
        <v>118.563</v>
      </c>
      <c r="X19" s="6">
        <f t="shared" si="4"/>
        <v>118.4456</v>
      </c>
      <c r="Y19" s="6">
        <f t="shared" si="4"/>
        <v>118.3282</v>
      </c>
      <c r="Z19" s="6">
        <f t="shared" si="4"/>
        <v>118.21080000000001</v>
      </c>
      <c r="AA19" s="6">
        <f t="shared" si="4"/>
        <v>118.0934</v>
      </c>
      <c r="AB19">
        <v>117.976</v>
      </c>
      <c r="AC19" s="6">
        <f t="shared" si="5"/>
        <v>120.657</v>
      </c>
      <c r="AD19" s="6">
        <f t="shared" si="5"/>
        <v>123.33799999999999</v>
      </c>
      <c r="AE19" s="6">
        <f t="shared" si="5"/>
        <v>126.01900000000001</v>
      </c>
      <c r="AF19" s="6">
        <f t="shared" si="5"/>
        <v>128.69999999999999</v>
      </c>
      <c r="AG19">
        <v>131.381</v>
      </c>
      <c r="AH19" s="5">
        <f>SUM(Tableau2[[#This Row],[2022]:[2050]])</f>
        <v>3043.9246000000007</v>
      </c>
    </row>
    <row r="20" spans="1:37" x14ac:dyDescent="0.3">
      <c r="A20" s="2" t="s">
        <v>83</v>
      </c>
      <c r="B20" s="2" t="s">
        <v>84</v>
      </c>
      <c r="C20" s="3" t="s">
        <v>7</v>
      </c>
      <c r="D20" s="2" t="s">
        <v>72</v>
      </c>
      <c r="E20" s="7">
        <v>3.58853</v>
      </c>
      <c r="F20" s="4">
        <f t="shared" si="0"/>
        <v>3.4224866666666665</v>
      </c>
      <c r="G20" s="4">
        <f t="shared" si="0"/>
        <v>3.2564433333333334</v>
      </c>
      <c r="H20" s="4">
        <v>3.0903999999999998</v>
      </c>
      <c r="I20" s="4">
        <f t="shared" si="1"/>
        <v>3.56325</v>
      </c>
      <c r="J20" s="4">
        <f t="shared" si="1"/>
        <v>4.0361000000000002</v>
      </c>
      <c r="K20" s="4">
        <f t="shared" si="1"/>
        <v>4.5089500000000005</v>
      </c>
      <c r="L20" s="4">
        <f t="shared" si="1"/>
        <v>4.9817999999999998</v>
      </c>
      <c r="M20" s="4">
        <v>5.45465</v>
      </c>
      <c r="N20" s="4">
        <f t="shared" si="2"/>
        <v>5.5984020000000001</v>
      </c>
      <c r="O20" s="4">
        <f t="shared" si="2"/>
        <v>5.7421540000000002</v>
      </c>
      <c r="P20" s="4">
        <f t="shared" si="2"/>
        <v>5.8859059999999994</v>
      </c>
      <c r="Q20" s="4">
        <f t="shared" si="2"/>
        <v>6.0296579999999995</v>
      </c>
      <c r="R20" s="4">
        <v>6.1734099999999996</v>
      </c>
      <c r="S20" s="4">
        <f t="shared" si="3"/>
        <v>5.8878139999999997</v>
      </c>
      <c r="T20" s="4">
        <f t="shared" si="3"/>
        <v>5.6022179999999997</v>
      </c>
      <c r="U20" s="4">
        <f t="shared" si="3"/>
        <v>5.3166219999999997</v>
      </c>
      <c r="V20" s="4">
        <f t="shared" si="3"/>
        <v>5.0310259999999998</v>
      </c>
      <c r="W20" s="4">
        <v>4.7454299999999998</v>
      </c>
      <c r="X20" s="4">
        <f t="shared" si="4"/>
        <v>4.2481260000000001</v>
      </c>
      <c r="Y20" s="4">
        <f t="shared" si="4"/>
        <v>3.7508219999999999</v>
      </c>
      <c r="Z20" s="4">
        <f t="shared" si="4"/>
        <v>3.2535180000000001</v>
      </c>
      <c r="AA20" s="4">
        <f t="shared" si="4"/>
        <v>2.7562139999999999</v>
      </c>
      <c r="AB20" s="4">
        <v>2.2589100000000002</v>
      </c>
      <c r="AC20" s="4">
        <f t="shared" si="5"/>
        <v>1.8071280000000001</v>
      </c>
      <c r="AD20" s="4">
        <f t="shared" si="5"/>
        <v>1.3553460000000002</v>
      </c>
      <c r="AE20" s="4">
        <f t="shared" si="5"/>
        <v>0.90356400000000026</v>
      </c>
      <c r="AF20" s="4">
        <f t="shared" si="5"/>
        <v>0.45178200000000013</v>
      </c>
      <c r="AG20" s="4">
        <v>0</v>
      </c>
      <c r="AH20" s="5">
        <f>SUM(Tableau2[[#This Row],[2022]:[2050]])</f>
        <v>112.70065999999998</v>
      </c>
    </row>
    <row r="21" spans="1:37" hidden="1" x14ac:dyDescent="0.3">
      <c r="A21" s="2" t="s">
        <v>83</v>
      </c>
      <c r="B21" s="2" t="s">
        <v>84</v>
      </c>
      <c r="C21" s="3" t="s">
        <v>7</v>
      </c>
      <c r="D21" s="2" t="s">
        <v>73</v>
      </c>
      <c r="E21" s="2">
        <v>3.58853</v>
      </c>
      <c r="F21" s="6">
        <f t="shared" si="0"/>
        <v>3.7899733333333332</v>
      </c>
      <c r="G21" s="6">
        <f t="shared" si="0"/>
        <v>3.9914166666666664</v>
      </c>
      <c r="H21">
        <v>4.1928599999999996</v>
      </c>
      <c r="I21" s="6">
        <f t="shared" si="1"/>
        <v>5.0628259999999994</v>
      </c>
      <c r="J21" s="6">
        <f t="shared" si="1"/>
        <v>5.9327920000000001</v>
      </c>
      <c r="K21" s="6">
        <f t="shared" si="1"/>
        <v>6.8027579999999999</v>
      </c>
      <c r="L21" s="6">
        <f t="shared" si="1"/>
        <v>7.6727240000000005</v>
      </c>
      <c r="M21">
        <v>8.5426900000000003</v>
      </c>
      <c r="N21" s="6">
        <f t="shared" si="2"/>
        <v>8.6858120000000003</v>
      </c>
      <c r="O21" s="6">
        <f t="shared" si="2"/>
        <v>8.8289340000000003</v>
      </c>
      <c r="P21" s="6">
        <f t="shared" si="2"/>
        <v>8.9720560000000003</v>
      </c>
      <c r="Q21" s="6">
        <f t="shared" si="2"/>
        <v>9.1151780000000002</v>
      </c>
      <c r="R21">
        <v>9.2583000000000002</v>
      </c>
      <c r="S21" s="6">
        <f t="shared" si="3"/>
        <v>8.9894180000000006</v>
      </c>
      <c r="T21" s="6">
        <f t="shared" si="3"/>
        <v>8.720536000000001</v>
      </c>
      <c r="U21" s="6">
        <f t="shared" si="3"/>
        <v>8.4516539999999996</v>
      </c>
      <c r="V21" s="6">
        <f t="shared" si="3"/>
        <v>8.1827719999999999</v>
      </c>
      <c r="W21">
        <v>7.9138900000000003</v>
      </c>
      <c r="X21" s="6">
        <f t="shared" si="4"/>
        <v>7.11273</v>
      </c>
      <c r="Y21" s="6">
        <f t="shared" si="4"/>
        <v>6.3115699999999997</v>
      </c>
      <c r="Z21" s="6">
        <f t="shared" si="4"/>
        <v>5.5104100000000003</v>
      </c>
      <c r="AA21" s="6">
        <f t="shared" si="4"/>
        <v>4.7092499999999999</v>
      </c>
      <c r="AB21">
        <v>3.9080900000000001</v>
      </c>
      <c r="AC21" s="6">
        <f t="shared" si="5"/>
        <v>3.1264720000000001</v>
      </c>
      <c r="AD21" s="6">
        <f t="shared" si="5"/>
        <v>2.3448539999999998</v>
      </c>
      <c r="AE21" s="6">
        <f t="shared" si="5"/>
        <v>1.5632359999999998</v>
      </c>
      <c r="AF21" s="6">
        <f t="shared" si="5"/>
        <v>0.78161799999999992</v>
      </c>
      <c r="AG21">
        <v>0</v>
      </c>
      <c r="AH21" s="5">
        <f>SUM(Tableau2[[#This Row],[2022]:[2050]])</f>
        <v>172.06334999999999</v>
      </c>
    </row>
    <row r="22" spans="1:37" x14ac:dyDescent="0.3">
      <c r="A22" s="2" t="s">
        <v>85</v>
      </c>
      <c r="B22" s="2" t="s">
        <v>84</v>
      </c>
      <c r="C22" s="3" t="s">
        <v>7</v>
      </c>
      <c r="D22" s="2" t="s">
        <v>74</v>
      </c>
      <c r="E22" s="4">
        <v>64.560599999999994</v>
      </c>
      <c r="F22" s="4">
        <f t="shared" ref="F22:G41" si="6">(($H22-$E22)/($H$1-$E$1))*(F$1-$E$1)+$E22</f>
        <v>86.51306666666666</v>
      </c>
      <c r="G22" s="4">
        <f t="shared" si="6"/>
        <v>108.46553333333333</v>
      </c>
      <c r="H22" s="4">
        <v>130.41800000000001</v>
      </c>
      <c r="I22" s="4">
        <f t="shared" ref="I22:L41" si="7">(($M22-$H22)/($M$1-$H$1))*(I$1-$H$1)+$H22</f>
        <v>141.93299999999999</v>
      </c>
      <c r="J22" s="4">
        <f t="shared" si="7"/>
        <v>153.44800000000001</v>
      </c>
      <c r="K22" s="4">
        <f t="shared" si="7"/>
        <v>164.96299999999999</v>
      </c>
      <c r="L22" s="4">
        <f t="shared" si="7"/>
        <v>176.47800000000001</v>
      </c>
      <c r="M22" s="4">
        <v>187.99299999999999</v>
      </c>
      <c r="N22" s="4">
        <f t="shared" ref="N22:Q41" si="8">(($R22-$M22)/($R$1-$M$1))*(N$1-$M$1)+$M22</f>
        <v>196.56</v>
      </c>
      <c r="O22" s="4">
        <f t="shared" si="8"/>
        <v>205.12700000000001</v>
      </c>
      <c r="P22" s="4">
        <f t="shared" si="8"/>
        <v>213.69400000000002</v>
      </c>
      <c r="Q22" s="4">
        <f t="shared" si="8"/>
        <v>222.261</v>
      </c>
      <c r="R22" s="4">
        <v>230.828</v>
      </c>
      <c r="S22" s="4">
        <f t="shared" ref="S22:V41" si="9">(($W22-$R22)/($W$1-$R$1))*(S$1-$R$1)+$R22</f>
        <v>233.45680000000002</v>
      </c>
      <c r="T22" s="4">
        <f t="shared" si="9"/>
        <v>236.0856</v>
      </c>
      <c r="U22" s="4">
        <f t="shared" si="9"/>
        <v>238.71440000000001</v>
      </c>
      <c r="V22" s="4">
        <f t="shared" si="9"/>
        <v>241.3432</v>
      </c>
      <c r="W22" s="4">
        <v>243.97200000000001</v>
      </c>
      <c r="X22" s="4">
        <f t="shared" ref="X22:AA41" si="10">(($AB22-$W22)/($AB$1-$W$1))*(X$1-$W$1)+$W22</f>
        <v>250.82040000000001</v>
      </c>
      <c r="Y22" s="4">
        <f t="shared" si="10"/>
        <v>257.66880000000003</v>
      </c>
      <c r="Z22" s="4">
        <f t="shared" si="10"/>
        <v>264.5172</v>
      </c>
      <c r="AA22" s="4">
        <f t="shared" si="10"/>
        <v>271.36559999999997</v>
      </c>
      <c r="AB22" s="4">
        <v>278.214</v>
      </c>
      <c r="AC22" s="4">
        <f t="shared" ref="AC22:AF41" si="11">(($AG22-$AB22)/($AG$1-$AB$1))*(AC$1-$AB$1)+$AB22</f>
        <v>280.68259999999998</v>
      </c>
      <c r="AD22" s="4">
        <f t="shared" si="11"/>
        <v>283.15120000000002</v>
      </c>
      <c r="AE22" s="4">
        <f t="shared" si="11"/>
        <v>285.6198</v>
      </c>
      <c r="AF22" s="4">
        <f t="shared" si="11"/>
        <v>288.08840000000004</v>
      </c>
      <c r="AG22" s="4">
        <v>290.55700000000002</v>
      </c>
      <c r="AH22" s="4">
        <f>SUM(Tableau2[[#This Row],[2022]:[2050]])</f>
        <v>6227.4991999999993</v>
      </c>
    </row>
    <row r="23" spans="1:37" x14ac:dyDescent="0.3">
      <c r="A23" s="2" t="s">
        <v>85</v>
      </c>
      <c r="B23" s="2" t="s">
        <v>84</v>
      </c>
      <c r="C23" s="3" t="s">
        <v>7</v>
      </c>
      <c r="D23" s="2" t="s">
        <v>72</v>
      </c>
      <c r="E23" s="4">
        <v>64.560599999999994</v>
      </c>
      <c r="F23" s="4">
        <f t="shared" si="6"/>
        <v>65.16376666666666</v>
      </c>
      <c r="G23" s="4">
        <f t="shared" si="6"/>
        <v>65.766933333333327</v>
      </c>
      <c r="H23" s="4">
        <v>66.370099999999994</v>
      </c>
      <c r="I23" s="4">
        <f t="shared" si="7"/>
        <v>67.883559999999989</v>
      </c>
      <c r="J23" s="4">
        <f t="shared" si="7"/>
        <v>69.397019999999998</v>
      </c>
      <c r="K23" s="4">
        <f t="shared" si="7"/>
        <v>70.910479999999993</v>
      </c>
      <c r="L23" s="4">
        <f t="shared" si="7"/>
        <v>72.423940000000002</v>
      </c>
      <c r="M23" s="4">
        <v>73.937399999999997</v>
      </c>
      <c r="N23" s="4">
        <f t="shared" si="8"/>
        <v>74.684479999999994</v>
      </c>
      <c r="O23" s="4">
        <f t="shared" si="8"/>
        <v>75.43155999999999</v>
      </c>
      <c r="P23" s="4">
        <f t="shared" si="8"/>
        <v>76.178640000000001</v>
      </c>
      <c r="Q23" s="4">
        <f t="shared" si="8"/>
        <v>76.925719999999998</v>
      </c>
      <c r="R23" s="4">
        <v>77.672799999999995</v>
      </c>
      <c r="S23" s="4">
        <f t="shared" si="9"/>
        <v>83.200040000000001</v>
      </c>
      <c r="T23" s="4">
        <f t="shared" si="9"/>
        <v>88.727279999999993</v>
      </c>
      <c r="U23" s="4">
        <f t="shared" si="9"/>
        <v>94.254519999999999</v>
      </c>
      <c r="V23" s="4">
        <f t="shared" si="9"/>
        <v>99.781759999999991</v>
      </c>
      <c r="W23" s="4">
        <v>105.309</v>
      </c>
      <c r="X23" s="4">
        <f t="shared" si="10"/>
        <v>111.0446</v>
      </c>
      <c r="Y23" s="4">
        <f t="shared" si="10"/>
        <v>116.78019999999999</v>
      </c>
      <c r="Z23" s="4">
        <f t="shared" si="10"/>
        <v>122.5158</v>
      </c>
      <c r="AA23" s="4">
        <f t="shared" si="10"/>
        <v>128.25139999999999</v>
      </c>
      <c r="AB23" s="4">
        <v>133.98699999999999</v>
      </c>
      <c r="AC23" s="4">
        <f t="shared" si="11"/>
        <v>136.31219999999999</v>
      </c>
      <c r="AD23" s="4">
        <f t="shared" si="11"/>
        <v>138.63739999999999</v>
      </c>
      <c r="AE23" s="4">
        <f t="shared" si="11"/>
        <v>140.96260000000001</v>
      </c>
      <c r="AF23" s="4">
        <f t="shared" si="11"/>
        <v>143.2878</v>
      </c>
      <c r="AG23" s="4">
        <v>145.613</v>
      </c>
      <c r="AH23" s="5">
        <f>SUM(Tableau2[[#This Row],[2022]:[2050]])</f>
        <v>2785.9715999999994</v>
      </c>
    </row>
    <row r="24" spans="1:37" hidden="1" x14ac:dyDescent="0.3">
      <c r="A24" s="2" t="s">
        <v>85</v>
      </c>
      <c r="B24" s="2" t="s">
        <v>84</v>
      </c>
      <c r="C24" s="3" t="s">
        <v>7</v>
      </c>
      <c r="D24" s="2" t="s">
        <v>73</v>
      </c>
      <c r="E24" s="6">
        <v>64.560599999999994</v>
      </c>
      <c r="F24" s="6">
        <f t="shared" si="6"/>
        <v>68.870599999999996</v>
      </c>
      <c r="G24" s="6">
        <f t="shared" si="6"/>
        <v>73.180599999999998</v>
      </c>
      <c r="H24">
        <v>77.490600000000001</v>
      </c>
      <c r="I24" s="6">
        <f t="shared" si="7"/>
        <v>84.575479999999999</v>
      </c>
      <c r="J24" s="6">
        <f t="shared" si="7"/>
        <v>91.660359999999997</v>
      </c>
      <c r="K24" s="6">
        <f t="shared" si="7"/>
        <v>98.745239999999995</v>
      </c>
      <c r="L24" s="6">
        <f t="shared" si="7"/>
        <v>105.83012000000001</v>
      </c>
      <c r="M24">
        <v>112.91500000000001</v>
      </c>
      <c r="N24" s="6">
        <f t="shared" si="8"/>
        <v>122.202</v>
      </c>
      <c r="O24" s="6">
        <f t="shared" si="8"/>
        <v>131.489</v>
      </c>
      <c r="P24" s="6">
        <f t="shared" si="8"/>
        <v>140.77600000000001</v>
      </c>
      <c r="Q24" s="6">
        <f t="shared" si="8"/>
        <v>150.06299999999999</v>
      </c>
      <c r="R24">
        <v>159.35</v>
      </c>
      <c r="S24" s="6">
        <f t="shared" si="9"/>
        <v>169.9958</v>
      </c>
      <c r="T24" s="6">
        <f t="shared" si="9"/>
        <v>180.64160000000001</v>
      </c>
      <c r="U24" s="6">
        <f t="shared" si="9"/>
        <v>191.28739999999999</v>
      </c>
      <c r="V24" s="6">
        <f t="shared" si="9"/>
        <v>201.9332</v>
      </c>
      <c r="W24">
        <v>212.57900000000001</v>
      </c>
      <c r="X24" s="6">
        <f t="shared" si="10"/>
        <v>221.63240000000002</v>
      </c>
      <c r="Y24" s="6">
        <f t="shared" si="10"/>
        <v>230.6858</v>
      </c>
      <c r="Z24" s="6">
        <f t="shared" si="10"/>
        <v>239.73920000000001</v>
      </c>
      <c r="AA24" s="6">
        <f t="shared" si="10"/>
        <v>248.79259999999999</v>
      </c>
      <c r="AB24">
        <v>257.846</v>
      </c>
      <c r="AC24" s="6">
        <f t="shared" si="11"/>
        <v>265.41419999999999</v>
      </c>
      <c r="AD24" s="6">
        <f t="shared" si="11"/>
        <v>272.98239999999998</v>
      </c>
      <c r="AE24" s="6">
        <f t="shared" si="11"/>
        <v>280.55060000000003</v>
      </c>
      <c r="AF24" s="6">
        <f t="shared" si="11"/>
        <v>288.11880000000002</v>
      </c>
      <c r="AG24">
        <v>295.68700000000001</v>
      </c>
      <c r="AH24" s="5">
        <f>SUM(Tableau2[[#This Row],[2022]:[2050]])</f>
        <v>5039.5946000000004</v>
      </c>
    </row>
    <row r="25" spans="1:37" x14ac:dyDescent="0.3">
      <c r="A25" s="2" t="s">
        <v>83</v>
      </c>
      <c r="B25" s="2" t="s">
        <v>84</v>
      </c>
      <c r="C25" s="3" t="s">
        <v>7</v>
      </c>
      <c r="D25" s="2" t="s">
        <v>74</v>
      </c>
      <c r="E25" s="7">
        <v>3.58853</v>
      </c>
      <c r="F25" s="4">
        <f t="shared" si="6"/>
        <v>4.4689033333333334</v>
      </c>
      <c r="G25" s="4">
        <f t="shared" si="6"/>
        <v>5.3492766666666665</v>
      </c>
      <c r="H25" s="4">
        <v>6.2296500000000004</v>
      </c>
      <c r="I25" s="4">
        <f t="shared" si="7"/>
        <v>8.3879400000000004</v>
      </c>
      <c r="J25" s="4">
        <f t="shared" si="7"/>
        <v>10.546230000000001</v>
      </c>
      <c r="K25" s="4">
        <f t="shared" si="7"/>
        <v>12.70452</v>
      </c>
      <c r="L25" s="4">
        <f t="shared" si="7"/>
        <v>14.86281</v>
      </c>
      <c r="M25" s="4">
        <v>17.021100000000001</v>
      </c>
      <c r="N25" s="4">
        <f t="shared" si="8"/>
        <v>17.16094</v>
      </c>
      <c r="O25" s="4">
        <f t="shared" si="8"/>
        <v>17.30078</v>
      </c>
      <c r="P25" s="4">
        <f t="shared" si="8"/>
        <v>17.440620000000003</v>
      </c>
      <c r="Q25" s="4">
        <f t="shared" si="8"/>
        <v>17.580460000000002</v>
      </c>
      <c r="R25" s="4">
        <v>17.720300000000002</v>
      </c>
      <c r="S25" s="4">
        <f t="shared" si="9"/>
        <v>17.063760000000002</v>
      </c>
      <c r="T25" s="4">
        <f t="shared" si="9"/>
        <v>16.407220000000002</v>
      </c>
      <c r="U25" s="4">
        <f t="shared" si="9"/>
        <v>15.750680000000001</v>
      </c>
      <c r="V25" s="4">
        <f t="shared" si="9"/>
        <v>15.094139999999999</v>
      </c>
      <c r="W25" s="4">
        <v>14.4376</v>
      </c>
      <c r="X25" s="4">
        <f t="shared" si="10"/>
        <v>12.940244</v>
      </c>
      <c r="Y25" s="4">
        <f t="shared" si="10"/>
        <v>11.442888</v>
      </c>
      <c r="Z25" s="4">
        <f t="shared" si="10"/>
        <v>9.945532</v>
      </c>
      <c r="AA25" s="4">
        <f t="shared" si="10"/>
        <v>8.4481760000000001</v>
      </c>
      <c r="AB25" s="4">
        <v>6.9508200000000002</v>
      </c>
      <c r="AC25" s="4">
        <f t="shared" si="11"/>
        <v>5.5606559999999998</v>
      </c>
      <c r="AD25" s="4">
        <f t="shared" si="11"/>
        <v>4.1704920000000003</v>
      </c>
      <c r="AE25" s="4">
        <f t="shared" si="11"/>
        <v>2.7803280000000008</v>
      </c>
      <c r="AF25" s="4">
        <f t="shared" si="11"/>
        <v>1.3901640000000004</v>
      </c>
      <c r="AG25" s="4">
        <v>0</v>
      </c>
      <c r="AH25" s="4">
        <f>SUM(Tableau2[[#This Row],[2022]:[2050]])</f>
        <v>312.7447600000001</v>
      </c>
      <c r="AK25" s="4"/>
    </row>
    <row r="26" spans="1:37" x14ac:dyDescent="0.3">
      <c r="A26" s="2" t="s">
        <v>86</v>
      </c>
      <c r="B26" s="2"/>
      <c r="C26" s="3" t="s">
        <v>7</v>
      </c>
      <c r="D26" s="2" t="s">
        <v>72</v>
      </c>
      <c r="E26" s="4">
        <v>1.07346E-2</v>
      </c>
      <c r="F26" s="4">
        <f t="shared" si="6"/>
        <v>1.0594966666666667E-2</v>
      </c>
      <c r="G26" s="4">
        <f t="shared" si="6"/>
        <v>1.0455333333333334E-2</v>
      </c>
      <c r="H26" s="4">
        <v>1.0315700000000001E-2</v>
      </c>
      <c r="I26" s="4">
        <f t="shared" si="7"/>
        <v>1.103312E-2</v>
      </c>
      <c r="J26" s="4">
        <f t="shared" si="7"/>
        <v>1.175054E-2</v>
      </c>
      <c r="K26" s="4">
        <f t="shared" si="7"/>
        <v>1.246796E-2</v>
      </c>
      <c r="L26" s="4">
        <f t="shared" si="7"/>
        <v>1.318538E-2</v>
      </c>
      <c r="M26" s="4">
        <v>1.39028E-2</v>
      </c>
      <c r="N26" s="4">
        <f t="shared" si="8"/>
        <v>1.2595864E-2</v>
      </c>
      <c r="O26" s="4">
        <f t="shared" si="8"/>
        <v>1.1288928E-2</v>
      </c>
      <c r="P26" s="4">
        <f t="shared" si="8"/>
        <v>9.9819919999999986E-3</v>
      </c>
      <c r="Q26" s="4">
        <f t="shared" si="8"/>
        <v>8.6750560000000004E-3</v>
      </c>
      <c r="R26" s="4">
        <v>7.3681199999999997E-3</v>
      </c>
      <c r="S26" s="4">
        <f t="shared" si="9"/>
        <v>6.5544619999999996E-3</v>
      </c>
      <c r="T26" s="4">
        <f t="shared" si="9"/>
        <v>5.7408040000000004E-3</v>
      </c>
      <c r="U26" s="4">
        <f t="shared" si="9"/>
        <v>4.9271460000000003E-3</v>
      </c>
      <c r="V26" s="4">
        <f t="shared" si="9"/>
        <v>4.1134880000000002E-3</v>
      </c>
      <c r="W26" s="4">
        <v>3.2998300000000001E-3</v>
      </c>
      <c r="X26" s="4">
        <f t="shared" si="10"/>
        <v>3.3521919999999999E-3</v>
      </c>
      <c r="Y26" s="4">
        <f t="shared" si="10"/>
        <v>3.4045540000000002E-3</v>
      </c>
      <c r="Z26" s="4">
        <f t="shared" si="10"/>
        <v>3.456916E-3</v>
      </c>
      <c r="AA26" s="4">
        <f t="shared" si="10"/>
        <v>3.5092780000000002E-3</v>
      </c>
      <c r="AB26" s="4">
        <v>3.56164E-3</v>
      </c>
      <c r="AC26" s="4">
        <f t="shared" si="11"/>
        <v>3.8400439999999999E-3</v>
      </c>
      <c r="AD26" s="4">
        <f t="shared" si="11"/>
        <v>4.1184480000000002E-3</v>
      </c>
      <c r="AE26" s="4">
        <f t="shared" si="11"/>
        <v>4.3968519999999997E-3</v>
      </c>
      <c r="AF26" s="4">
        <f t="shared" si="11"/>
        <v>4.675256E-3</v>
      </c>
      <c r="AG26" s="4">
        <v>4.9536600000000004E-3</v>
      </c>
      <c r="AH26" s="5">
        <f>SUM(Tableau2[[#This Row],[2022]:[2050]])</f>
        <v>0.21825492999999999</v>
      </c>
    </row>
    <row r="27" spans="1:37" hidden="1" x14ac:dyDescent="0.3">
      <c r="A27" s="2" t="s">
        <v>86</v>
      </c>
      <c r="B27" s="2"/>
      <c r="C27" s="3" t="s">
        <v>7</v>
      </c>
      <c r="D27" s="2" t="s">
        <v>73</v>
      </c>
      <c r="E27" s="6">
        <v>1.07346E-2</v>
      </c>
      <c r="F27" s="6">
        <f t="shared" si="6"/>
        <v>3.4218033333333335E-2</v>
      </c>
      <c r="G27" s="6">
        <f t="shared" si="6"/>
        <v>5.7701466666666673E-2</v>
      </c>
      <c r="H27">
        <v>8.1184900000000004E-2</v>
      </c>
      <c r="I27" s="6">
        <f t="shared" si="7"/>
        <v>8.8512320000000005E-2</v>
      </c>
      <c r="J27" s="6">
        <f t="shared" si="7"/>
        <v>9.5839740000000007E-2</v>
      </c>
      <c r="K27" s="6">
        <f t="shared" si="7"/>
        <v>0.10316716000000001</v>
      </c>
      <c r="L27" s="6">
        <f t="shared" si="7"/>
        <v>0.11049458</v>
      </c>
      <c r="M27">
        <v>0.117822</v>
      </c>
      <c r="N27" s="6">
        <f t="shared" si="8"/>
        <v>0.109362</v>
      </c>
      <c r="O27" s="6">
        <f t="shared" si="8"/>
        <v>0.10090199999999999</v>
      </c>
      <c r="P27" s="6">
        <f t="shared" si="8"/>
        <v>9.2441999999999996E-2</v>
      </c>
      <c r="Q27" s="6">
        <f t="shared" si="8"/>
        <v>8.3982000000000001E-2</v>
      </c>
      <c r="R27">
        <v>7.5522000000000006E-2</v>
      </c>
      <c r="S27" s="6">
        <f t="shared" si="9"/>
        <v>6.8507200000000004E-2</v>
      </c>
      <c r="T27" s="6">
        <f t="shared" si="9"/>
        <v>6.1492400000000003E-2</v>
      </c>
      <c r="U27" s="6">
        <f t="shared" si="9"/>
        <v>5.4477600000000001E-2</v>
      </c>
      <c r="V27" s="6">
        <f t="shared" si="9"/>
        <v>4.7462799999999999E-2</v>
      </c>
      <c r="W27">
        <v>4.0447999999999998E-2</v>
      </c>
      <c r="X27" s="6">
        <f t="shared" si="10"/>
        <v>4.0582219999999995E-2</v>
      </c>
      <c r="Y27" s="6">
        <f t="shared" si="10"/>
        <v>4.071644E-2</v>
      </c>
      <c r="Z27" s="6">
        <f t="shared" si="10"/>
        <v>4.0850659999999997E-2</v>
      </c>
      <c r="AA27" s="6">
        <f t="shared" si="10"/>
        <v>4.0984880000000001E-2</v>
      </c>
      <c r="AB27">
        <v>4.1119099999999999E-2</v>
      </c>
      <c r="AC27" s="6">
        <f t="shared" si="11"/>
        <v>4.3590119999999996E-2</v>
      </c>
      <c r="AD27" s="6">
        <f t="shared" si="11"/>
        <v>4.606114E-2</v>
      </c>
      <c r="AE27" s="6">
        <f t="shared" si="11"/>
        <v>4.8532159999999998E-2</v>
      </c>
      <c r="AF27" s="6">
        <f t="shared" si="11"/>
        <v>5.1003179999999995E-2</v>
      </c>
      <c r="AG27">
        <v>5.34742E-2</v>
      </c>
      <c r="AH27" s="5">
        <f>SUM(Tableau2[[#This Row],[2022]:[2050]])</f>
        <v>1.8811868999999992</v>
      </c>
    </row>
    <row r="28" spans="1:37" x14ac:dyDescent="0.3">
      <c r="A28" s="2" t="s">
        <v>86</v>
      </c>
      <c r="B28" s="2"/>
      <c r="C28" s="3" t="s">
        <v>7</v>
      </c>
      <c r="D28" s="2" t="s">
        <v>74</v>
      </c>
      <c r="E28" s="4">
        <v>1.07346E-2</v>
      </c>
      <c r="F28" s="4">
        <f t="shared" si="6"/>
        <v>5.7523400000000002E-2</v>
      </c>
      <c r="G28" s="4">
        <f t="shared" si="6"/>
        <v>0.10431219999999999</v>
      </c>
      <c r="H28" s="4">
        <v>0.15110100000000001</v>
      </c>
      <c r="I28" s="4">
        <f t="shared" si="7"/>
        <v>0.18129420000000002</v>
      </c>
      <c r="J28" s="4">
        <f t="shared" si="7"/>
        <v>0.21148739999999999</v>
      </c>
      <c r="K28" s="4">
        <f t="shared" si="7"/>
        <v>0.2416806</v>
      </c>
      <c r="L28" s="4">
        <f t="shared" si="7"/>
        <v>0.2718738</v>
      </c>
      <c r="M28" s="4">
        <v>0.30206699999999997</v>
      </c>
      <c r="N28" s="4">
        <f t="shared" si="8"/>
        <v>0.2828426</v>
      </c>
      <c r="O28" s="4">
        <f t="shared" si="8"/>
        <v>0.26361819999999997</v>
      </c>
      <c r="P28" s="4">
        <f t="shared" si="8"/>
        <v>0.24439379999999999</v>
      </c>
      <c r="Q28" s="4">
        <f t="shared" si="8"/>
        <v>0.22516939999999999</v>
      </c>
      <c r="R28" s="4">
        <v>0.20594499999999999</v>
      </c>
      <c r="S28" s="4">
        <f t="shared" si="9"/>
        <v>0.18091437999999999</v>
      </c>
      <c r="T28" s="4">
        <f t="shared" si="9"/>
        <v>0.15588375999999998</v>
      </c>
      <c r="U28" s="4">
        <f t="shared" si="9"/>
        <v>0.13085314000000001</v>
      </c>
      <c r="V28" s="4">
        <f t="shared" si="9"/>
        <v>0.10582252</v>
      </c>
      <c r="W28" s="4">
        <v>8.07919E-2</v>
      </c>
      <c r="X28" s="4">
        <f t="shared" si="10"/>
        <v>7.5717339999999994E-2</v>
      </c>
      <c r="Y28" s="4">
        <f t="shared" si="10"/>
        <v>7.0642780000000002E-2</v>
      </c>
      <c r="Z28" s="4">
        <f t="shared" si="10"/>
        <v>6.5568219999999997E-2</v>
      </c>
      <c r="AA28" s="4">
        <f t="shared" si="10"/>
        <v>6.0493659999999998E-2</v>
      </c>
      <c r="AB28" s="4">
        <v>5.5419099999999999E-2</v>
      </c>
      <c r="AC28" s="4">
        <f t="shared" si="11"/>
        <v>5.9509079999999999E-2</v>
      </c>
      <c r="AD28" s="4">
        <f t="shared" si="11"/>
        <v>6.3599059999999999E-2</v>
      </c>
      <c r="AE28" s="4">
        <f t="shared" si="11"/>
        <v>6.7689040000000006E-2</v>
      </c>
      <c r="AF28" s="4">
        <f t="shared" si="11"/>
        <v>7.1779019999999999E-2</v>
      </c>
      <c r="AG28" s="4">
        <v>7.5869000000000006E-2</v>
      </c>
      <c r="AH28" s="4">
        <f>SUM(Tableau2[[#This Row],[2022]:[2050]])</f>
        <v>4.0745952000000001</v>
      </c>
      <c r="AJ28" s="4"/>
    </row>
    <row r="29" spans="1:37" x14ac:dyDescent="0.3">
      <c r="A29" s="2" t="s">
        <v>83</v>
      </c>
      <c r="B29" s="2" t="s">
        <v>84</v>
      </c>
      <c r="C29" s="3" t="s">
        <v>8</v>
      </c>
      <c r="D29" s="2" t="s">
        <v>72</v>
      </c>
      <c r="E29" s="4">
        <v>20.4468</v>
      </c>
      <c r="F29" s="4">
        <f t="shared" si="6"/>
        <v>26.445766666666668</v>
      </c>
      <c r="G29" s="4">
        <f t="shared" si="6"/>
        <v>32.444733333333332</v>
      </c>
      <c r="H29" s="4">
        <v>38.4437</v>
      </c>
      <c r="I29" s="4">
        <f t="shared" si="7"/>
        <v>47.300539999999998</v>
      </c>
      <c r="J29" s="4">
        <f t="shared" si="7"/>
        <v>56.157380000000003</v>
      </c>
      <c r="K29" s="4">
        <f t="shared" si="7"/>
        <v>65.014220000000009</v>
      </c>
      <c r="L29" s="4">
        <f t="shared" si="7"/>
        <v>73.87106</v>
      </c>
      <c r="M29" s="4">
        <v>82.727900000000005</v>
      </c>
      <c r="N29" s="4">
        <f t="shared" si="8"/>
        <v>96.899720000000002</v>
      </c>
      <c r="O29" s="4">
        <f t="shared" si="8"/>
        <v>111.07154</v>
      </c>
      <c r="P29" s="4">
        <f t="shared" si="8"/>
        <v>125.24336</v>
      </c>
      <c r="Q29" s="4">
        <f t="shared" si="8"/>
        <v>139.41517999999999</v>
      </c>
      <c r="R29" s="4">
        <v>153.58699999999999</v>
      </c>
      <c r="S29" s="4">
        <f t="shared" si="9"/>
        <v>167.92019999999999</v>
      </c>
      <c r="T29" s="4">
        <f t="shared" si="9"/>
        <v>182.2534</v>
      </c>
      <c r="U29" s="4">
        <f t="shared" si="9"/>
        <v>196.58659999999998</v>
      </c>
      <c r="V29" s="4">
        <f t="shared" si="9"/>
        <v>210.91979999999998</v>
      </c>
      <c r="W29" s="4">
        <v>225.25299999999999</v>
      </c>
      <c r="X29" s="4">
        <f t="shared" si="10"/>
        <v>227.89919999999998</v>
      </c>
      <c r="Y29" s="4">
        <f t="shared" si="10"/>
        <v>230.5454</v>
      </c>
      <c r="Z29" s="4">
        <f t="shared" si="10"/>
        <v>233.19159999999999</v>
      </c>
      <c r="AA29" s="4">
        <f t="shared" si="10"/>
        <v>235.83780000000002</v>
      </c>
      <c r="AB29" s="4">
        <v>238.48400000000001</v>
      </c>
      <c r="AC29" s="4">
        <f t="shared" si="11"/>
        <v>234.732</v>
      </c>
      <c r="AD29" s="4">
        <f t="shared" si="11"/>
        <v>230.98</v>
      </c>
      <c r="AE29" s="4">
        <f t="shared" si="11"/>
        <v>227.22800000000001</v>
      </c>
      <c r="AF29" s="4">
        <f t="shared" si="11"/>
        <v>223.476</v>
      </c>
      <c r="AG29" s="4">
        <v>219.72399999999999</v>
      </c>
      <c r="AH29" s="5">
        <f>SUM(Tableau2[[#This Row],[2022]:[2050]])</f>
        <v>4354.0998999999993</v>
      </c>
    </row>
    <row r="30" spans="1:37" x14ac:dyDescent="0.3">
      <c r="A30" s="2" t="s">
        <v>70</v>
      </c>
      <c r="B30" s="2" t="s">
        <v>71</v>
      </c>
      <c r="C30" s="3" t="s">
        <v>8</v>
      </c>
      <c r="D30" s="2" t="s">
        <v>74</v>
      </c>
      <c r="E30" s="4">
        <v>4181.6099999999997</v>
      </c>
      <c r="F30" s="4">
        <f t="shared" si="6"/>
        <v>4462.4933333333329</v>
      </c>
      <c r="G30" s="4">
        <f t="shared" si="6"/>
        <v>4743.376666666667</v>
      </c>
      <c r="H30" s="4">
        <v>5024.26</v>
      </c>
      <c r="I30" s="4">
        <f t="shared" si="7"/>
        <v>5804.1280000000006</v>
      </c>
      <c r="J30" s="4">
        <f t="shared" si="7"/>
        <v>6583.9960000000001</v>
      </c>
      <c r="K30" s="4">
        <f t="shared" si="7"/>
        <v>7363.8640000000005</v>
      </c>
      <c r="L30" s="4">
        <f t="shared" si="7"/>
        <v>8143.732</v>
      </c>
      <c r="M30" s="4">
        <v>8923.6</v>
      </c>
      <c r="N30" s="4">
        <f t="shared" si="8"/>
        <v>9427.7800000000007</v>
      </c>
      <c r="O30" s="4">
        <f t="shared" si="8"/>
        <v>9931.9600000000009</v>
      </c>
      <c r="P30" s="4">
        <f t="shared" si="8"/>
        <v>10436.14</v>
      </c>
      <c r="Q30" s="4">
        <f t="shared" si="8"/>
        <v>10940.32</v>
      </c>
      <c r="R30" s="4">
        <v>11444.5</v>
      </c>
      <c r="S30" s="4">
        <f t="shared" si="9"/>
        <v>11670.48</v>
      </c>
      <c r="T30" s="4">
        <f t="shared" si="9"/>
        <v>11896.46</v>
      </c>
      <c r="U30" s="4">
        <f t="shared" si="9"/>
        <v>12122.44</v>
      </c>
      <c r="V30" s="4">
        <f t="shared" si="9"/>
        <v>12348.42</v>
      </c>
      <c r="W30" s="4">
        <v>12574.4</v>
      </c>
      <c r="X30" s="4">
        <f t="shared" si="10"/>
        <v>12410.9</v>
      </c>
      <c r="Y30" s="4">
        <f t="shared" si="10"/>
        <v>12247.4</v>
      </c>
      <c r="Z30" s="4">
        <f t="shared" si="10"/>
        <v>12083.9</v>
      </c>
      <c r="AA30" s="4">
        <f t="shared" si="10"/>
        <v>11920.4</v>
      </c>
      <c r="AB30" s="4">
        <v>11756.9</v>
      </c>
      <c r="AC30" s="4">
        <f t="shared" si="11"/>
        <v>11361.088</v>
      </c>
      <c r="AD30" s="4">
        <f t="shared" si="11"/>
        <v>10965.276</v>
      </c>
      <c r="AE30" s="4">
        <f t="shared" si="11"/>
        <v>10569.464</v>
      </c>
      <c r="AF30" s="4">
        <f t="shared" si="11"/>
        <v>10173.652</v>
      </c>
      <c r="AG30" s="4">
        <v>9777.84</v>
      </c>
      <c r="AH30" s="4">
        <f>SUM(Tableau2[[#This Row],[2022]:[2050]])</f>
        <v>281290.77999999997</v>
      </c>
      <c r="AJ30" s="4"/>
    </row>
    <row r="31" spans="1:37" hidden="1" x14ac:dyDescent="0.3">
      <c r="A31" s="2" t="s">
        <v>83</v>
      </c>
      <c r="B31" s="2" t="s">
        <v>84</v>
      </c>
      <c r="C31" s="3" t="s">
        <v>8</v>
      </c>
      <c r="D31" s="2" t="s">
        <v>73</v>
      </c>
      <c r="E31" s="6">
        <v>20.4468</v>
      </c>
      <c r="F31" s="6">
        <f t="shared" si="6"/>
        <v>31.017200000000003</v>
      </c>
      <c r="G31" s="6">
        <f t="shared" si="6"/>
        <v>41.587600000000002</v>
      </c>
      <c r="H31">
        <v>52.158000000000001</v>
      </c>
      <c r="I31" s="6">
        <f t="shared" si="7"/>
        <v>67.638999999999996</v>
      </c>
      <c r="J31" s="6">
        <f t="shared" si="7"/>
        <v>83.12</v>
      </c>
      <c r="K31" s="6">
        <f t="shared" si="7"/>
        <v>98.600999999999999</v>
      </c>
      <c r="L31" s="6">
        <f t="shared" si="7"/>
        <v>114.08199999999999</v>
      </c>
      <c r="M31">
        <v>129.56299999999999</v>
      </c>
      <c r="N31" s="6">
        <f t="shared" si="8"/>
        <v>149.7174</v>
      </c>
      <c r="O31" s="6">
        <f t="shared" si="8"/>
        <v>169.87180000000001</v>
      </c>
      <c r="P31" s="6">
        <f t="shared" si="8"/>
        <v>190.02619999999999</v>
      </c>
      <c r="Q31" s="6">
        <f t="shared" si="8"/>
        <v>210.1806</v>
      </c>
      <c r="R31">
        <v>230.33500000000001</v>
      </c>
      <c r="S31" s="6">
        <f t="shared" si="9"/>
        <v>259.39820000000003</v>
      </c>
      <c r="T31" s="6">
        <f t="shared" si="9"/>
        <v>288.46140000000003</v>
      </c>
      <c r="U31" s="6">
        <f t="shared" si="9"/>
        <v>317.52460000000002</v>
      </c>
      <c r="V31" s="6">
        <f t="shared" si="9"/>
        <v>346.58780000000002</v>
      </c>
      <c r="W31">
        <v>375.65100000000001</v>
      </c>
      <c r="X31" s="6">
        <f t="shared" si="10"/>
        <v>383.03960000000001</v>
      </c>
      <c r="Y31" s="6">
        <f t="shared" si="10"/>
        <v>390.4282</v>
      </c>
      <c r="Z31" s="6">
        <f t="shared" si="10"/>
        <v>397.8168</v>
      </c>
      <c r="AA31" s="6">
        <f t="shared" si="10"/>
        <v>405.2054</v>
      </c>
      <c r="AB31">
        <v>412.59399999999999</v>
      </c>
      <c r="AC31" s="6">
        <f t="shared" si="11"/>
        <v>418.83620000000002</v>
      </c>
      <c r="AD31" s="6">
        <f t="shared" si="11"/>
        <v>425.07839999999999</v>
      </c>
      <c r="AE31" s="6">
        <f t="shared" si="11"/>
        <v>431.32060000000001</v>
      </c>
      <c r="AF31" s="6">
        <f t="shared" si="11"/>
        <v>437.56279999999998</v>
      </c>
      <c r="AG31">
        <v>443.80500000000001</v>
      </c>
      <c r="AH31" s="5">
        <f>SUM(Tableau2[[#This Row],[2022]:[2050]])</f>
        <v>7321.6556</v>
      </c>
    </row>
    <row r="32" spans="1:37" hidden="1" x14ac:dyDescent="0.3">
      <c r="A32" s="2" t="s">
        <v>70</v>
      </c>
      <c r="B32" s="2" t="s">
        <v>71</v>
      </c>
      <c r="C32" s="3" t="s">
        <v>8</v>
      </c>
      <c r="D32" s="2" t="s">
        <v>73</v>
      </c>
      <c r="E32" s="6">
        <v>4181.6099999999997</v>
      </c>
      <c r="F32" s="6">
        <f t="shared" si="6"/>
        <v>4436.163333333333</v>
      </c>
      <c r="G32" s="6">
        <f t="shared" si="6"/>
        <v>4690.7166666666672</v>
      </c>
      <c r="H32">
        <v>4945.2700000000004</v>
      </c>
      <c r="I32" s="6">
        <f t="shared" si="7"/>
        <v>5444.2080000000005</v>
      </c>
      <c r="J32" s="6">
        <f t="shared" si="7"/>
        <v>5943.1460000000006</v>
      </c>
      <c r="K32" s="6">
        <f t="shared" si="7"/>
        <v>6442.0840000000007</v>
      </c>
      <c r="L32" s="6">
        <f t="shared" si="7"/>
        <v>6941.0219999999999</v>
      </c>
      <c r="M32">
        <v>7439.96</v>
      </c>
      <c r="N32" s="6">
        <f t="shared" si="8"/>
        <v>7630.848</v>
      </c>
      <c r="O32" s="6">
        <f t="shared" si="8"/>
        <v>7821.7359999999999</v>
      </c>
      <c r="P32" s="6">
        <f t="shared" si="8"/>
        <v>8012.6239999999998</v>
      </c>
      <c r="Q32" s="6">
        <f t="shared" si="8"/>
        <v>8203.5119999999988</v>
      </c>
      <c r="R32">
        <v>8394.4</v>
      </c>
      <c r="S32" s="6">
        <f t="shared" si="9"/>
        <v>8527.268</v>
      </c>
      <c r="T32" s="6">
        <f t="shared" si="9"/>
        <v>8660.1360000000004</v>
      </c>
      <c r="U32" s="6">
        <f t="shared" si="9"/>
        <v>8793.003999999999</v>
      </c>
      <c r="V32" s="6">
        <f t="shared" si="9"/>
        <v>8925.8719999999994</v>
      </c>
      <c r="W32">
        <v>9058.74</v>
      </c>
      <c r="X32" s="6">
        <f t="shared" si="10"/>
        <v>9140.152</v>
      </c>
      <c r="Y32" s="6">
        <f t="shared" si="10"/>
        <v>9221.5640000000003</v>
      </c>
      <c r="Z32" s="6">
        <f t="shared" si="10"/>
        <v>9302.9759999999987</v>
      </c>
      <c r="AA32" s="6">
        <f t="shared" si="10"/>
        <v>9384.387999999999</v>
      </c>
      <c r="AB32">
        <v>9465.7999999999993</v>
      </c>
      <c r="AC32" s="6">
        <f t="shared" si="11"/>
        <v>9350.1080000000002</v>
      </c>
      <c r="AD32" s="6">
        <f t="shared" si="11"/>
        <v>9234.4159999999993</v>
      </c>
      <c r="AE32" s="6">
        <f t="shared" si="11"/>
        <v>9118.7240000000002</v>
      </c>
      <c r="AF32" s="6">
        <f t="shared" si="11"/>
        <v>9003.0319999999992</v>
      </c>
      <c r="AG32">
        <v>8887.34</v>
      </c>
      <c r="AH32" s="5">
        <f>SUM(Tableau2[[#This Row],[2022]:[2050]])</f>
        <v>226600.81999999998</v>
      </c>
    </row>
    <row r="33" spans="1:99" x14ac:dyDescent="0.3">
      <c r="A33" s="2" t="s">
        <v>70</v>
      </c>
      <c r="B33" s="2" t="s">
        <v>71</v>
      </c>
      <c r="C33" s="3" t="s">
        <v>8</v>
      </c>
      <c r="D33" s="2" t="s">
        <v>72</v>
      </c>
      <c r="E33" s="4">
        <v>4181.6099999999997</v>
      </c>
      <c r="F33" s="4">
        <f t="shared" si="6"/>
        <v>4314.0433333333331</v>
      </c>
      <c r="G33" s="4">
        <f t="shared" si="6"/>
        <v>4446.4766666666665</v>
      </c>
      <c r="H33" s="4">
        <v>4578.91</v>
      </c>
      <c r="I33" s="4">
        <f t="shared" si="7"/>
        <v>4965.1779999999999</v>
      </c>
      <c r="J33" s="4">
        <f t="shared" si="7"/>
        <v>5351.4459999999999</v>
      </c>
      <c r="K33" s="4">
        <f t="shared" si="7"/>
        <v>5737.7139999999999</v>
      </c>
      <c r="L33" s="4">
        <f t="shared" si="7"/>
        <v>6123.982</v>
      </c>
      <c r="M33" s="4">
        <v>6510.25</v>
      </c>
      <c r="N33" s="4">
        <f t="shared" si="8"/>
        <v>6510.366</v>
      </c>
      <c r="O33" s="4">
        <f t="shared" si="8"/>
        <v>6510.482</v>
      </c>
      <c r="P33" s="4">
        <f t="shared" si="8"/>
        <v>6510.598</v>
      </c>
      <c r="Q33" s="4">
        <f t="shared" si="8"/>
        <v>6510.7139999999999</v>
      </c>
      <c r="R33" s="4">
        <v>6510.83</v>
      </c>
      <c r="S33" s="4">
        <f t="shared" si="9"/>
        <v>6525.1440000000002</v>
      </c>
      <c r="T33" s="4">
        <f t="shared" si="9"/>
        <v>6539.4579999999996</v>
      </c>
      <c r="U33" s="4">
        <f t="shared" si="9"/>
        <v>6553.7719999999999</v>
      </c>
      <c r="V33" s="4">
        <f t="shared" si="9"/>
        <v>6568.0859999999993</v>
      </c>
      <c r="W33" s="4">
        <v>6582.4</v>
      </c>
      <c r="X33" s="4">
        <f t="shared" si="10"/>
        <v>6688.6059999999998</v>
      </c>
      <c r="Y33" s="4">
        <f t="shared" si="10"/>
        <v>6794.8119999999999</v>
      </c>
      <c r="Z33" s="4">
        <f t="shared" si="10"/>
        <v>6901.018</v>
      </c>
      <c r="AA33" s="4">
        <f t="shared" si="10"/>
        <v>7007.2240000000002</v>
      </c>
      <c r="AB33" s="4">
        <v>7113.43</v>
      </c>
      <c r="AC33" s="4">
        <f t="shared" si="11"/>
        <v>7087.2080000000005</v>
      </c>
      <c r="AD33" s="4">
        <f t="shared" si="11"/>
        <v>7060.9859999999999</v>
      </c>
      <c r="AE33" s="4">
        <f t="shared" si="11"/>
        <v>7034.7640000000001</v>
      </c>
      <c r="AF33" s="4">
        <f t="shared" si="11"/>
        <v>7008.5419999999995</v>
      </c>
      <c r="AG33" s="4">
        <v>6982.32</v>
      </c>
      <c r="AH33" s="5">
        <f>SUM(Tableau2[[#This Row],[2022]:[2050]])</f>
        <v>181210.36999999997</v>
      </c>
    </row>
    <row r="34" spans="1:99" x14ac:dyDescent="0.3">
      <c r="A34" s="2" t="s">
        <v>75</v>
      </c>
      <c r="B34" s="2"/>
      <c r="C34" s="3" t="s">
        <v>8</v>
      </c>
      <c r="D34" s="2" t="s">
        <v>74</v>
      </c>
      <c r="E34" s="4">
        <v>681.64499999999998</v>
      </c>
      <c r="F34" s="4">
        <f t="shared" si="6"/>
        <v>874.01666666666665</v>
      </c>
      <c r="G34" s="4">
        <f t="shared" si="6"/>
        <v>1066.3883333333333</v>
      </c>
      <c r="H34" s="4">
        <v>1258.76</v>
      </c>
      <c r="I34" s="4">
        <f t="shared" si="7"/>
        <v>1405.068</v>
      </c>
      <c r="J34" s="4">
        <f t="shared" si="7"/>
        <v>1551.376</v>
      </c>
      <c r="K34" s="4">
        <f t="shared" si="7"/>
        <v>1697.684</v>
      </c>
      <c r="L34" s="4">
        <f t="shared" si="7"/>
        <v>1843.992</v>
      </c>
      <c r="M34" s="4">
        <v>1990.3</v>
      </c>
      <c r="N34" s="4">
        <f t="shared" si="8"/>
        <v>2004.74</v>
      </c>
      <c r="O34" s="4">
        <f t="shared" si="8"/>
        <v>2019.18</v>
      </c>
      <c r="P34" s="4">
        <f t="shared" si="8"/>
        <v>2033.62</v>
      </c>
      <c r="Q34" s="4">
        <f t="shared" si="8"/>
        <v>2048.06</v>
      </c>
      <c r="R34" s="4">
        <v>2062.5</v>
      </c>
      <c r="S34" s="4">
        <f t="shared" si="9"/>
        <v>2055.27</v>
      </c>
      <c r="T34" s="4">
        <f t="shared" si="9"/>
        <v>2048.04</v>
      </c>
      <c r="U34" s="4">
        <f t="shared" si="9"/>
        <v>2040.81</v>
      </c>
      <c r="V34" s="4">
        <f t="shared" si="9"/>
        <v>2033.58</v>
      </c>
      <c r="W34" s="4">
        <v>2026.35</v>
      </c>
      <c r="X34" s="4">
        <f t="shared" si="10"/>
        <v>1955.82</v>
      </c>
      <c r="Y34" s="4">
        <f t="shared" si="10"/>
        <v>1885.29</v>
      </c>
      <c r="Z34" s="4">
        <f t="shared" si="10"/>
        <v>1814.76</v>
      </c>
      <c r="AA34" s="4">
        <f t="shared" si="10"/>
        <v>1744.23</v>
      </c>
      <c r="AB34" s="4">
        <v>1673.7</v>
      </c>
      <c r="AC34" s="4">
        <f t="shared" si="11"/>
        <v>1714.9159999999999</v>
      </c>
      <c r="AD34" s="4">
        <f t="shared" si="11"/>
        <v>1756.1320000000001</v>
      </c>
      <c r="AE34" s="4">
        <f t="shared" si="11"/>
        <v>1797.348</v>
      </c>
      <c r="AF34" s="4">
        <f t="shared" si="11"/>
        <v>1838.5640000000001</v>
      </c>
      <c r="AG34" s="4">
        <v>1879.78</v>
      </c>
      <c r="AH34" s="4">
        <f>SUM(Tableau2[[#This Row],[2022]:[2050]])</f>
        <v>50801.919999999991</v>
      </c>
    </row>
    <row r="35" spans="1:99" hidden="1" x14ac:dyDescent="0.3">
      <c r="A35" s="2" t="s">
        <v>85</v>
      </c>
      <c r="B35" s="2"/>
      <c r="C35" s="3" t="s">
        <v>8</v>
      </c>
      <c r="D35" s="2" t="s">
        <v>73</v>
      </c>
      <c r="E35" s="6">
        <v>373.33100000000002</v>
      </c>
      <c r="F35" s="6">
        <f t="shared" si="6"/>
        <v>478.44633333333337</v>
      </c>
      <c r="G35" s="6">
        <f t="shared" si="6"/>
        <v>583.56166666666672</v>
      </c>
      <c r="H35">
        <v>688.67700000000002</v>
      </c>
      <c r="I35" s="6">
        <f t="shared" si="7"/>
        <v>869.32760000000007</v>
      </c>
      <c r="J35" s="6">
        <f t="shared" si="7"/>
        <v>1049.9782</v>
      </c>
      <c r="K35" s="6">
        <f t="shared" si="7"/>
        <v>1230.6288</v>
      </c>
      <c r="L35" s="6">
        <f t="shared" si="7"/>
        <v>1411.2793999999999</v>
      </c>
      <c r="M35">
        <v>1591.93</v>
      </c>
      <c r="N35" s="6">
        <f t="shared" si="8"/>
        <v>1787.624</v>
      </c>
      <c r="O35" s="6">
        <f t="shared" si="8"/>
        <v>1983.3180000000002</v>
      </c>
      <c r="P35" s="6">
        <f t="shared" si="8"/>
        <v>2179.0120000000002</v>
      </c>
      <c r="Q35" s="6">
        <f t="shared" si="8"/>
        <v>2374.7060000000001</v>
      </c>
      <c r="R35">
        <v>2570.4</v>
      </c>
      <c r="S35" s="6">
        <f t="shared" si="9"/>
        <v>2683.2739999999999</v>
      </c>
      <c r="T35" s="6">
        <f t="shared" si="9"/>
        <v>2796.1480000000001</v>
      </c>
      <c r="U35" s="6">
        <f t="shared" si="9"/>
        <v>2909.0219999999999</v>
      </c>
      <c r="V35" s="6">
        <f t="shared" si="9"/>
        <v>3021.8960000000002</v>
      </c>
      <c r="W35">
        <v>3134.77</v>
      </c>
      <c r="X35" s="6">
        <f t="shared" si="10"/>
        <v>3156.0639999999999</v>
      </c>
      <c r="Y35" s="6">
        <f t="shared" si="10"/>
        <v>3177.3579999999997</v>
      </c>
      <c r="Z35" s="6">
        <f t="shared" si="10"/>
        <v>3198.652</v>
      </c>
      <c r="AA35" s="6">
        <f t="shared" si="10"/>
        <v>3219.9459999999999</v>
      </c>
      <c r="AB35">
        <v>3241.24</v>
      </c>
      <c r="AC35" s="6">
        <f t="shared" si="11"/>
        <v>3254.3579999999997</v>
      </c>
      <c r="AD35" s="6">
        <f t="shared" si="11"/>
        <v>3267.4759999999997</v>
      </c>
      <c r="AE35" s="6">
        <f t="shared" si="11"/>
        <v>3280.5940000000001</v>
      </c>
      <c r="AF35" s="6">
        <f t="shared" si="11"/>
        <v>3293.712</v>
      </c>
      <c r="AG35">
        <v>3306.83</v>
      </c>
      <c r="AH35" s="5">
        <f>SUM(Tableau2[[#This Row],[2022]:[2050]])</f>
        <v>66113.56</v>
      </c>
    </row>
    <row r="36" spans="1:99" x14ac:dyDescent="0.3">
      <c r="A36" s="2" t="s">
        <v>85</v>
      </c>
      <c r="B36" s="2"/>
      <c r="C36" s="3" t="s">
        <v>8</v>
      </c>
      <c r="D36" s="2" t="s">
        <v>72</v>
      </c>
      <c r="E36" s="4">
        <v>373.33100000000002</v>
      </c>
      <c r="F36" s="4">
        <f t="shared" si="6"/>
        <v>442.149</v>
      </c>
      <c r="G36" s="4">
        <f t="shared" si="6"/>
        <v>510.96699999999998</v>
      </c>
      <c r="H36" s="4">
        <v>579.78499999999997</v>
      </c>
      <c r="I36" s="4">
        <f t="shared" si="7"/>
        <v>672.65599999999995</v>
      </c>
      <c r="J36" s="4">
        <f t="shared" si="7"/>
        <v>765.52700000000004</v>
      </c>
      <c r="K36" s="4">
        <f t="shared" si="7"/>
        <v>858.39800000000002</v>
      </c>
      <c r="L36" s="4">
        <f t="shared" si="7"/>
        <v>951.26900000000001</v>
      </c>
      <c r="M36" s="4">
        <v>1044.1400000000001</v>
      </c>
      <c r="N36" s="4">
        <f t="shared" si="8"/>
        <v>1079.154</v>
      </c>
      <c r="O36" s="4">
        <f t="shared" si="8"/>
        <v>1114.1680000000001</v>
      </c>
      <c r="P36" s="4">
        <f t="shared" si="8"/>
        <v>1149.182</v>
      </c>
      <c r="Q36" s="4">
        <f t="shared" si="8"/>
        <v>1184.1960000000001</v>
      </c>
      <c r="R36" s="4">
        <v>1219.21</v>
      </c>
      <c r="S36" s="4">
        <f t="shared" si="9"/>
        <v>1259.6000000000001</v>
      </c>
      <c r="T36" s="4">
        <f t="shared" si="9"/>
        <v>1299.99</v>
      </c>
      <c r="U36" s="4">
        <f t="shared" si="9"/>
        <v>1340.38</v>
      </c>
      <c r="V36" s="4">
        <f t="shared" si="9"/>
        <v>1380.77</v>
      </c>
      <c r="W36" s="4">
        <v>1421.16</v>
      </c>
      <c r="X36" s="4">
        <f t="shared" si="10"/>
        <v>1428.46</v>
      </c>
      <c r="Y36" s="4">
        <f t="shared" si="10"/>
        <v>1435.76</v>
      </c>
      <c r="Z36" s="4">
        <f t="shared" si="10"/>
        <v>1443.0600000000002</v>
      </c>
      <c r="AA36" s="4">
        <f t="shared" si="10"/>
        <v>1450.3600000000001</v>
      </c>
      <c r="AB36" s="4">
        <v>1457.66</v>
      </c>
      <c r="AC36" s="4">
        <f t="shared" si="11"/>
        <v>1435.3020000000001</v>
      </c>
      <c r="AD36" s="4">
        <f t="shared" si="11"/>
        <v>1412.944</v>
      </c>
      <c r="AE36" s="4">
        <f t="shared" si="11"/>
        <v>1390.586</v>
      </c>
      <c r="AF36" s="4">
        <f t="shared" si="11"/>
        <v>1368.2279999999998</v>
      </c>
      <c r="AG36" s="4">
        <v>1345.87</v>
      </c>
      <c r="AH36" s="5">
        <f>SUM(Tableau2[[#This Row],[2022]:[2050]])</f>
        <v>32814.262000000002</v>
      </c>
    </row>
    <row r="37" spans="1:99" x14ac:dyDescent="0.3">
      <c r="A37" s="2" t="s">
        <v>77</v>
      </c>
      <c r="B37" s="2"/>
      <c r="C37" s="3" t="s">
        <v>8</v>
      </c>
      <c r="D37" s="2" t="s">
        <v>74</v>
      </c>
      <c r="E37" s="4">
        <v>393.79199999999997</v>
      </c>
      <c r="F37" s="4">
        <f t="shared" si="6"/>
        <v>497.4973333333333</v>
      </c>
      <c r="G37" s="4">
        <f t="shared" si="6"/>
        <v>601.20266666666669</v>
      </c>
      <c r="H37" s="4">
        <v>704.90800000000002</v>
      </c>
      <c r="I37" s="4">
        <f t="shared" si="7"/>
        <v>889.93439999999998</v>
      </c>
      <c r="J37" s="4">
        <f t="shared" si="7"/>
        <v>1074.9608000000001</v>
      </c>
      <c r="K37" s="4">
        <f t="shared" si="7"/>
        <v>1259.9872</v>
      </c>
      <c r="L37" s="4">
        <f t="shared" si="7"/>
        <v>1445.0136</v>
      </c>
      <c r="M37" s="4">
        <v>1630.04</v>
      </c>
      <c r="N37" s="4">
        <f t="shared" si="8"/>
        <v>1612.5619999999999</v>
      </c>
      <c r="O37" s="4">
        <f t="shared" si="8"/>
        <v>1595.0840000000001</v>
      </c>
      <c r="P37" s="4">
        <f t="shared" si="8"/>
        <v>1577.606</v>
      </c>
      <c r="Q37" s="4">
        <f t="shared" si="8"/>
        <v>1560.1280000000002</v>
      </c>
      <c r="R37" s="4">
        <v>1542.65</v>
      </c>
      <c r="S37" s="4">
        <f t="shared" si="9"/>
        <v>1499.6960000000001</v>
      </c>
      <c r="T37" s="4">
        <f t="shared" si="9"/>
        <v>1456.7420000000002</v>
      </c>
      <c r="U37" s="4">
        <f t="shared" si="9"/>
        <v>1413.788</v>
      </c>
      <c r="V37" s="4">
        <f t="shared" si="9"/>
        <v>1370.8340000000001</v>
      </c>
      <c r="W37" s="4">
        <v>1327.88</v>
      </c>
      <c r="X37" s="4">
        <f t="shared" si="10"/>
        <v>1238.5884000000001</v>
      </c>
      <c r="Y37" s="4">
        <f t="shared" si="10"/>
        <v>1149.2968000000001</v>
      </c>
      <c r="Z37" s="4">
        <f t="shared" si="10"/>
        <v>1060.0052000000001</v>
      </c>
      <c r="AA37" s="4">
        <f t="shared" si="10"/>
        <v>970.71360000000004</v>
      </c>
      <c r="AB37" s="4">
        <v>881.42200000000003</v>
      </c>
      <c r="AC37" s="4">
        <f t="shared" si="11"/>
        <v>965.7876</v>
      </c>
      <c r="AD37" s="4">
        <f t="shared" si="11"/>
        <v>1050.1532</v>
      </c>
      <c r="AE37" s="4">
        <f t="shared" si="11"/>
        <v>1134.5188000000001</v>
      </c>
      <c r="AF37" s="4">
        <f t="shared" si="11"/>
        <v>1218.8843999999999</v>
      </c>
      <c r="AG37" s="4">
        <v>1303.25</v>
      </c>
      <c r="AH37" s="4">
        <f>SUM(Tableau2[[#This Row],[2022]:[2050]])</f>
        <v>34426.926000000007</v>
      </c>
    </row>
    <row r="38" spans="1:99" x14ac:dyDescent="0.3">
      <c r="A38" s="2" t="s">
        <v>86</v>
      </c>
      <c r="B38" s="2"/>
      <c r="C38" s="3" t="s">
        <v>8</v>
      </c>
      <c r="D38" s="2" t="s">
        <v>72</v>
      </c>
      <c r="E38" s="4">
        <v>3.1968700000000001E-3</v>
      </c>
      <c r="F38" s="4">
        <f t="shared" si="6"/>
        <v>3.4248300000000002E-3</v>
      </c>
      <c r="G38" s="4">
        <f t="shared" si="6"/>
        <v>3.6527899999999999E-3</v>
      </c>
      <c r="H38" s="4">
        <v>3.8807500000000001E-3</v>
      </c>
      <c r="I38" s="4">
        <f t="shared" si="7"/>
        <v>4.456542E-3</v>
      </c>
      <c r="J38" s="4">
        <f t="shared" si="7"/>
        <v>5.0323340000000003E-3</v>
      </c>
      <c r="K38" s="4">
        <f t="shared" si="7"/>
        <v>5.6081260000000006E-3</v>
      </c>
      <c r="L38" s="4">
        <f t="shared" si="7"/>
        <v>6.1839180000000001E-3</v>
      </c>
      <c r="M38" s="4">
        <v>6.7597100000000004E-3</v>
      </c>
      <c r="N38" s="4">
        <f t="shared" si="8"/>
        <v>6.7141200000000005E-3</v>
      </c>
      <c r="O38" s="4">
        <f t="shared" si="8"/>
        <v>6.6685300000000006E-3</v>
      </c>
      <c r="P38" s="4">
        <f t="shared" si="8"/>
        <v>6.6229399999999999E-3</v>
      </c>
      <c r="Q38" s="4">
        <f t="shared" si="8"/>
        <v>6.57735E-3</v>
      </c>
      <c r="R38" s="4">
        <v>6.5317600000000002E-3</v>
      </c>
      <c r="S38" s="4">
        <f t="shared" si="9"/>
        <v>6.623266E-3</v>
      </c>
      <c r="T38" s="4">
        <f t="shared" si="9"/>
        <v>6.7147719999999999E-3</v>
      </c>
      <c r="U38" s="4">
        <f t="shared" si="9"/>
        <v>6.8062780000000007E-3</v>
      </c>
      <c r="V38" s="4">
        <f t="shared" si="9"/>
        <v>6.8977840000000006E-3</v>
      </c>
      <c r="W38" s="4">
        <v>6.9892900000000004E-3</v>
      </c>
      <c r="X38" s="4">
        <f t="shared" si="10"/>
        <v>7.3712540000000007E-3</v>
      </c>
      <c r="Y38" s="4">
        <f t="shared" si="10"/>
        <v>7.7532180000000001E-3</v>
      </c>
      <c r="Z38" s="4">
        <f t="shared" si="10"/>
        <v>8.1351820000000012E-3</v>
      </c>
      <c r="AA38" s="4">
        <f t="shared" si="10"/>
        <v>8.5171459999999997E-3</v>
      </c>
      <c r="AB38" s="4">
        <v>8.89911E-3</v>
      </c>
      <c r="AC38" s="4">
        <f t="shared" si="11"/>
        <v>1.0012468E-2</v>
      </c>
      <c r="AD38" s="4">
        <f t="shared" si="11"/>
        <v>1.1125826E-2</v>
      </c>
      <c r="AE38" s="4">
        <f t="shared" si="11"/>
        <v>1.2239184E-2</v>
      </c>
      <c r="AF38" s="4">
        <f t="shared" si="11"/>
        <v>1.3352542E-2</v>
      </c>
      <c r="AG38" s="4">
        <v>1.44659E-2</v>
      </c>
      <c r="AH38" s="5">
        <f>SUM(Tableau2[[#This Row],[2022]:[2050]])</f>
        <v>0.21121378999999996</v>
      </c>
    </row>
    <row r="39" spans="1:99" hidden="1" x14ac:dyDescent="0.3">
      <c r="A39" s="2" t="s">
        <v>86</v>
      </c>
      <c r="B39" s="2"/>
      <c r="C39" s="3" t="s">
        <v>8</v>
      </c>
      <c r="D39" s="2" t="s">
        <v>73</v>
      </c>
      <c r="E39" s="6">
        <v>3.1968700000000001E-3</v>
      </c>
      <c r="F39" s="6">
        <f t="shared" si="6"/>
        <v>1.2311746666666665E-2</v>
      </c>
      <c r="G39" s="6">
        <f t="shared" si="6"/>
        <v>2.1426623333333332E-2</v>
      </c>
      <c r="H39" s="6">
        <v>3.0541499999999999E-2</v>
      </c>
      <c r="I39" s="6">
        <f t="shared" si="7"/>
        <v>3.5890499999999999E-2</v>
      </c>
      <c r="J39" s="6">
        <f t="shared" si="7"/>
        <v>4.1239499999999998E-2</v>
      </c>
      <c r="K39" s="6">
        <f t="shared" si="7"/>
        <v>4.6588499999999998E-2</v>
      </c>
      <c r="L39" s="6">
        <f t="shared" si="7"/>
        <v>5.1937499999999998E-2</v>
      </c>
      <c r="M39">
        <v>5.7286499999999997E-2</v>
      </c>
      <c r="N39" s="6">
        <f t="shared" si="8"/>
        <v>5.9219099999999997E-2</v>
      </c>
      <c r="O39" s="6">
        <f t="shared" si="8"/>
        <v>6.1151699999999996E-2</v>
      </c>
      <c r="P39" s="6">
        <f t="shared" si="8"/>
        <v>6.3084299999999996E-2</v>
      </c>
      <c r="Q39" s="6">
        <f t="shared" si="8"/>
        <v>6.5016899999999989E-2</v>
      </c>
      <c r="R39">
        <v>6.6949499999999995E-2</v>
      </c>
      <c r="S39" s="6">
        <f t="shared" si="9"/>
        <v>7.069397999999999E-2</v>
      </c>
      <c r="T39" s="6">
        <f t="shared" si="9"/>
        <v>7.4438459999999998E-2</v>
      </c>
      <c r="U39" s="6">
        <f t="shared" si="9"/>
        <v>7.8182939999999992E-2</v>
      </c>
      <c r="V39" s="6">
        <f t="shared" si="9"/>
        <v>8.1927420000000001E-2</v>
      </c>
      <c r="W39">
        <v>8.5671899999999995E-2</v>
      </c>
      <c r="X39" s="6">
        <f t="shared" si="10"/>
        <v>8.9085520000000001E-2</v>
      </c>
      <c r="Y39" s="6">
        <f t="shared" si="10"/>
        <v>9.2499139999999994E-2</v>
      </c>
      <c r="Z39" s="6">
        <f t="shared" si="10"/>
        <v>9.591276E-2</v>
      </c>
      <c r="AA39" s="6">
        <f t="shared" si="10"/>
        <v>9.9326379999999992E-2</v>
      </c>
      <c r="AB39">
        <v>0.10274</v>
      </c>
      <c r="AC39" s="6">
        <f t="shared" si="11"/>
        <v>0.11342339999999999</v>
      </c>
      <c r="AD39" s="6">
        <f t="shared" si="11"/>
        <v>0.12410679999999999</v>
      </c>
      <c r="AE39" s="6">
        <f t="shared" si="11"/>
        <v>0.1347902</v>
      </c>
      <c r="AF39" s="6">
        <f t="shared" si="11"/>
        <v>0.14547359999999998</v>
      </c>
      <c r="AG39">
        <v>0.15615699999999999</v>
      </c>
      <c r="AH39" s="5">
        <f>SUM(Tableau2[[#This Row],[2022]:[2050]])</f>
        <v>2.16027024</v>
      </c>
    </row>
    <row r="40" spans="1:99" x14ac:dyDescent="0.3">
      <c r="A40" s="2" t="s">
        <v>85</v>
      </c>
      <c r="B40" s="2"/>
      <c r="C40" s="3" t="s">
        <v>8</v>
      </c>
      <c r="D40" s="2" t="s">
        <v>74</v>
      </c>
      <c r="E40" s="4">
        <v>373.33100000000002</v>
      </c>
      <c r="F40" s="4">
        <f t="shared" si="6"/>
        <v>632.904</v>
      </c>
      <c r="G40" s="4">
        <f t="shared" si="6"/>
        <v>892.47699999999998</v>
      </c>
      <c r="H40" s="4">
        <v>1152.05</v>
      </c>
      <c r="I40" s="4">
        <f t="shared" si="7"/>
        <v>1462.422</v>
      </c>
      <c r="J40" s="4">
        <f t="shared" si="7"/>
        <v>1772.7939999999999</v>
      </c>
      <c r="K40" s="4">
        <f t="shared" si="7"/>
        <v>2083.1659999999997</v>
      </c>
      <c r="L40" s="4">
        <f t="shared" si="7"/>
        <v>2393.5379999999996</v>
      </c>
      <c r="M40" s="4">
        <v>2703.91</v>
      </c>
      <c r="N40" s="4">
        <f t="shared" si="8"/>
        <v>2923.0219999999999</v>
      </c>
      <c r="O40" s="4">
        <f t="shared" si="8"/>
        <v>3142.134</v>
      </c>
      <c r="P40" s="4">
        <f t="shared" si="8"/>
        <v>3361.2460000000001</v>
      </c>
      <c r="Q40" s="4">
        <f t="shared" si="8"/>
        <v>3580.3579999999997</v>
      </c>
      <c r="R40" s="4">
        <v>3799.47</v>
      </c>
      <c r="S40" s="4">
        <f t="shared" si="9"/>
        <v>3816.2999999999997</v>
      </c>
      <c r="T40" s="4">
        <f t="shared" si="9"/>
        <v>3833.1299999999997</v>
      </c>
      <c r="U40" s="4">
        <f t="shared" si="9"/>
        <v>3849.96</v>
      </c>
      <c r="V40" s="4">
        <f t="shared" si="9"/>
        <v>3866.79</v>
      </c>
      <c r="W40" s="4">
        <v>3883.62</v>
      </c>
      <c r="X40" s="4">
        <f t="shared" si="10"/>
        <v>3886.3679999999999</v>
      </c>
      <c r="Y40" s="4">
        <f t="shared" si="10"/>
        <v>3889.116</v>
      </c>
      <c r="Z40" s="4">
        <f t="shared" si="10"/>
        <v>3891.864</v>
      </c>
      <c r="AA40" s="4">
        <f t="shared" si="10"/>
        <v>3894.6120000000001</v>
      </c>
      <c r="AB40" s="4">
        <v>3897.36</v>
      </c>
      <c r="AC40" s="4">
        <f t="shared" si="11"/>
        <v>3834.4720000000002</v>
      </c>
      <c r="AD40" s="4">
        <f t="shared" si="11"/>
        <v>3771.5840000000003</v>
      </c>
      <c r="AE40" s="4">
        <f t="shared" si="11"/>
        <v>3708.6959999999999</v>
      </c>
      <c r="AF40" s="4">
        <f t="shared" si="11"/>
        <v>3645.808</v>
      </c>
      <c r="AG40" s="4">
        <v>3582.92</v>
      </c>
      <c r="AH40" s="4">
        <f>SUM(Tableau2[[#This Row],[2022]:[2050]])</f>
        <v>87525.422000000006</v>
      </c>
    </row>
    <row r="41" spans="1:99" x14ac:dyDescent="0.3">
      <c r="A41" s="2" t="s">
        <v>75</v>
      </c>
      <c r="B41" s="2"/>
      <c r="C41" s="3" t="s">
        <v>8</v>
      </c>
      <c r="D41" s="2" t="s">
        <v>72</v>
      </c>
      <c r="E41" s="4">
        <v>681.64499999999998</v>
      </c>
      <c r="F41" s="4">
        <f t="shared" si="6"/>
        <v>714.0813333333333</v>
      </c>
      <c r="G41" s="4">
        <f t="shared" si="6"/>
        <v>746.51766666666663</v>
      </c>
      <c r="H41" s="4">
        <v>778.95399999999995</v>
      </c>
      <c r="I41" s="4">
        <f t="shared" si="7"/>
        <v>804.61359999999991</v>
      </c>
      <c r="J41" s="4">
        <f t="shared" si="7"/>
        <v>830.27319999999997</v>
      </c>
      <c r="K41" s="4">
        <f t="shared" si="7"/>
        <v>855.93279999999993</v>
      </c>
      <c r="L41" s="4">
        <f t="shared" si="7"/>
        <v>881.5924</v>
      </c>
      <c r="M41" s="4">
        <v>907.25199999999995</v>
      </c>
      <c r="N41" s="4">
        <f t="shared" si="8"/>
        <v>910.76159999999993</v>
      </c>
      <c r="O41" s="4">
        <f t="shared" si="8"/>
        <v>914.27119999999991</v>
      </c>
      <c r="P41" s="4">
        <f t="shared" si="8"/>
        <v>917.7808</v>
      </c>
      <c r="Q41" s="4">
        <f t="shared" si="8"/>
        <v>921.29039999999998</v>
      </c>
      <c r="R41" s="4">
        <v>924.8</v>
      </c>
      <c r="S41" s="4">
        <f t="shared" si="9"/>
        <v>931.59319999999991</v>
      </c>
      <c r="T41" s="4">
        <f t="shared" si="9"/>
        <v>938.38639999999998</v>
      </c>
      <c r="U41" s="4">
        <f t="shared" si="9"/>
        <v>945.17959999999994</v>
      </c>
      <c r="V41" s="4">
        <f t="shared" si="9"/>
        <v>951.97280000000001</v>
      </c>
      <c r="W41" s="4">
        <v>958.76599999999996</v>
      </c>
      <c r="X41" s="4">
        <f t="shared" si="10"/>
        <v>991.4248</v>
      </c>
      <c r="Y41" s="4">
        <f t="shared" si="10"/>
        <v>1024.0835999999999</v>
      </c>
      <c r="Z41" s="4">
        <f t="shared" si="10"/>
        <v>1056.7423999999999</v>
      </c>
      <c r="AA41" s="4">
        <f t="shared" si="10"/>
        <v>1089.4012</v>
      </c>
      <c r="AB41" s="4">
        <v>1122.06</v>
      </c>
      <c r="AC41" s="4">
        <f t="shared" si="11"/>
        <v>1149.98</v>
      </c>
      <c r="AD41" s="4">
        <f t="shared" si="11"/>
        <v>1177.9000000000001</v>
      </c>
      <c r="AE41" s="4">
        <f t="shared" si="11"/>
        <v>1205.82</v>
      </c>
      <c r="AF41" s="4">
        <f t="shared" si="11"/>
        <v>1233.74</v>
      </c>
      <c r="AG41" s="4">
        <v>1261.6600000000001</v>
      </c>
      <c r="AH41" s="5">
        <f>SUM(Tableau2[[#This Row],[2022]:[2050]])</f>
        <v>27828.475999999999</v>
      </c>
    </row>
    <row r="42" spans="1:99" x14ac:dyDescent="0.3">
      <c r="A42" s="2" t="s">
        <v>83</v>
      </c>
      <c r="B42" s="2" t="s">
        <v>84</v>
      </c>
      <c r="C42" s="3" t="s">
        <v>8</v>
      </c>
      <c r="D42" s="2" t="s">
        <v>74</v>
      </c>
      <c r="E42" s="4">
        <v>20.4468</v>
      </c>
      <c r="F42" s="4">
        <f t="shared" ref="F42:G61" si="12">(($H42-$E42)/($H$1-$E$1))*(F$1-$E$1)+$E42</f>
        <v>39.46286666666667</v>
      </c>
      <c r="G42" s="4">
        <f t="shared" si="12"/>
        <v>58.478933333333345</v>
      </c>
      <c r="H42" s="4">
        <v>77.495000000000005</v>
      </c>
      <c r="I42" s="4">
        <f t="shared" ref="I42:L61" si="13">(($M42-$H42)/($M$1-$H$1))*(I$1-$H$1)+$H42</f>
        <v>113.62620000000001</v>
      </c>
      <c r="J42" s="4">
        <f t="shared" si="13"/>
        <v>149.75740000000002</v>
      </c>
      <c r="K42" s="4">
        <f t="shared" si="13"/>
        <v>185.8886</v>
      </c>
      <c r="L42" s="4">
        <f t="shared" si="13"/>
        <v>222.0198</v>
      </c>
      <c r="M42" s="4">
        <v>258.15100000000001</v>
      </c>
      <c r="N42" s="4">
        <f t="shared" ref="N42:Q61" si="14">(($R42-$M42)/($R$1-$M$1))*(N$1-$M$1)+$M42</f>
        <v>294.69260000000003</v>
      </c>
      <c r="O42" s="4">
        <f t="shared" si="14"/>
        <v>331.23419999999999</v>
      </c>
      <c r="P42" s="4">
        <f t="shared" si="14"/>
        <v>367.7758</v>
      </c>
      <c r="Q42" s="4">
        <f t="shared" si="14"/>
        <v>404.31740000000002</v>
      </c>
      <c r="R42" s="4">
        <v>440.85899999999998</v>
      </c>
      <c r="S42" s="4">
        <f t="shared" ref="S42:V61" si="15">(($W42-$R42)/($W$1-$R$1))*(S$1-$R$1)+$R42</f>
        <v>489.75040000000001</v>
      </c>
      <c r="T42" s="4">
        <f t="shared" si="15"/>
        <v>538.64179999999999</v>
      </c>
      <c r="U42" s="4">
        <f t="shared" si="15"/>
        <v>587.53320000000008</v>
      </c>
      <c r="V42" s="4">
        <f t="shared" si="15"/>
        <v>636.42460000000005</v>
      </c>
      <c r="W42" s="4">
        <v>685.31600000000003</v>
      </c>
      <c r="X42" s="4">
        <f t="shared" ref="X42:AA61" si="16">(($AB42-$W42)/($AB$1-$W$1))*(X$1-$W$1)+$W42</f>
        <v>695.01880000000006</v>
      </c>
      <c r="Y42" s="4">
        <f t="shared" si="16"/>
        <v>704.72160000000008</v>
      </c>
      <c r="Z42" s="4">
        <f t="shared" si="16"/>
        <v>714.42439999999999</v>
      </c>
      <c r="AA42" s="4">
        <f t="shared" si="16"/>
        <v>724.12720000000002</v>
      </c>
      <c r="AB42" s="4">
        <v>733.83</v>
      </c>
      <c r="AC42" s="4">
        <f t="shared" ref="AC42:AF61" si="17">(($AG42-$AB42)/($AG$1-$AB$1))*(AC$1-$AB$1)+$AB42</f>
        <v>720.09540000000004</v>
      </c>
      <c r="AD42" s="4">
        <f t="shared" si="17"/>
        <v>706.36080000000004</v>
      </c>
      <c r="AE42" s="4">
        <f t="shared" si="17"/>
        <v>692.62620000000004</v>
      </c>
      <c r="AF42" s="4">
        <f t="shared" si="17"/>
        <v>678.89160000000004</v>
      </c>
      <c r="AG42" s="4">
        <v>665.15700000000004</v>
      </c>
      <c r="AH42" s="4">
        <f>SUM(Tableau2[[#This Row],[2022]:[2050]])</f>
        <v>12937.124600000001</v>
      </c>
    </row>
    <row r="43" spans="1:99" hidden="1" x14ac:dyDescent="0.3">
      <c r="A43" s="2" t="s">
        <v>75</v>
      </c>
      <c r="B43" s="2"/>
      <c r="C43" s="3" t="s">
        <v>8</v>
      </c>
      <c r="D43" s="2" t="s">
        <v>73</v>
      </c>
      <c r="E43" s="6">
        <v>681.64499999999998</v>
      </c>
      <c r="F43" s="6">
        <f t="shared" si="12"/>
        <v>762.14499999999998</v>
      </c>
      <c r="G43" s="6">
        <f t="shared" si="12"/>
        <v>842.64499999999998</v>
      </c>
      <c r="H43" s="6">
        <v>923.14499999999998</v>
      </c>
      <c r="I43" s="6">
        <f t="shared" si="13"/>
        <v>973.85</v>
      </c>
      <c r="J43" s="6">
        <f t="shared" si="13"/>
        <v>1024.5550000000001</v>
      </c>
      <c r="K43" s="6">
        <f t="shared" si="13"/>
        <v>1075.26</v>
      </c>
      <c r="L43" s="6">
        <f t="shared" si="13"/>
        <v>1125.9650000000001</v>
      </c>
      <c r="M43" s="6">
        <v>1176.67</v>
      </c>
      <c r="N43" s="6">
        <f t="shared" si="14"/>
        <v>1215.21</v>
      </c>
      <c r="O43" s="6">
        <f t="shared" si="14"/>
        <v>1253.75</v>
      </c>
      <c r="P43" s="6">
        <f t="shared" si="14"/>
        <v>1292.29</v>
      </c>
      <c r="Q43" s="6">
        <f t="shared" si="14"/>
        <v>1330.83</v>
      </c>
      <c r="R43" s="6">
        <v>1369.37</v>
      </c>
      <c r="S43" s="6">
        <f t="shared" si="15"/>
        <v>1373.98</v>
      </c>
      <c r="T43" s="6">
        <f t="shared" si="15"/>
        <v>1378.59</v>
      </c>
      <c r="U43" s="6">
        <f t="shared" si="15"/>
        <v>1383.2</v>
      </c>
      <c r="V43" s="6">
        <f t="shared" si="15"/>
        <v>1387.81</v>
      </c>
      <c r="W43" s="6">
        <v>1392.42</v>
      </c>
      <c r="X43" s="6">
        <f t="shared" si="16"/>
        <v>1438.05</v>
      </c>
      <c r="Y43" s="6">
        <f t="shared" si="16"/>
        <v>1483.68</v>
      </c>
      <c r="Z43" s="6">
        <f t="shared" si="16"/>
        <v>1529.31</v>
      </c>
      <c r="AA43" s="6">
        <f t="shared" si="16"/>
        <v>1574.94</v>
      </c>
      <c r="AB43" s="6">
        <v>1620.57</v>
      </c>
      <c r="AC43" s="6">
        <f t="shared" si="17"/>
        <v>1658.7139999999999</v>
      </c>
      <c r="AD43" s="6">
        <f t="shared" si="17"/>
        <v>1696.8579999999999</v>
      </c>
      <c r="AE43" s="6">
        <f t="shared" si="17"/>
        <v>1735.002</v>
      </c>
      <c r="AF43" s="6">
        <f t="shared" si="17"/>
        <v>1773.146</v>
      </c>
      <c r="AG43" s="6">
        <v>1811.29</v>
      </c>
      <c r="AH43" s="5">
        <f>SUM(Tableau2[[#This Row],[2022]:[2050]])</f>
        <v>38284.89</v>
      </c>
    </row>
    <row r="44" spans="1:99" x14ac:dyDescent="0.3">
      <c r="A44" s="2" t="s">
        <v>77</v>
      </c>
      <c r="B44" s="2"/>
      <c r="C44" s="3" t="s">
        <v>8</v>
      </c>
      <c r="D44" s="2" t="s">
        <v>72</v>
      </c>
      <c r="E44" s="4">
        <v>393.79199999999997</v>
      </c>
      <c r="F44" s="4">
        <f t="shared" si="12"/>
        <v>405.11633333333333</v>
      </c>
      <c r="G44" s="4">
        <f t="shared" si="12"/>
        <v>416.44066666666663</v>
      </c>
      <c r="H44" s="4">
        <v>427.76499999999999</v>
      </c>
      <c r="I44" s="4">
        <f t="shared" si="13"/>
        <v>471.47859999999997</v>
      </c>
      <c r="J44" s="4">
        <f t="shared" si="13"/>
        <v>515.19219999999996</v>
      </c>
      <c r="K44" s="4">
        <f t="shared" si="13"/>
        <v>558.9058</v>
      </c>
      <c r="L44" s="4">
        <f t="shared" si="13"/>
        <v>602.61940000000004</v>
      </c>
      <c r="M44" s="4">
        <v>646.33299999999997</v>
      </c>
      <c r="N44" s="4">
        <f t="shared" si="14"/>
        <v>636.11739999999998</v>
      </c>
      <c r="O44" s="4">
        <f t="shared" si="14"/>
        <v>625.90179999999998</v>
      </c>
      <c r="P44" s="4">
        <f t="shared" si="14"/>
        <v>615.68619999999999</v>
      </c>
      <c r="Q44" s="4">
        <f t="shared" si="14"/>
        <v>605.47059999999999</v>
      </c>
      <c r="R44" s="4">
        <v>595.255</v>
      </c>
      <c r="S44" s="4">
        <f t="shared" si="15"/>
        <v>582.66200000000003</v>
      </c>
      <c r="T44" s="4">
        <f t="shared" si="15"/>
        <v>570.06899999999996</v>
      </c>
      <c r="U44" s="4">
        <f t="shared" si="15"/>
        <v>557.476</v>
      </c>
      <c r="V44" s="4">
        <f t="shared" si="15"/>
        <v>544.88299999999992</v>
      </c>
      <c r="W44" s="4">
        <v>532.29</v>
      </c>
      <c r="X44" s="4">
        <f t="shared" si="16"/>
        <v>553.63319999999999</v>
      </c>
      <c r="Y44" s="4">
        <f t="shared" si="16"/>
        <v>574.97640000000001</v>
      </c>
      <c r="Z44" s="4">
        <f t="shared" si="16"/>
        <v>596.31960000000004</v>
      </c>
      <c r="AA44" s="4">
        <f t="shared" si="16"/>
        <v>617.66279999999995</v>
      </c>
      <c r="AB44" s="4">
        <v>639.00599999999997</v>
      </c>
      <c r="AC44" s="4">
        <f t="shared" si="17"/>
        <v>655.33159999999998</v>
      </c>
      <c r="AD44" s="4">
        <f t="shared" si="17"/>
        <v>671.65719999999999</v>
      </c>
      <c r="AE44" s="4">
        <f t="shared" si="17"/>
        <v>687.9828</v>
      </c>
      <c r="AF44" s="4">
        <f t="shared" si="17"/>
        <v>704.30840000000001</v>
      </c>
      <c r="AG44" s="4">
        <v>720.63400000000001</v>
      </c>
      <c r="AH44" s="5">
        <f>SUM(Tableau2[[#This Row],[2022]:[2050]])</f>
        <v>16724.966</v>
      </c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</row>
    <row r="45" spans="1:99" x14ac:dyDescent="0.3">
      <c r="A45" s="2" t="s">
        <v>86</v>
      </c>
      <c r="B45" s="2"/>
      <c r="C45" s="3" t="s">
        <v>8</v>
      </c>
      <c r="D45" s="2" t="s">
        <v>74</v>
      </c>
      <c r="E45" s="4">
        <v>3.1968700000000001E-3</v>
      </c>
      <c r="F45" s="4">
        <f t="shared" si="12"/>
        <v>2.1079246666666669E-2</v>
      </c>
      <c r="G45" s="4">
        <f t="shared" si="12"/>
        <v>3.8961623333333334E-2</v>
      </c>
      <c r="H45" s="4">
        <v>5.6843999999999999E-2</v>
      </c>
      <c r="I45" s="4">
        <f t="shared" si="13"/>
        <v>7.4848999999999999E-2</v>
      </c>
      <c r="J45" s="4">
        <f t="shared" si="13"/>
        <v>9.2853999999999992E-2</v>
      </c>
      <c r="K45" s="4">
        <f t="shared" si="13"/>
        <v>0.110859</v>
      </c>
      <c r="L45" s="4">
        <f t="shared" si="13"/>
        <v>0.12886400000000001</v>
      </c>
      <c r="M45" s="4">
        <v>0.146869</v>
      </c>
      <c r="N45" s="4">
        <f t="shared" si="14"/>
        <v>0.1540088</v>
      </c>
      <c r="O45" s="4">
        <f t="shared" si="14"/>
        <v>0.1611486</v>
      </c>
      <c r="P45" s="4">
        <f t="shared" si="14"/>
        <v>0.1682884</v>
      </c>
      <c r="Q45" s="4">
        <f t="shared" si="14"/>
        <v>0.17542820000000001</v>
      </c>
      <c r="R45" s="4">
        <v>0.18256800000000001</v>
      </c>
      <c r="S45" s="4">
        <f t="shared" si="15"/>
        <v>0.18027899999999999</v>
      </c>
      <c r="T45" s="4">
        <f t="shared" si="15"/>
        <v>0.17799000000000001</v>
      </c>
      <c r="U45" s="4">
        <f t="shared" si="15"/>
        <v>0.175701</v>
      </c>
      <c r="V45" s="4">
        <f t="shared" si="15"/>
        <v>0.17341200000000001</v>
      </c>
      <c r="W45" s="4">
        <v>0.171123</v>
      </c>
      <c r="X45" s="4">
        <f t="shared" si="16"/>
        <v>0.1645924</v>
      </c>
      <c r="Y45" s="4">
        <f t="shared" si="16"/>
        <v>0.1580618</v>
      </c>
      <c r="Z45" s="4">
        <f t="shared" si="16"/>
        <v>0.1515312</v>
      </c>
      <c r="AA45" s="4">
        <f t="shared" si="16"/>
        <v>0.14500060000000001</v>
      </c>
      <c r="AB45" s="4">
        <v>0.13847000000000001</v>
      </c>
      <c r="AC45" s="4">
        <f t="shared" si="17"/>
        <v>0.15508720000000001</v>
      </c>
      <c r="AD45" s="4">
        <f t="shared" si="17"/>
        <v>0.17170440000000001</v>
      </c>
      <c r="AE45" s="4">
        <f t="shared" si="17"/>
        <v>0.18832160000000001</v>
      </c>
      <c r="AF45" s="4">
        <f t="shared" si="17"/>
        <v>0.2049388</v>
      </c>
      <c r="AG45" s="4">
        <v>0.221556</v>
      </c>
      <c r="AH45" s="4">
        <f>SUM(Tableau2[[#This Row],[2022]:[2050]])</f>
        <v>4.0935877400000003</v>
      </c>
    </row>
    <row r="46" spans="1:99" hidden="1" x14ac:dyDescent="0.3">
      <c r="A46" s="2" t="s">
        <v>77</v>
      </c>
      <c r="B46" s="2"/>
      <c r="C46" s="3" t="s">
        <v>8</v>
      </c>
      <c r="D46" s="2" t="s">
        <v>73</v>
      </c>
      <c r="E46" s="6">
        <v>393.79199999999997</v>
      </c>
      <c r="F46" s="6">
        <f t="shared" si="12"/>
        <v>443.01066666666662</v>
      </c>
      <c r="G46" s="6">
        <f t="shared" si="12"/>
        <v>492.22933333333333</v>
      </c>
      <c r="H46">
        <v>541.44799999999998</v>
      </c>
      <c r="I46" s="6">
        <f t="shared" si="13"/>
        <v>610.08600000000001</v>
      </c>
      <c r="J46" s="6">
        <f t="shared" si="13"/>
        <v>678.72399999999993</v>
      </c>
      <c r="K46" s="6">
        <f t="shared" si="13"/>
        <v>747.36199999999997</v>
      </c>
      <c r="L46" s="6">
        <f t="shared" si="13"/>
        <v>816</v>
      </c>
      <c r="M46">
        <v>884.63800000000003</v>
      </c>
      <c r="N46" s="6">
        <f t="shared" si="14"/>
        <v>904.44500000000005</v>
      </c>
      <c r="O46" s="6">
        <f t="shared" si="14"/>
        <v>924.25200000000007</v>
      </c>
      <c r="P46" s="6">
        <f t="shared" si="14"/>
        <v>944.05899999999997</v>
      </c>
      <c r="Q46" s="6">
        <f t="shared" si="14"/>
        <v>963.86599999999999</v>
      </c>
      <c r="R46">
        <v>983.673</v>
      </c>
      <c r="S46" s="6">
        <f t="shared" si="15"/>
        <v>984.86959999999999</v>
      </c>
      <c r="T46" s="6">
        <f t="shared" si="15"/>
        <v>986.06619999999998</v>
      </c>
      <c r="U46" s="6">
        <f t="shared" si="15"/>
        <v>987.26279999999997</v>
      </c>
      <c r="V46" s="6">
        <f t="shared" si="15"/>
        <v>988.45939999999996</v>
      </c>
      <c r="W46">
        <v>989.65599999999995</v>
      </c>
      <c r="X46" s="6">
        <f t="shared" si="16"/>
        <v>991.00599999999997</v>
      </c>
      <c r="Y46" s="6">
        <f t="shared" si="16"/>
        <v>992.35599999999999</v>
      </c>
      <c r="Z46" s="6">
        <f t="shared" si="16"/>
        <v>993.7059999999999</v>
      </c>
      <c r="AA46" s="6">
        <f t="shared" si="16"/>
        <v>995.05599999999993</v>
      </c>
      <c r="AB46">
        <v>996.40599999999995</v>
      </c>
      <c r="AC46" s="6">
        <f t="shared" si="17"/>
        <v>1018.6007999999999</v>
      </c>
      <c r="AD46" s="6">
        <f t="shared" si="17"/>
        <v>1040.7955999999999</v>
      </c>
      <c r="AE46" s="6">
        <f t="shared" si="17"/>
        <v>1062.9904000000001</v>
      </c>
      <c r="AF46" s="6">
        <f t="shared" si="17"/>
        <v>1085.1852000000001</v>
      </c>
      <c r="AG46">
        <v>1107.3800000000001</v>
      </c>
      <c r="AH46" s="5">
        <f>SUM(Tableau2[[#This Row],[2022]:[2050]])</f>
        <v>25547.381000000001</v>
      </c>
    </row>
    <row r="47" spans="1:99" x14ac:dyDescent="0.3">
      <c r="A47" s="2" t="s">
        <v>87</v>
      </c>
      <c r="B47" s="2" t="s">
        <v>87</v>
      </c>
      <c r="C47" s="3" t="s">
        <v>8</v>
      </c>
      <c r="D47" s="2" t="s">
        <v>72</v>
      </c>
      <c r="E47" s="6">
        <v>25501.86</v>
      </c>
      <c r="F47" s="6">
        <f t="shared" si="12"/>
        <v>25919.54</v>
      </c>
      <c r="G47" s="6">
        <f t="shared" si="12"/>
        <v>26337.22</v>
      </c>
      <c r="H47" s="6">
        <v>26754.9</v>
      </c>
      <c r="I47" s="6">
        <f t="shared" si="13"/>
        <v>27573.57</v>
      </c>
      <c r="J47" s="6">
        <f t="shared" si="13"/>
        <v>28392.240000000002</v>
      </c>
      <c r="K47" s="6">
        <f t="shared" si="13"/>
        <v>29210.91</v>
      </c>
      <c r="L47" s="6">
        <f t="shared" si="13"/>
        <v>30029.58</v>
      </c>
      <c r="M47" s="6">
        <v>30848.25</v>
      </c>
      <c r="N47" s="6">
        <f t="shared" si="14"/>
        <v>30986.311999999998</v>
      </c>
      <c r="O47" s="6">
        <f t="shared" si="14"/>
        <v>31124.374</v>
      </c>
      <c r="P47" s="6">
        <f t="shared" si="14"/>
        <v>31262.435999999998</v>
      </c>
      <c r="Q47" s="6">
        <f t="shared" si="14"/>
        <v>31400.498</v>
      </c>
      <c r="R47" s="6">
        <v>31538.559999999998</v>
      </c>
      <c r="S47" s="6">
        <f t="shared" si="15"/>
        <v>31863.563999999998</v>
      </c>
      <c r="T47" s="6">
        <f t="shared" si="15"/>
        <v>32188.567999999999</v>
      </c>
      <c r="U47" s="6">
        <f t="shared" si="15"/>
        <v>32513.572</v>
      </c>
      <c r="V47" s="6">
        <f t="shared" si="15"/>
        <v>32838.576000000001</v>
      </c>
      <c r="W47" s="6">
        <v>33163.58</v>
      </c>
      <c r="X47" s="6">
        <f t="shared" si="16"/>
        <v>33688.644</v>
      </c>
      <c r="Y47" s="6">
        <f t="shared" si="16"/>
        <v>34213.707999999999</v>
      </c>
      <c r="Z47" s="6">
        <f t="shared" si="16"/>
        <v>34738.772000000004</v>
      </c>
      <c r="AA47" s="6">
        <f t="shared" si="16"/>
        <v>35263.836000000003</v>
      </c>
      <c r="AB47" s="6">
        <v>35788.9</v>
      </c>
      <c r="AC47" s="6">
        <f t="shared" si="17"/>
        <v>35901.82</v>
      </c>
      <c r="AD47" s="6">
        <f t="shared" si="17"/>
        <v>36014.74</v>
      </c>
      <c r="AE47" s="6">
        <f t="shared" si="17"/>
        <v>36127.660000000003</v>
      </c>
      <c r="AF47" s="6">
        <f t="shared" si="17"/>
        <v>36240.58</v>
      </c>
      <c r="AG47" s="6">
        <v>36353.5</v>
      </c>
      <c r="AH47" s="5"/>
    </row>
    <row r="48" spans="1:99" hidden="1" x14ac:dyDescent="0.3">
      <c r="A48" s="2" t="s">
        <v>85</v>
      </c>
      <c r="B48" s="2" t="s">
        <v>78</v>
      </c>
      <c r="C48" s="3" t="s">
        <v>9</v>
      </c>
      <c r="D48" s="2" t="s">
        <v>73</v>
      </c>
      <c r="E48" s="6">
        <v>0.41256700000000002</v>
      </c>
      <c r="F48" s="6">
        <f t="shared" si="12"/>
        <v>0.56162400000000001</v>
      </c>
      <c r="G48" s="6">
        <f t="shared" si="12"/>
        <v>0.71068100000000001</v>
      </c>
      <c r="H48">
        <v>0.859738</v>
      </c>
      <c r="I48" s="6">
        <f t="shared" si="13"/>
        <v>1.0363344000000001</v>
      </c>
      <c r="J48" s="6">
        <f t="shared" si="13"/>
        <v>1.2129308000000001</v>
      </c>
      <c r="K48" s="6">
        <f t="shared" si="13"/>
        <v>1.3895272000000001</v>
      </c>
      <c r="L48" s="6">
        <f t="shared" si="13"/>
        <v>1.5661236000000001</v>
      </c>
      <c r="M48">
        <v>1.74272</v>
      </c>
      <c r="N48" s="6">
        <f t="shared" si="14"/>
        <v>1.9865760000000001</v>
      </c>
      <c r="O48" s="6">
        <f t="shared" si="14"/>
        <v>2.230432</v>
      </c>
      <c r="P48" s="6">
        <f t="shared" si="14"/>
        <v>2.474288</v>
      </c>
      <c r="Q48" s="6">
        <f t="shared" si="14"/>
        <v>2.7181440000000001</v>
      </c>
      <c r="R48">
        <v>2.9620000000000002</v>
      </c>
      <c r="S48" s="6">
        <f t="shared" si="15"/>
        <v>3.1426940000000001</v>
      </c>
      <c r="T48" s="6">
        <f t="shared" si="15"/>
        <v>3.323388</v>
      </c>
      <c r="U48" s="6">
        <f t="shared" si="15"/>
        <v>3.5040820000000004</v>
      </c>
      <c r="V48" s="6">
        <f t="shared" si="15"/>
        <v>3.6847760000000003</v>
      </c>
      <c r="W48">
        <v>3.8654700000000002</v>
      </c>
      <c r="X48" s="6">
        <f t="shared" si="16"/>
        <v>3.9610160000000003</v>
      </c>
      <c r="Y48" s="6">
        <f t="shared" si="16"/>
        <v>4.0565620000000004</v>
      </c>
      <c r="Z48" s="6">
        <f t="shared" si="16"/>
        <v>4.1521080000000001</v>
      </c>
      <c r="AA48" s="6">
        <f t="shared" si="16"/>
        <v>4.2476540000000007</v>
      </c>
      <c r="AB48">
        <v>4.3432000000000004</v>
      </c>
      <c r="AC48" s="6">
        <f t="shared" si="17"/>
        <v>4.4319820000000005</v>
      </c>
      <c r="AD48" s="6">
        <f t="shared" si="17"/>
        <v>4.5207640000000007</v>
      </c>
      <c r="AE48" s="6">
        <f t="shared" si="17"/>
        <v>4.6095459999999999</v>
      </c>
      <c r="AF48" s="6">
        <f t="shared" si="17"/>
        <v>4.6983280000000001</v>
      </c>
      <c r="AG48">
        <v>4.7871100000000002</v>
      </c>
      <c r="AH48" s="5">
        <f>SUM(Tableau2[[#This Row],[2022]:[2050]])</f>
        <v>83.192365999999993</v>
      </c>
    </row>
    <row r="49" spans="1:34" x14ac:dyDescent="0.3">
      <c r="A49" s="2" t="s">
        <v>85</v>
      </c>
      <c r="B49" s="2" t="s">
        <v>78</v>
      </c>
      <c r="C49" s="3" t="s">
        <v>9</v>
      </c>
      <c r="D49" s="2" t="s">
        <v>72</v>
      </c>
      <c r="E49" s="4">
        <v>0.41256700000000002</v>
      </c>
      <c r="F49" s="4">
        <f t="shared" si="12"/>
        <v>0.5222</v>
      </c>
      <c r="G49" s="4">
        <f t="shared" si="12"/>
        <v>0.63183299999999998</v>
      </c>
      <c r="H49" s="4">
        <v>0.74146599999999996</v>
      </c>
      <c r="I49" s="4">
        <f t="shared" si="13"/>
        <v>0.83444879999999999</v>
      </c>
      <c r="J49" s="4">
        <f t="shared" si="13"/>
        <v>0.92743160000000002</v>
      </c>
      <c r="K49" s="4">
        <f t="shared" si="13"/>
        <v>1.0204143999999999</v>
      </c>
      <c r="L49" s="4">
        <f t="shared" si="13"/>
        <v>1.1133972000000001</v>
      </c>
      <c r="M49" s="4">
        <v>1.20638</v>
      </c>
      <c r="N49" s="4">
        <f t="shared" si="14"/>
        <v>1.260678</v>
      </c>
      <c r="O49" s="4">
        <f t="shared" si="14"/>
        <v>1.3149759999999999</v>
      </c>
      <c r="P49" s="4">
        <f t="shared" si="14"/>
        <v>1.3692739999999999</v>
      </c>
      <c r="Q49" s="4">
        <f t="shared" si="14"/>
        <v>1.4235720000000001</v>
      </c>
      <c r="R49" s="4">
        <v>1.47787</v>
      </c>
      <c r="S49" s="4">
        <f t="shared" si="15"/>
        <v>1.5502640000000001</v>
      </c>
      <c r="T49" s="4">
        <f t="shared" si="15"/>
        <v>1.6226579999999999</v>
      </c>
      <c r="U49" s="4">
        <f t="shared" si="15"/>
        <v>1.695052</v>
      </c>
      <c r="V49" s="4">
        <f t="shared" si="15"/>
        <v>1.7674460000000001</v>
      </c>
      <c r="W49" s="4">
        <v>1.8398399999999999</v>
      </c>
      <c r="X49" s="4">
        <f t="shared" si="16"/>
        <v>1.89744</v>
      </c>
      <c r="Y49" s="4">
        <f t="shared" si="16"/>
        <v>1.9550399999999999</v>
      </c>
      <c r="Z49" s="4">
        <f t="shared" si="16"/>
        <v>2.0126399999999998</v>
      </c>
      <c r="AA49" s="4">
        <f t="shared" si="16"/>
        <v>2.0702400000000001</v>
      </c>
      <c r="AB49" s="4">
        <v>2.12784</v>
      </c>
      <c r="AC49" s="4">
        <f t="shared" si="17"/>
        <v>2.1492420000000001</v>
      </c>
      <c r="AD49" s="4">
        <f t="shared" si="17"/>
        <v>2.1706439999999998</v>
      </c>
      <c r="AE49" s="4">
        <f t="shared" si="17"/>
        <v>2.1920459999999999</v>
      </c>
      <c r="AF49" s="4">
        <f t="shared" si="17"/>
        <v>2.2134479999999996</v>
      </c>
      <c r="AG49" s="4">
        <v>2.2348499999999998</v>
      </c>
      <c r="AH49" s="5">
        <f>SUM(Tableau2[[#This Row],[2022]:[2050]])</f>
        <v>43.755198</v>
      </c>
    </row>
    <row r="50" spans="1:34" x14ac:dyDescent="0.3">
      <c r="A50" s="2" t="s">
        <v>77</v>
      </c>
      <c r="B50" s="2" t="s">
        <v>78</v>
      </c>
      <c r="C50" s="3" t="s">
        <v>9</v>
      </c>
      <c r="D50" s="2" t="s">
        <v>74</v>
      </c>
      <c r="E50" s="4">
        <v>0.62806300000000004</v>
      </c>
      <c r="F50" s="4">
        <f t="shared" si="12"/>
        <v>0.78701200000000004</v>
      </c>
      <c r="G50" s="4">
        <f t="shared" si="12"/>
        <v>0.94596100000000005</v>
      </c>
      <c r="H50" s="4">
        <v>1.1049100000000001</v>
      </c>
      <c r="I50" s="4">
        <f t="shared" si="13"/>
        <v>1.40107</v>
      </c>
      <c r="J50" s="4">
        <f t="shared" si="13"/>
        <v>1.6972300000000002</v>
      </c>
      <c r="K50" s="4">
        <f t="shared" si="13"/>
        <v>1.9933900000000002</v>
      </c>
      <c r="L50" s="4">
        <f t="shared" si="13"/>
        <v>2.2895500000000002</v>
      </c>
      <c r="M50" s="4">
        <v>2.5857100000000002</v>
      </c>
      <c r="N50" s="4">
        <f t="shared" si="14"/>
        <v>2.5585360000000001</v>
      </c>
      <c r="O50" s="4">
        <f t="shared" si="14"/>
        <v>2.5313620000000001</v>
      </c>
      <c r="P50" s="4">
        <f t="shared" si="14"/>
        <v>2.5041880000000001</v>
      </c>
      <c r="Q50" s="4">
        <f t="shared" si="14"/>
        <v>2.477014</v>
      </c>
      <c r="R50" s="4">
        <v>2.44984</v>
      </c>
      <c r="S50" s="4">
        <f t="shared" si="15"/>
        <v>2.3852500000000001</v>
      </c>
      <c r="T50" s="4">
        <f t="shared" si="15"/>
        <v>2.3206600000000002</v>
      </c>
      <c r="U50" s="4">
        <f t="shared" si="15"/>
        <v>2.2560699999999998</v>
      </c>
      <c r="V50" s="4">
        <f t="shared" si="15"/>
        <v>2.1914799999999999</v>
      </c>
      <c r="W50" s="4">
        <v>2.1268899999999999</v>
      </c>
      <c r="X50" s="4">
        <f t="shared" si="16"/>
        <v>1.982156</v>
      </c>
      <c r="Y50" s="4">
        <f t="shared" si="16"/>
        <v>1.8374219999999999</v>
      </c>
      <c r="Z50" s="4">
        <f t="shared" si="16"/>
        <v>1.692688</v>
      </c>
      <c r="AA50" s="4">
        <f t="shared" si="16"/>
        <v>1.5479539999999998</v>
      </c>
      <c r="AB50" s="4">
        <v>1.4032199999999999</v>
      </c>
      <c r="AC50" s="4">
        <f t="shared" si="17"/>
        <v>1.5368739999999999</v>
      </c>
      <c r="AD50" s="4">
        <f t="shared" si="17"/>
        <v>1.670528</v>
      </c>
      <c r="AE50" s="4">
        <f t="shared" si="17"/>
        <v>1.804182</v>
      </c>
      <c r="AF50" s="4">
        <f t="shared" si="17"/>
        <v>1.9378359999999999</v>
      </c>
      <c r="AG50" s="4">
        <v>2.0714899999999998</v>
      </c>
      <c r="AH50" s="4">
        <f>SUM(Tableau2[[#This Row],[2022]:[2050]])</f>
        <v>54.718535999999979</v>
      </c>
    </row>
    <row r="51" spans="1:34" x14ac:dyDescent="0.3">
      <c r="A51" s="2" t="s">
        <v>77</v>
      </c>
      <c r="B51" s="2" t="s">
        <v>78</v>
      </c>
      <c r="C51" s="3" t="s">
        <v>9</v>
      </c>
      <c r="D51" s="2" t="s">
        <v>72</v>
      </c>
      <c r="E51" s="4">
        <v>0.62806300000000004</v>
      </c>
      <c r="F51" s="4">
        <f t="shared" si="12"/>
        <v>0.64430866666666664</v>
      </c>
      <c r="G51" s="4">
        <f t="shared" si="12"/>
        <v>0.66055433333333335</v>
      </c>
      <c r="H51" s="4">
        <v>0.67679999999999996</v>
      </c>
      <c r="I51" s="4">
        <f t="shared" si="13"/>
        <v>0.75383199999999995</v>
      </c>
      <c r="J51" s="4">
        <f t="shared" si="13"/>
        <v>0.83086400000000005</v>
      </c>
      <c r="K51" s="4">
        <f t="shared" si="13"/>
        <v>0.90789600000000004</v>
      </c>
      <c r="L51" s="4">
        <f t="shared" si="13"/>
        <v>0.98492800000000003</v>
      </c>
      <c r="M51" s="4">
        <v>1.06196</v>
      </c>
      <c r="N51" s="4">
        <f t="shared" si="14"/>
        <v>1.0418647999999999</v>
      </c>
      <c r="O51" s="4">
        <f t="shared" si="14"/>
        <v>1.0217696000000001</v>
      </c>
      <c r="P51" s="4">
        <f t="shared" si="14"/>
        <v>1.0016744</v>
      </c>
      <c r="Q51" s="4">
        <f t="shared" si="14"/>
        <v>0.98157919999999999</v>
      </c>
      <c r="R51" s="4">
        <v>0.96148400000000001</v>
      </c>
      <c r="S51" s="4">
        <f t="shared" si="15"/>
        <v>0.93937060000000006</v>
      </c>
      <c r="T51" s="4">
        <f t="shared" si="15"/>
        <v>0.91725719999999999</v>
      </c>
      <c r="U51" s="4">
        <f t="shared" si="15"/>
        <v>0.89514380000000005</v>
      </c>
      <c r="V51" s="4">
        <f t="shared" si="15"/>
        <v>0.87303039999999998</v>
      </c>
      <c r="W51" s="4">
        <v>0.85091700000000003</v>
      </c>
      <c r="X51" s="4">
        <f t="shared" si="16"/>
        <v>0.88737759999999999</v>
      </c>
      <c r="Y51" s="4">
        <f t="shared" si="16"/>
        <v>0.92383820000000005</v>
      </c>
      <c r="Z51" s="4">
        <f t="shared" si="16"/>
        <v>0.96029880000000001</v>
      </c>
      <c r="AA51" s="4">
        <f t="shared" si="16"/>
        <v>0.99675939999999996</v>
      </c>
      <c r="AB51" s="4">
        <v>1.03322</v>
      </c>
      <c r="AC51" s="4">
        <f t="shared" si="17"/>
        <v>1.0636760000000001</v>
      </c>
      <c r="AD51" s="4">
        <f t="shared" si="17"/>
        <v>1.0941320000000001</v>
      </c>
      <c r="AE51" s="4">
        <f t="shared" si="17"/>
        <v>1.1245879999999999</v>
      </c>
      <c r="AF51" s="4">
        <f t="shared" si="17"/>
        <v>1.155044</v>
      </c>
      <c r="AG51" s="4">
        <v>1.1855</v>
      </c>
      <c r="AH51" s="5">
        <f>SUM(Tableau2[[#This Row],[2022]:[2050]])</f>
        <v>27.057731</v>
      </c>
    </row>
    <row r="52" spans="1:34" x14ac:dyDescent="0.3">
      <c r="A52" s="2" t="s">
        <v>85</v>
      </c>
      <c r="B52" s="2" t="s">
        <v>78</v>
      </c>
      <c r="C52" s="3" t="s">
        <v>9</v>
      </c>
      <c r="D52" s="2" t="s">
        <v>74</v>
      </c>
      <c r="E52" s="4">
        <v>0.41256700000000002</v>
      </c>
      <c r="F52" s="4">
        <f t="shared" si="12"/>
        <v>0.7185246666666667</v>
      </c>
      <c r="G52" s="4">
        <f t="shared" si="12"/>
        <v>1.0244823333333333</v>
      </c>
      <c r="H52" s="4">
        <v>1.3304400000000001</v>
      </c>
      <c r="I52" s="4">
        <f t="shared" si="13"/>
        <v>1.586646</v>
      </c>
      <c r="J52" s="4">
        <f t="shared" si="13"/>
        <v>1.8428520000000002</v>
      </c>
      <c r="K52" s="4">
        <f t="shared" si="13"/>
        <v>2.0990580000000003</v>
      </c>
      <c r="L52" s="4">
        <f t="shared" si="13"/>
        <v>2.355264</v>
      </c>
      <c r="M52" s="4">
        <v>2.6114700000000002</v>
      </c>
      <c r="N52" s="4">
        <f t="shared" si="14"/>
        <v>2.7793680000000003</v>
      </c>
      <c r="O52" s="4">
        <f t="shared" si="14"/>
        <v>2.9472659999999999</v>
      </c>
      <c r="P52" s="4">
        <f t="shared" si="14"/>
        <v>3.115164</v>
      </c>
      <c r="Q52" s="4">
        <f t="shared" si="14"/>
        <v>3.2830620000000001</v>
      </c>
      <c r="R52" s="4">
        <v>3.4509599999999998</v>
      </c>
      <c r="S52" s="4">
        <f t="shared" si="15"/>
        <v>3.4308879999999999</v>
      </c>
      <c r="T52" s="4">
        <f t="shared" si="15"/>
        <v>3.4108160000000001</v>
      </c>
      <c r="U52" s="4">
        <f t="shared" si="15"/>
        <v>3.3907439999999998</v>
      </c>
      <c r="V52" s="4">
        <f t="shared" si="15"/>
        <v>3.3706719999999999</v>
      </c>
      <c r="W52" s="4">
        <v>3.3506</v>
      </c>
      <c r="X52" s="4">
        <f t="shared" si="16"/>
        <v>3.4054320000000002</v>
      </c>
      <c r="Y52" s="4">
        <f t="shared" si="16"/>
        <v>3.460264</v>
      </c>
      <c r="Z52" s="4">
        <f t="shared" si="16"/>
        <v>3.5150960000000002</v>
      </c>
      <c r="AA52" s="4">
        <f t="shared" si="16"/>
        <v>3.569928</v>
      </c>
      <c r="AB52" s="4">
        <v>3.6247600000000002</v>
      </c>
      <c r="AC52" s="4">
        <f t="shared" si="17"/>
        <v>3.6412600000000004</v>
      </c>
      <c r="AD52" s="4">
        <f t="shared" si="17"/>
        <v>3.6577600000000001</v>
      </c>
      <c r="AE52" s="4">
        <f t="shared" si="17"/>
        <v>3.6742600000000003</v>
      </c>
      <c r="AF52" s="4">
        <f t="shared" si="17"/>
        <v>3.69076</v>
      </c>
      <c r="AG52" s="4">
        <v>3.7072600000000002</v>
      </c>
      <c r="AH52" s="4">
        <f>SUM(Tableau2[[#This Row],[2022]:[2050]])</f>
        <v>82.457623999999996</v>
      </c>
    </row>
    <row r="53" spans="1:34" hidden="1" x14ac:dyDescent="0.3">
      <c r="A53" s="2" t="s">
        <v>77</v>
      </c>
      <c r="B53" s="2" t="s">
        <v>78</v>
      </c>
      <c r="C53" s="3" t="s">
        <v>9</v>
      </c>
      <c r="D53" s="2" t="s">
        <v>73</v>
      </c>
      <c r="E53" s="6">
        <v>0.62806300000000004</v>
      </c>
      <c r="F53" s="6">
        <f t="shared" si="12"/>
        <v>0.70570300000000008</v>
      </c>
      <c r="G53" s="6">
        <f t="shared" si="12"/>
        <v>0.78334300000000001</v>
      </c>
      <c r="H53">
        <v>0.86098300000000005</v>
      </c>
      <c r="I53" s="6">
        <f t="shared" si="13"/>
        <v>0.97338840000000004</v>
      </c>
      <c r="J53" s="6">
        <f t="shared" si="13"/>
        <v>1.0857938</v>
      </c>
      <c r="K53" s="6">
        <f t="shared" si="13"/>
        <v>1.1981992000000001</v>
      </c>
      <c r="L53" s="6">
        <f t="shared" si="13"/>
        <v>1.3106046</v>
      </c>
      <c r="M53">
        <v>1.4230100000000001</v>
      </c>
      <c r="N53" s="6">
        <f t="shared" si="14"/>
        <v>1.4548000000000001</v>
      </c>
      <c r="O53" s="6">
        <f t="shared" si="14"/>
        <v>1.4865900000000001</v>
      </c>
      <c r="P53" s="6">
        <f t="shared" si="14"/>
        <v>1.5183800000000001</v>
      </c>
      <c r="Q53" s="6">
        <f t="shared" si="14"/>
        <v>1.55017</v>
      </c>
      <c r="R53">
        <v>1.58196</v>
      </c>
      <c r="S53" s="6">
        <f t="shared" si="15"/>
        <v>1.5817920000000001</v>
      </c>
      <c r="T53" s="6">
        <f t="shared" si="15"/>
        <v>1.5816240000000001</v>
      </c>
      <c r="U53" s="6">
        <f t="shared" si="15"/>
        <v>1.581456</v>
      </c>
      <c r="V53" s="6">
        <f t="shared" si="15"/>
        <v>1.581288</v>
      </c>
      <c r="W53">
        <v>1.5811200000000001</v>
      </c>
      <c r="X53" s="6">
        <f t="shared" si="16"/>
        <v>1.587294</v>
      </c>
      <c r="Y53" s="6">
        <f t="shared" si="16"/>
        <v>1.5934680000000001</v>
      </c>
      <c r="Z53" s="6">
        <f t="shared" si="16"/>
        <v>1.599642</v>
      </c>
      <c r="AA53" s="6">
        <f t="shared" si="16"/>
        <v>1.6058160000000001</v>
      </c>
      <c r="AB53">
        <v>1.61199</v>
      </c>
      <c r="AC53" s="6">
        <f t="shared" si="17"/>
        <v>1.6491800000000001</v>
      </c>
      <c r="AD53" s="6">
        <f t="shared" si="17"/>
        <v>1.6863700000000001</v>
      </c>
      <c r="AE53" s="6">
        <f t="shared" si="17"/>
        <v>1.72356</v>
      </c>
      <c r="AF53" s="6">
        <f t="shared" si="17"/>
        <v>1.76075</v>
      </c>
      <c r="AG53">
        <v>1.7979400000000001</v>
      </c>
      <c r="AH53" s="5">
        <f>SUM(Tableau2[[#This Row],[2022]:[2050]])</f>
        <v>41.084278000000005</v>
      </c>
    </row>
    <row r="54" spans="1:34" x14ac:dyDescent="0.3">
      <c r="A54" s="2" t="s">
        <v>75</v>
      </c>
      <c r="B54" s="2" t="s">
        <v>88</v>
      </c>
      <c r="C54" s="3" t="s">
        <v>10</v>
      </c>
      <c r="D54" s="2" t="s">
        <v>72</v>
      </c>
      <c r="E54" s="4">
        <v>8.6854800000000006E-3</v>
      </c>
      <c r="F54" s="4">
        <f t="shared" si="12"/>
        <v>9.2445866666666671E-3</v>
      </c>
      <c r="G54" s="4">
        <f t="shared" si="12"/>
        <v>9.8036933333333336E-3</v>
      </c>
      <c r="H54" s="4">
        <v>1.03628E-2</v>
      </c>
      <c r="I54" s="4">
        <f t="shared" si="13"/>
        <v>2.581932E-2</v>
      </c>
      <c r="J54" s="4">
        <f t="shared" si="13"/>
        <v>4.1275839999999994E-2</v>
      </c>
      <c r="K54" s="4">
        <f t="shared" si="13"/>
        <v>5.6732359999999989E-2</v>
      </c>
      <c r="L54" s="4">
        <f t="shared" si="13"/>
        <v>7.2188879999999997E-2</v>
      </c>
      <c r="M54" s="4">
        <v>8.7645399999999998E-2</v>
      </c>
      <c r="N54" s="4">
        <f t="shared" si="14"/>
        <v>0.15900832000000001</v>
      </c>
      <c r="O54" s="4">
        <f t="shared" si="14"/>
        <v>0.23037124000000003</v>
      </c>
      <c r="P54" s="4">
        <f t="shared" si="14"/>
        <v>0.30173416000000003</v>
      </c>
      <c r="Q54" s="4">
        <f t="shared" si="14"/>
        <v>0.37309708000000003</v>
      </c>
      <c r="R54" s="4">
        <v>0.44446000000000002</v>
      </c>
      <c r="S54" s="4">
        <f t="shared" si="15"/>
        <v>0.86715600000000004</v>
      </c>
      <c r="T54" s="4">
        <f t="shared" si="15"/>
        <v>1.289852</v>
      </c>
      <c r="U54" s="4">
        <f t="shared" si="15"/>
        <v>1.7125480000000002</v>
      </c>
      <c r="V54" s="4">
        <f t="shared" si="15"/>
        <v>2.1352440000000001</v>
      </c>
      <c r="W54" s="4">
        <v>2.5579399999999999</v>
      </c>
      <c r="X54" s="4">
        <f t="shared" si="16"/>
        <v>2.6379799999999998</v>
      </c>
      <c r="Y54" s="4">
        <f t="shared" si="16"/>
        <v>2.7180200000000001</v>
      </c>
      <c r="Z54" s="4">
        <f t="shared" si="16"/>
        <v>2.79806</v>
      </c>
      <c r="AA54" s="4">
        <f t="shared" si="16"/>
        <v>2.8781000000000003</v>
      </c>
      <c r="AB54" s="4">
        <v>2.9581400000000002</v>
      </c>
      <c r="AC54" s="4">
        <f t="shared" si="17"/>
        <v>3.0349300000000001</v>
      </c>
      <c r="AD54" s="4">
        <f t="shared" si="17"/>
        <v>3.11172</v>
      </c>
      <c r="AE54" s="4">
        <f t="shared" si="17"/>
        <v>3.18851</v>
      </c>
      <c r="AF54" s="4">
        <f t="shared" si="17"/>
        <v>3.2652999999999999</v>
      </c>
      <c r="AG54" s="4">
        <v>3.3420899999999998</v>
      </c>
      <c r="AH54" s="5">
        <f>SUM(Tableau2[[#This Row],[2022]:[2050]])</f>
        <v>40.326019160000001</v>
      </c>
    </row>
    <row r="55" spans="1:34" hidden="1" x14ac:dyDescent="0.3">
      <c r="A55" s="2" t="s">
        <v>75</v>
      </c>
      <c r="B55" s="2" t="s">
        <v>88</v>
      </c>
      <c r="C55" s="3" t="s">
        <v>10</v>
      </c>
      <c r="D55" s="2" t="s">
        <v>73</v>
      </c>
      <c r="E55" s="6">
        <v>8.6854800000000006E-3</v>
      </c>
      <c r="F55" s="6">
        <f t="shared" si="12"/>
        <v>9.8329533333333333E-3</v>
      </c>
      <c r="G55" s="6">
        <f t="shared" si="12"/>
        <v>1.0980426666666668E-2</v>
      </c>
      <c r="H55" s="6">
        <v>1.21279E-2</v>
      </c>
      <c r="I55" s="6">
        <f t="shared" si="13"/>
        <v>3.2849520000000007E-2</v>
      </c>
      <c r="J55" s="6">
        <f t="shared" si="13"/>
        <v>5.3571140000000003E-2</v>
      </c>
      <c r="K55" s="6">
        <f t="shared" si="13"/>
        <v>7.4292760000000013E-2</v>
      </c>
      <c r="L55" s="6">
        <f t="shared" si="13"/>
        <v>9.5014380000000009E-2</v>
      </c>
      <c r="M55" s="6">
        <v>0.11573600000000001</v>
      </c>
      <c r="N55" s="6">
        <f t="shared" si="14"/>
        <v>0.22947459999999997</v>
      </c>
      <c r="O55" s="6">
        <f t="shared" si="14"/>
        <v>0.3432132</v>
      </c>
      <c r="P55" s="6">
        <f t="shared" si="14"/>
        <v>0.45695179999999996</v>
      </c>
      <c r="Q55" s="6">
        <f t="shared" si="14"/>
        <v>0.57069039999999993</v>
      </c>
      <c r="R55" s="6">
        <v>0.68442899999999995</v>
      </c>
      <c r="S55" s="6">
        <f t="shared" si="15"/>
        <v>1.3259512</v>
      </c>
      <c r="T55" s="6">
        <f t="shared" si="15"/>
        <v>1.9674734</v>
      </c>
      <c r="U55" s="6">
        <f t="shared" si="15"/>
        <v>2.6089956000000001</v>
      </c>
      <c r="V55" s="6">
        <f t="shared" si="15"/>
        <v>3.2505177999999999</v>
      </c>
      <c r="W55" s="6">
        <v>3.8920400000000002</v>
      </c>
      <c r="X55" s="6">
        <f t="shared" si="16"/>
        <v>4.0265659999999999</v>
      </c>
      <c r="Y55" s="6">
        <f t="shared" si="16"/>
        <v>4.161092</v>
      </c>
      <c r="Z55" s="6">
        <f t="shared" si="16"/>
        <v>4.2956180000000002</v>
      </c>
      <c r="AA55" s="6">
        <f t="shared" si="16"/>
        <v>4.4301439999999994</v>
      </c>
      <c r="AB55" s="6">
        <v>4.5646699999999996</v>
      </c>
      <c r="AC55" s="6">
        <f t="shared" si="17"/>
        <v>4.6775419999999999</v>
      </c>
      <c r="AD55" s="6">
        <f t="shared" si="17"/>
        <v>4.7904140000000002</v>
      </c>
      <c r="AE55" s="6">
        <f t="shared" si="17"/>
        <v>4.9032859999999996</v>
      </c>
      <c r="AF55" s="6">
        <f t="shared" si="17"/>
        <v>5.0161579999999999</v>
      </c>
      <c r="AG55" s="6">
        <v>5.1290300000000002</v>
      </c>
      <c r="AH55" s="5">
        <f>SUM(Tableau2[[#This Row],[2022]:[2050]])</f>
        <v>61.737347560000003</v>
      </c>
    </row>
    <row r="56" spans="1:34" x14ac:dyDescent="0.3">
      <c r="A56" s="2" t="s">
        <v>75</v>
      </c>
      <c r="B56" s="2" t="s">
        <v>88</v>
      </c>
      <c r="C56" s="3" t="s">
        <v>10</v>
      </c>
      <c r="D56" s="2" t="s">
        <v>74</v>
      </c>
      <c r="E56" s="4">
        <v>8.6854800000000006E-3</v>
      </c>
      <c r="F56" s="4">
        <f t="shared" si="12"/>
        <v>1.1267353333333334E-2</v>
      </c>
      <c r="G56" s="4">
        <f t="shared" si="12"/>
        <v>1.3849226666666667E-2</v>
      </c>
      <c r="H56" s="4">
        <v>1.6431100000000001E-2</v>
      </c>
      <c r="I56" s="4">
        <f t="shared" si="13"/>
        <v>5.2555480000000002E-2</v>
      </c>
      <c r="J56" s="4">
        <f t="shared" si="13"/>
        <v>8.8679859999999999E-2</v>
      </c>
      <c r="K56" s="4">
        <f t="shared" si="13"/>
        <v>0.12480424</v>
      </c>
      <c r="L56" s="4">
        <f t="shared" si="13"/>
        <v>0.16092861999999999</v>
      </c>
      <c r="M56" s="4">
        <v>0.19705300000000001</v>
      </c>
      <c r="N56" s="4">
        <f t="shared" si="14"/>
        <v>0.36213240000000002</v>
      </c>
      <c r="O56" s="4">
        <f t="shared" si="14"/>
        <v>0.52721180000000001</v>
      </c>
      <c r="P56" s="4">
        <f t="shared" si="14"/>
        <v>0.69229120000000011</v>
      </c>
      <c r="Q56" s="4">
        <f t="shared" si="14"/>
        <v>0.85737060000000009</v>
      </c>
      <c r="R56" s="4">
        <v>1.0224500000000001</v>
      </c>
      <c r="S56" s="4">
        <f t="shared" si="15"/>
        <v>1.9242060000000001</v>
      </c>
      <c r="T56" s="4">
        <f t="shared" si="15"/>
        <v>2.8259620000000001</v>
      </c>
      <c r="U56" s="4">
        <f t="shared" si="15"/>
        <v>3.7277180000000003</v>
      </c>
      <c r="V56" s="4">
        <f t="shared" si="15"/>
        <v>4.6294740000000001</v>
      </c>
      <c r="W56" s="4">
        <v>5.5312299999999999</v>
      </c>
      <c r="X56" s="4">
        <f t="shared" si="16"/>
        <v>5.3227019999999996</v>
      </c>
      <c r="Y56" s="4">
        <f t="shared" si="16"/>
        <v>5.1141740000000002</v>
      </c>
      <c r="Z56" s="4">
        <f t="shared" si="16"/>
        <v>4.905646</v>
      </c>
      <c r="AA56" s="4">
        <f t="shared" si="16"/>
        <v>4.6971180000000006</v>
      </c>
      <c r="AB56" s="4">
        <v>4.4885900000000003</v>
      </c>
      <c r="AC56" s="4">
        <f t="shared" si="17"/>
        <v>4.593998</v>
      </c>
      <c r="AD56" s="4">
        <f t="shared" si="17"/>
        <v>4.6994059999999998</v>
      </c>
      <c r="AE56" s="4">
        <f t="shared" si="17"/>
        <v>4.8048140000000004</v>
      </c>
      <c r="AF56" s="4">
        <f t="shared" si="17"/>
        <v>4.9102220000000001</v>
      </c>
      <c r="AG56" s="4">
        <v>5.0156299999999998</v>
      </c>
      <c r="AH56" s="8">
        <f>SUM(Tableau2[[#This Row],[2022]:[2050]])</f>
        <v>71.32660036</v>
      </c>
    </row>
    <row r="57" spans="1:34" x14ac:dyDescent="0.3">
      <c r="A57" s="2" t="s">
        <v>75</v>
      </c>
      <c r="B57" s="2" t="s">
        <v>89</v>
      </c>
      <c r="C57" s="3" t="s">
        <v>12</v>
      </c>
      <c r="D57" s="2" t="s">
        <v>72</v>
      </c>
      <c r="E57" s="4">
        <v>9.6983599999999996E-3</v>
      </c>
      <c r="F57" s="4">
        <f t="shared" si="12"/>
        <v>9.5777366666666662E-3</v>
      </c>
      <c r="G57" s="4">
        <f t="shared" si="12"/>
        <v>9.4571133333333328E-3</v>
      </c>
      <c r="H57" s="4">
        <v>9.3364899999999994E-3</v>
      </c>
      <c r="I57" s="4">
        <f t="shared" si="13"/>
        <v>8.9794579999999992E-3</v>
      </c>
      <c r="J57" s="4">
        <f t="shared" si="13"/>
        <v>8.622425999999999E-3</v>
      </c>
      <c r="K57" s="4">
        <f t="shared" si="13"/>
        <v>8.2653939999999988E-3</v>
      </c>
      <c r="L57" s="4">
        <f t="shared" si="13"/>
        <v>7.9083620000000004E-3</v>
      </c>
      <c r="M57" s="4">
        <v>7.5513300000000002E-3</v>
      </c>
      <c r="N57" s="4">
        <f t="shared" si="14"/>
        <v>7.4323499999999999E-3</v>
      </c>
      <c r="O57" s="4">
        <f t="shared" si="14"/>
        <v>7.3133700000000005E-3</v>
      </c>
      <c r="P57" s="4">
        <f t="shared" si="14"/>
        <v>7.1943900000000002E-3</v>
      </c>
      <c r="Q57" s="4">
        <f t="shared" si="14"/>
        <v>7.0754100000000007E-3</v>
      </c>
      <c r="R57" s="4">
        <v>6.9564300000000004E-3</v>
      </c>
      <c r="S57" s="4">
        <f t="shared" si="15"/>
        <v>6.8728940000000001E-3</v>
      </c>
      <c r="T57" s="4">
        <f t="shared" si="15"/>
        <v>6.7893580000000005E-3</v>
      </c>
      <c r="U57" s="4">
        <f t="shared" si="15"/>
        <v>6.7058220000000002E-3</v>
      </c>
      <c r="V57" s="4">
        <f t="shared" si="15"/>
        <v>6.6222860000000007E-3</v>
      </c>
      <c r="W57" s="4">
        <v>6.5387500000000003E-3</v>
      </c>
      <c r="X57" s="4">
        <f t="shared" si="16"/>
        <v>6.7580840000000001E-3</v>
      </c>
      <c r="Y57" s="4">
        <f t="shared" si="16"/>
        <v>6.977418E-3</v>
      </c>
      <c r="Z57" s="4">
        <f t="shared" si="16"/>
        <v>7.1967520000000007E-3</v>
      </c>
      <c r="AA57" s="4">
        <f t="shared" si="16"/>
        <v>7.4160860000000006E-3</v>
      </c>
      <c r="AB57" s="4">
        <v>7.6354200000000004E-3</v>
      </c>
      <c r="AC57" s="4">
        <f t="shared" si="17"/>
        <v>7.8511700000000011E-3</v>
      </c>
      <c r="AD57" s="4">
        <f t="shared" si="17"/>
        <v>8.06692E-3</v>
      </c>
      <c r="AE57" s="4">
        <f t="shared" si="17"/>
        <v>8.2826700000000007E-3</v>
      </c>
      <c r="AF57" s="4">
        <f t="shared" si="17"/>
        <v>8.4984199999999996E-3</v>
      </c>
      <c r="AG57" s="4">
        <v>8.7141700000000002E-3</v>
      </c>
      <c r="AH57" s="5">
        <f>SUM(Tableau2[[#This Row],[2022]:[2050]])</f>
        <v>0.22629484</v>
      </c>
    </row>
    <row r="58" spans="1:34" hidden="1" x14ac:dyDescent="0.3">
      <c r="A58" s="2" t="s">
        <v>75</v>
      </c>
      <c r="B58" s="2" t="s">
        <v>89</v>
      </c>
      <c r="C58" s="3" t="s">
        <v>12</v>
      </c>
      <c r="D58" s="2" t="s">
        <v>73</v>
      </c>
      <c r="E58" s="6">
        <v>9.6983599999999996E-3</v>
      </c>
      <c r="F58" s="6">
        <f t="shared" si="12"/>
        <v>1.0153673333333333E-2</v>
      </c>
      <c r="G58" s="6">
        <f t="shared" si="12"/>
        <v>1.0608986666666665E-2</v>
      </c>
      <c r="H58" s="6">
        <v>1.1064299999999999E-2</v>
      </c>
      <c r="I58" s="6">
        <f t="shared" si="13"/>
        <v>1.0797942E-2</v>
      </c>
      <c r="J58" s="6">
        <f t="shared" si="13"/>
        <v>1.0531584E-2</v>
      </c>
      <c r="K58" s="6">
        <f t="shared" si="13"/>
        <v>1.0265225999999999E-2</v>
      </c>
      <c r="L58" s="6">
        <f t="shared" si="13"/>
        <v>9.9988679999999993E-3</v>
      </c>
      <c r="M58" s="6">
        <v>9.7325099999999998E-3</v>
      </c>
      <c r="N58" s="6">
        <f t="shared" si="14"/>
        <v>9.7690299999999997E-3</v>
      </c>
      <c r="O58" s="6">
        <f t="shared" si="14"/>
        <v>9.8055499999999997E-3</v>
      </c>
      <c r="P58" s="6">
        <f t="shared" si="14"/>
        <v>9.8420699999999996E-3</v>
      </c>
      <c r="Q58" s="6">
        <f t="shared" si="14"/>
        <v>9.8785899999999996E-3</v>
      </c>
      <c r="R58" s="6">
        <v>9.9151099999999995E-3</v>
      </c>
      <c r="S58" s="6">
        <f t="shared" si="15"/>
        <v>9.6636899999999991E-3</v>
      </c>
      <c r="T58" s="6">
        <f t="shared" si="15"/>
        <v>9.4122700000000004E-3</v>
      </c>
      <c r="U58" s="6">
        <f t="shared" si="15"/>
        <v>9.1608499999999999E-3</v>
      </c>
      <c r="V58" s="6">
        <f t="shared" si="15"/>
        <v>8.9094300000000012E-3</v>
      </c>
      <c r="W58" s="6">
        <v>8.6580100000000007E-3</v>
      </c>
      <c r="X58" s="6">
        <f t="shared" si="16"/>
        <v>8.7757100000000008E-3</v>
      </c>
      <c r="Y58" s="6">
        <f t="shared" si="16"/>
        <v>8.8934100000000009E-3</v>
      </c>
      <c r="Z58" s="6">
        <f t="shared" si="16"/>
        <v>9.0111099999999993E-3</v>
      </c>
      <c r="AA58" s="6">
        <f t="shared" si="16"/>
        <v>9.1288099999999994E-3</v>
      </c>
      <c r="AB58" s="6">
        <v>9.2465099999999995E-3</v>
      </c>
      <c r="AC58" s="6">
        <f t="shared" si="17"/>
        <v>9.2504379999999997E-3</v>
      </c>
      <c r="AD58" s="6">
        <f t="shared" si="17"/>
        <v>9.254366E-3</v>
      </c>
      <c r="AE58" s="6">
        <f t="shared" si="17"/>
        <v>9.2582940000000002E-3</v>
      </c>
      <c r="AF58" s="6">
        <f t="shared" si="17"/>
        <v>9.2622220000000005E-3</v>
      </c>
      <c r="AG58" s="6">
        <v>9.2661500000000008E-3</v>
      </c>
      <c r="AH58" s="5">
        <f>SUM(Tableau2[[#This Row],[2022]:[2050]])</f>
        <v>0.27921306999999995</v>
      </c>
    </row>
    <row r="59" spans="1:34" x14ac:dyDescent="0.3">
      <c r="A59" s="2" t="s">
        <v>75</v>
      </c>
      <c r="B59" s="2" t="s">
        <v>89</v>
      </c>
      <c r="C59" s="3" t="s">
        <v>12</v>
      </c>
      <c r="D59" s="2" t="s">
        <v>74</v>
      </c>
      <c r="E59" s="4">
        <v>9.6983599999999996E-3</v>
      </c>
      <c r="F59" s="4">
        <f t="shared" si="12"/>
        <v>1.2177506666666666E-2</v>
      </c>
      <c r="G59" s="4">
        <f t="shared" si="12"/>
        <v>1.4656653333333332E-2</v>
      </c>
      <c r="H59" s="4">
        <v>1.71358E-2</v>
      </c>
      <c r="I59" s="4">
        <f t="shared" si="13"/>
        <v>1.8530120000000001E-2</v>
      </c>
      <c r="J59" s="4">
        <f t="shared" si="13"/>
        <v>1.9924440000000002E-2</v>
      </c>
      <c r="K59" s="4">
        <f t="shared" si="13"/>
        <v>2.1318759999999999E-2</v>
      </c>
      <c r="L59" s="4">
        <f t="shared" si="13"/>
        <v>2.271308E-2</v>
      </c>
      <c r="M59" s="4">
        <v>2.4107400000000001E-2</v>
      </c>
      <c r="N59" s="4">
        <f t="shared" si="14"/>
        <v>2.33996E-2</v>
      </c>
      <c r="O59" s="4">
        <f t="shared" si="14"/>
        <v>2.2691800000000002E-2</v>
      </c>
      <c r="P59" s="4">
        <f t="shared" si="14"/>
        <v>2.1984E-2</v>
      </c>
      <c r="Q59" s="4">
        <f t="shared" si="14"/>
        <v>2.1276200000000002E-2</v>
      </c>
      <c r="R59" s="4">
        <v>2.0568400000000001E-2</v>
      </c>
      <c r="S59" s="4">
        <f t="shared" si="15"/>
        <v>1.964842E-2</v>
      </c>
      <c r="T59" s="4">
        <f t="shared" si="15"/>
        <v>1.8728439999999999E-2</v>
      </c>
      <c r="U59" s="4">
        <f t="shared" si="15"/>
        <v>1.7808459999999998E-2</v>
      </c>
      <c r="V59" s="4">
        <f t="shared" si="15"/>
        <v>1.6888480000000001E-2</v>
      </c>
      <c r="W59" s="4">
        <v>1.59685E-2</v>
      </c>
      <c r="X59" s="4">
        <f t="shared" si="16"/>
        <v>1.487864E-2</v>
      </c>
      <c r="Y59" s="4">
        <f t="shared" si="16"/>
        <v>1.378878E-2</v>
      </c>
      <c r="Z59" s="4">
        <f t="shared" si="16"/>
        <v>1.2698919999999999E-2</v>
      </c>
      <c r="AA59" s="4">
        <f t="shared" si="16"/>
        <v>1.1609059999999999E-2</v>
      </c>
      <c r="AB59" s="4">
        <v>1.0519199999999999E-2</v>
      </c>
      <c r="AC59" s="4">
        <f t="shared" si="17"/>
        <v>1.0051717999999999E-2</v>
      </c>
      <c r="AD59" s="4">
        <f t="shared" si="17"/>
        <v>9.5842359999999995E-3</v>
      </c>
      <c r="AE59" s="4">
        <f t="shared" si="17"/>
        <v>9.1167539999999995E-3</v>
      </c>
      <c r="AF59" s="4">
        <f t="shared" si="17"/>
        <v>8.6492719999999995E-3</v>
      </c>
      <c r="AG59" s="4">
        <v>8.1817899999999995E-3</v>
      </c>
      <c r="AH59" s="4">
        <f>SUM(Tableau2[[#This Row],[2022]:[2050]])</f>
        <v>0.46830279000000008</v>
      </c>
    </row>
    <row r="60" spans="1:34" x14ac:dyDescent="0.3">
      <c r="A60" s="2" t="s">
        <v>83</v>
      </c>
      <c r="B60" s="2" t="s">
        <v>84</v>
      </c>
      <c r="C60" s="3" t="s">
        <v>14</v>
      </c>
      <c r="D60" s="2" t="s">
        <v>72</v>
      </c>
      <c r="E60" s="7">
        <v>29.8398</v>
      </c>
      <c r="F60" s="4">
        <f t="shared" si="12"/>
        <v>37.136833333333335</v>
      </c>
      <c r="G60" s="4">
        <f t="shared" si="12"/>
        <v>44.433866666666667</v>
      </c>
      <c r="H60" s="4">
        <v>51.730899999999998</v>
      </c>
      <c r="I60" s="4">
        <f t="shared" si="13"/>
        <v>62.852919999999997</v>
      </c>
      <c r="J60" s="4">
        <f t="shared" si="13"/>
        <v>73.974940000000004</v>
      </c>
      <c r="K60" s="4">
        <f t="shared" si="13"/>
        <v>85.096959999999996</v>
      </c>
      <c r="L60" s="4">
        <f t="shared" si="13"/>
        <v>96.218979999999988</v>
      </c>
      <c r="M60" s="4">
        <v>107.34099999999999</v>
      </c>
      <c r="N60" s="4">
        <f t="shared" si="14"/>
        <v>124.06219999999999</v>
      </c>
      <c r="O60" s="4">
        <f t="shared" si="14"/>
        <v>140.7834</v>
      </c>
      <c r="P60" s="4">
        <f t="shared" si="14"/>
        <v>157.50460000000001</v>
      </c>
      <c r="Q60" s="4">
        <f t="shared" si="14"/>
        <v>174.22579999999999</v>
      </c>
      <c r="R60" s="4">
        <v>190.947</v>
      </c>
      <c r="S60" s="4">
        <f t="shared" si="15"/>
        <v>206.20160000000001</v>
      </c>
      <c r="T60" s="4">
        <f t="shared" si="15"/>
        <v>221.45620000000002</v>
      </c>
      <c r="U60" s="4">
        <f t="shared" si="15"/>
        <v>236.71080000000001</v>
      </c>
      <c r="V60" s="4">
        <f t="shared" si="15"/>
        <v>251.96540000000002</v>
      </c>
      <c r="W60" s="4">
        <v>267.22000000000003</v>
      </c>
      <c r="X60" s="4">
        <f t="shared" si="16"/>
        <v>268.26820000000004</v>
      </c>
      <c r="Y60" s="4">
        <f t="shared" si="16"/>
        <v>269.31640000000004</v>
      </c>
      <c r="Z60" s="4">
        <f t="shared" si="16"/>
        <v>270.3646</v>
      </c>
      <c r="AA60" s="4">
        <f t="shared" si="16"/>
        <v>271.4128</v>
      </c>
      <c r="AB60" s="4">
        <v>272.46100000000001</v>
      </c>
      <c r="AC60" s="4">
        <f t="shared" si="17"/>
        <v>266.99920000000003</v>
      </c>
      <c r="AD60" s="4">
        <f t="shared" si="17"/>
        <v>261.53739999999999</v>
      </c>
      <c r="AE60" s="4">
        <f t="shared" si="17"/>
        <v>256.07560000000001</v>
      </c>
      <c r="AF60" s="4">
        <f t="shared" si="17"/>
        <v>250.6138</v>
      </c>
      <c r="AG60" s="4">
        <v>245.15199999999999</v>
      </c>
      <c r="AH60" s="5">
        <f>SUM(Tableau2[[#This Row],[2022]:[2050]])</f>
        <v>5191.9042000000009</v>
      </c>
    </row>
    <row r="61" spans="1:34" hidden="1" x14ac:dyDescent="0.3">
      <c r="A61" s="2" t="s">
        <v>83</v>
      </c>
      <c r="B61" s="2" t="s">
        <v>84</v>
      </c>
      <c r="C61" s="3" t="s">
        <v>14</v>
      </c>
      <c r="D61" s="2" t="s">
        <v>73</v>
      </c>
      <c r="E61" s="2">
        <v>29.8398</v>
      </c>
      <c r="F61" s="6">
        <f t="shared" si="12"/>
        <v>43.288233333333338</v>
      </c>
      <c r="G61" s="6">
        <f t="shared" si="12"/>
        <v>56.736666666666672</v>
      </c>
      <c r="H61">
        <v>70.185100000000006</v>
      </c>
      <c r="I61" s="6">
        <f t="shared" si="13"/>
        <v>89.770080000000007</v>
      </c>
      <c r="J61" s="6">
        <f t="shared" si="13"/>
        <v>109.35506000000001</v>
      </c>
      <c r="K61" s="6">
        <f t="shared" si="13"/>
        <v>128.94004000000001</v>
      </c>
      <c r="L61" s="6">
        <f t="shared" si="13"/>
        <v>148.52502000000001</v>
      </c>
      <c r="M61">
        <v>168.11</v>
      </c>
      <c r="N61" s="6">
        <f t="shared" si="14"/>
        <v>191.76080000000002</v>
      </c>
      <c r="O61" s="6">
        <f t="shared" si="14"/>
        <v>215.41159999999999</v>
      </c>
      <c r="P61" s="6">
        <f t="shared" si="14"/>
        <v>239.0624</v>
      </c>
      <c r="Q61" s="6">
        <f t="shared" si="14"/>
        <v>262.71319999999997</v>
      </c>
      <c r="R61">
        <v>286.36399999999998</v>
      </c>
      <c r="S61" s="6">
        <f t="shared" si="15"/>
        <v>318.21899999999999</v>
      </c>
      <c r="T61" s="6">
        <f t="shared" si="15"/>
        <v>350.07400000000001</v>
      </c>
      <c r="U61" s="6">
        <f t="shared" si="15"/>
        <v>381.92899999999997</v>
      </c>
      <c r="V61" s="6">
        <f t="shared" si="15"/>
        <v>413.78399999999999</v>
      </c>
      <c r="W61">
        <v>445.63900000000001</v>
      </c>
      <c r="X61" s="6">
        <f t="shared" si="16"/>
        <v>450.78680000000003</v>
      </c>
      <c r="Y61" s="6">
        <f t="shared" si="16"/>
        <v>455.93459999999999</v>
      </c>
      <c r="Z61" s="6">
        <f t="shared" si="16"/>
        <v>461.08240000000001</v>
      </c>
      <c r="AA61" s="6">
        <f t="shared" si="16"/>
        <v>466.23019999999997</v>
      </c>
      <c r="AB61">
        <v>471.37799999999999</v>
      </c>
      <c r="AC61" s="6">
        <f t="shared" si="17"/>
        <v>476.1354</v>
      </c>
      <c r="AD61" s="6">
        <f t="shared" si="17"/>
        <v>480.89280000000002</v>
      </c>
      <c r="AE61" s="6">
        <f t="shared" si="17"/>
        <v>485.65019999999998</v>
      </c>
      <c r="AF61" s="6">
        <f t="shared" si="17"/>
        <v>490.4076</v>
      </c>
      <c r="AG61">
        <v>495.16500000000002</v>
      </c>
      <c r="AH61" s="5">
        <f>SUM(Tableau2[[#This Row],[2022]:[2050]])</f>
        <v>8683.3700000000008</v>
      </c>
    </row>
    <row r="62" spans="1:34" x14ac:dyDescent="0.3">
      <c r="A62" s="2" t="s">
        <v>85</v>
      </c>
      <c r="B62" s="2" t="s">
        <v>84</v>
      </c>
      <c r="C62" s="3" t="s">
        <v>14</v>
      </c>
      <c r="D62" s="2" t="s">
        <v>74</v>
      </c>
      <c r="E62" s="4">
        <v>557.20100000000002</v>
      </c>
      <c r="F62" s="4">
        <f t="shared" ref="F62:G81" si="18">(($H62-$E62)/($H$1-$E$1))*(F$1-$E$1)+$E62</f>
        <v>986.25399999999991</v>
      </c>
      <c r="G62" s="4">
        <f t="shared" si="18"/>
        <v>1415.3069999999998</v>
      </c>
      <c r="H62" s="4">
        <v>1844.36</v>
      </c>
      <c r="I62" s="4">
        <f t="shared" ref="I62:L81" si="19">(($M62-$H62)/($M$1-$H$1))*(I$1-$H$1)+$H62</f>
        <v>2298.482</v>
      </c>
      <c r="J62" s="4">
        <f t="shared" si="19"/>
        <v>2752.6040000000003</v>
      </c>
      <c r="K62" s="4">
        <f t="shared" si="19"/>
        <v>3206.7260000000006</v>
      </c>
      <c r="L62" s="4">
        <f t="shared" si="19"/>
        <v>3660.8480000000004</v>
      </c>
      <c r="M62" s="4">
        <v>4114.97</v>
      </c>
      <c r="N62" s="4">
        <f t="shared" ref="N62:Q81" si="20">(($R62-$M62)/($R$1-$M$1))*(N$1-$M$1)+$M62</f>
        <v>4389.1900000000005</v>
      </c>
      <c r="O62" s="4">
        <f t="shared" si="20"/>
        <v>4663.41</v>
      </c>
      <c r="P62" s="4">
        <f t="shared" si="20"/>
        <v>4937.63</v>
      </c>
      <c r="Q62" s="4">
        <f t="shared" si="20"/>
        <v>5211.8500000000004</v>
      </c>
      <c r="R62" s="4">
        <v>5486.07</v>
      </c>
      <c r="S62" s="4">
        <f t="shared" ref="S62:V81" si="21">(($W62-$R62)/($W$1-$R$1))*(S$1-$R$1)+$R62</f>
        <v>5296.9359999999997</v>
      </c>
      <c r="T62" s="4">
        <f t="shared" si="21"/>
        <v>5107.8019999999997</v>
      </c>
      <c r="U62" s="4">
        <f t="shared" si="21"/>
        <v>4918.6679999999997</v>
      </c>
      <c r="V62" s="4">
        <f t="shared" si="21"/>
        <v>4729.5339999999997</v>
      </c>
      <c r="W62" s="4">
        <v>4540.3999999999996</v>
      </c>
      <c r="X62" s="4">
        <f t="shared" ref="X62:AA81" si="22">(($AB62-$W62)/($AB$1-$W$1))*(X$1-$W$1)+$W62</f>
        <v>4389.6039999999994</v>
      </c>
      <c r="Y62" s="4">
        <f t="shared" si="22"/>
        <v>4238.808</v>
      </c>
      <c r="Z62" s="4">
        <f t="shared" si="22"/>
        <v>4088.0119999999997</v>
      </c>
      <c r="AA62" s="4">
        <f t="shared" si="22"/>
        <v>3937.2159999999999</v>
      </c>
      <c r="AB62" s="4">
        <v>3786.42</v>
      </c>
      <c r="AC62" s="4">
        <f t="shared" ref="AC62:AF81" si="23">(($AG62-$AB62)/($AG$1-$AB$1))*(AC$1-$AB$1)+$AB62</f>
        <v>3574.3519999999999</v>
      </c>
      <c r="AD62" s="4">
        <f t="shared" si="23"/>
        <v>3362.2840000000001</v>
      </c>
      <c r="AE62" s="4">
        <f t="shared" si="23"/>
        <v>3150.2159999999999</v>
      </c>
      <c r="AF62" s="4">
        <f t="shared" si="23"/>
        <v>2938.1480000000001</v>
      </c>
      <c r="AG62" s="4">
        <v>2726.08</v>
      </c>
      <c r="AH62" s="4">
        <f>SUM(Tableau2[[#This Row],[2022]:[2050]])</f>
        <v>106309.382</v>
      </c>
    </row>
    <row r="63" spans="1:34" x14ac:dyDescent="0.3">
      <c r="A63" s="2" t="s">
        <v>85</v>
      </c>
      <c r="B63" s="2" t="s">
        <v>84</v>
      </c>
      <c r="C63" s="3" t="s">
        <v>14</v>
      </c>
      <c r="D63" s="2" t="s">
        <v>72</v>
      </c>
      <c r="E63" s="4">
        <v>557.20100000000002</v>
      </c>
      <c r="F63" s="4">
        <f t="shared" si="18"/>
        <v>683.3563333333334</v>
      </c>
      <c r="G63" s="4">
        <f t="shared" si="18"/>
        <v>809.51166666666666</v>
      </c>
      <c r="H63" s="4">
        <v>935.66700000000003</v>
      </c>
      <c r="I63" s="4">
        <f t="shared" si="19"/>
        <v>1066.5835999999999</v>
      </c>
      <c r="J63" s="4">
        <f t="shared" si="19"/>
        <v>1197.5001999999999</v>
      </c>
      <c r="K63" s="4">
        <f t="shared" si="19"/>
        <v>1328.4168</v>
      </c>
      <c r="L63" s="4">
        <f t="shared" si="19"/>
        <v>1459.3334</v>
      </c>
      <c r="M63" s="4">
        <v>1590.25</v>
      </c>
      <c r="N63" s="4">
        <f t="shared" si="20"/>
        <v>1628.556</v>
      </c>
      <c r="O63" s="4">
        <f t="shared" si="20"/>
        <v>1666.8620000000001</v>
      </c>
      <c r="P63" s="4">
        <f t="shared" si="20"/>
        <v>1705.1679999999999</v>
      </c>
      <c r="Q63" s="4">
        <f t="shared" si="20"/>
        <v>1743.4739999999999</v>
      </c>
      <c r="R63" s="4">
        <v>1781.78</v>
      </c>
      <c r="S63" s="4">
        <f t="shared" si="21"/>
        <v>1763.538</v>
      </c>
      <c r="T63" s="4">
        <f t="shared" si="21"/>
        <v>1745.296</v>
      </c>
      <c r="U63" s="4">
        <f t="shared" si="21"/>
        <v>1727.0539999999999</v>
      </c>
      <c r="V63" s="4">
        <f t="shared" si="21"/>
        <v>1708.8119999999999</v>
      </c>
      <c r="W63" s="4">
        <v>1690.57</v>
      </c>
      <c r="X63" s="4">
        <f t="shared" si="22"/>
        <v>1650.806</v>
      </c>
      <c r="Y63" s="4">
        <f t="shared" si="22"/>
        <v>1611.0419999999999</v>
      </c>
      <c r="Z63" s="4">
        <f t="shared" si="22"/>
        <v>1571.278</v>
      </c>
      <c r="AA63" s="4">
        <f t="shared" si="22"/>
        <v>1531.5139999999999</v>
      </c>
      <c r="AB63" s="4">
        <v>1491.75</v>
      </c>
      <c r="AC63" s="4">
        <f t="shared" si="23"/>
        <v>1408.88</v>
      </c>
      <c r="AD63" s="4">
        <f t="shared" si="23"/>
        <v>1326.01</v>
      </c>
      <c r="AE63" s="4">
        <f t="shared" si="23"/>
        <v>1243.1400000000001</v>
      </c>
      <c r="AF63" s="4">
        <f t="shared" si="23"/>
        <v>1160.27</v>
      </c>
      <c r="AG63" s="4">
        <v>1077.4000000000001</v>
      </c>
      <c r="AH63" s="5">
        <f>SUM(Tableau2[[#This Row],[2022]:[2050]])</f>
        <v>40861.019999999997</v>
      </c>
    </row>
    <row r="64" spans="1:34" hidden="1" x14ac:dyDescent="0.3">
      <c r="A64" s="2" t="s">
        <v>85</v>
      </c>
      <c r="B64" s="2" t="s">
        <v>84</v>
      </c>
      <c r="C64" s="3" t="s">
        <v>14</v>
      </c>
      <c r="D64" s="2" t="s">
        <v>73</v>
      </c>
      <c r="E64" s="6">
        <v>557.20100000000002</v>
      </c>
      <c r="F64" s="6">
        <f t="shared" si="18"/>
        <v>738.42066666666665</v>
      </c>
      <c r="G64" s="6">
        <f t="shared" si="18"/>
        <v>919.64033333333327</v>
      </c>
      <c r="H64">
        <v>1100.8599999999999</v>
      </c>
      <c r="I64" s="6">
        <f t="shared" si="19"/>
        <v>1367.9939999999999</v>
      </c>
      <c r="J64" s="6">
        <f t="shared" si="19"/>
        <v>1635.1280000000002</v>
      </c>
      <c r="K64" s="6">
        <f t="shared" si="19"/>
        <v>1902.2620000000002</v>
      </c>
      <c r="L64" s="6">
        <f t="shared" si="19"/>
        <v>2169.3960000000002</v>
      </c>
      <c r="M64">
        <v>2436.5300000000002</v>
      </c>
      <c r="N64" s="6">
        <f t="shared" si="20"/>
        <v>2689.8360000000002</v>
      </c>
      <c r="O64" s="6">
        <f t="shared" si="20"/>
        <v>2943.1420000000003</v>
      </c>
      <c r="P64" s="6">
        <f t="shared" si="20"/>
        <v>3196.4480000000003</v>
      </c>
      <c r="Q64" s="6">
        <f t="shared" si="20"/>
        <v>3449.7539999999999</v>
      </c>
      <c r="R64">
        <v>3703.06</v>
      </c>
      <c r="S64" s="6">
        <f t="shared" si="21"/>
        <v>3684.7019999999998</v>
      </c>
      <c r="T64" s="6">
        <f t="shared" si="21"/>
        <v>3666.3440000000001</v>
      </c>
      <c r="U64" s="6">
        <f t="shared" si="21"/>
        <v>3647.9859999999999</v>
      </c>
      <c r="V64" s="6">
        <f t="shared" si="21"/>
        <v>3629.6280000000002</v>
      </c>
      <c r="W64">
        <v>3611.27</v>
      </c>
      <c r="X64" s="6">
        <f t="shared" si="22"/>
        <v>3516.28</v>
      </c>
      <c r="Y64" s="6">
        <f t="shared" si="22"/>
        <v>3421.29</v>
      </c>
      <c r="Z64" s="6">
        <f t="shared" si="22"/>
        <v>3326.3</v>
      </c>
      <c r="AA64" s="6">
        <f t="shared" si="22"/>
        <v>3231.31</v>
      </c>
      <c r="AB64">
        <v>3136.32</v>
      </c>
      <c r="AC64" s="6">
        <f t="shared" si="23"/>
        <v>3006.21</v>
      </c>
      <c r="AD64" s="6">
        <f t="shared" si="23"/>
        <v>2876.1</v>
      </c>
      <c r="AE64" s="6">
        <f t="shared" si="23"/>
        <v>2745.99</v>
      </c>
      <c r="AF64" s="6">
        <f t="shared" si="23"/>
        <v>2615.88</v>
      </c>
      <c r="AG64">
        <v>2485.77</v>
      </c>
      <c r="AH64" s="5">
        <f>SUM(Tableau2[[#This Row],[2022]:[2050]])</f>
        <v>77411.052000000011</v>
      </c>
    </row>
    <row r="65" spans="1:36" x14ac:dyDescent="0.3">
      <c r="A65" s="2" t="s">
        <v>83</v>
      </c>
      <c r="B65" s="2" t="s">
        <v>84</v>
      </c>
      <c r="C65" s="3" t="s">
        <v>14</v>
      </c>
      <c r="D65" s="2" t="s">
        <v>74</v>
      </c>
      <c r="E65" s="7">
        <v>29.8398</v>
      </c>
      <c r="F65" s="4">
        <f t="shared" si="18"/>
        <v>54.652866666666668</v>
      </c>
      <c r="G65" s="4">
        <f t="shared" si="18"/>
        <v>79.465933333333339</v>
      </c>
      <c r="H65" s="4">
        <v>104.279</v>
      </c>
      <c r="I65" s="4">
        <f t="shared" si="19"/>
        <v>150.41419999999999</v>
      </c>
      <c r="J65" s="4">
        <f t="shared" si="19"/>
        <v>196.54939999999999</v>
      </c>
      <c r="K65" s="4">
        <f t="shared" si="19"/>
        <v>242.68459999999999</v>
      </c>
      <c r="L65" s="4">
        <f t="shared" si="19"/>
        <v>288.81979999999999</v>
      </c>
      <c r="M65" s="4">
        <v>334.95499999999998</v>
      </c>
      <c r="N65" s="4">
        <f t="shared" si="20"/>
        <v>377.58359999999999</v>
      </c>
      <c r="O65" s="4">
        <f t="shared" si="20"/>
        <v>420.21219999999994</v>
      </c>
      <c r="P65" s="4">
        <f t="shared" si="20"/>
        <v>462.84079999999994</v>
      </c>
      <c r="Q65" s="4">
        <f t="shared" si="20"/>
        <v>505.46939999999995</v>
      </c>
      <c r="R65" s="4">
        <v>548.09799999999996</v>
      </c>
      <c r="S65" s="4">
        <f t="shared" si="21"/>
        <v>601.07779999999991</v>
      </c>
      <c r="T65" s="4">
        <f t="shared" si="21"/>
        <v>654.05759999999998</v>
      </c>
      <c r="U65" s="4">
        <f t="shared" si="21"/>
        <v>707.03739999999993</v>
      </c>
      <c r="V65" s="4">
        <f t="shared" si="21"/>
        <v>760.0172</v>
      </c>
      <c r="W65" s="4">
        <v>812.99699999999996</v>
      </c>
      <c r="X65" s="4">
        <f t="shared" si="22"/>
        <v>818.07380000000001</v>
      </c>
      <c r="Y65" s="4">
        <f t="shared" si="22"/>
        <v>823.15059999999994</v>
      </c>
      <c r="Z65" s="4">
        <f t="shared" si="22"/>
        <v>828.22739999999999</v>
      </c>
      <c r="AA65" s="4">
        <f t="shared" si="22"/>
        <v>833.30419999999992</v>
      </c>
      <c r="AB65" s="4">
        <v>838.38099999999997</v>
      </c>
      <c r="AC65" s="4">
        <f t="shared" si="23"/>
        <v>819.13139999999999</v>
      </c>
      <c r="AD65" s="4">
        <f t="shared" si="23"/>
        <v>799.8818</v>
      </c>
      <c r="AE65" s="4">
        <f t="shared" si="23"/>
        <v>780.63220000000001</v>
      </c>
      <c r="AF65" s="4">
        <f t="shared" si="23"/>
        <v>761.38260000000002</v>
      </c>
      <c r="AG65" s="4">
        <v>742.13300000000004</v>
      </c>
      <c r="AH65" s="4">
        <f>SUM(Tableau2[[#This Row],[2022]:[2050]])</f>
        <v>15375.349600000001</v>
      </c>
    </row>
    <row r="66" spans="1:36" x14ac:dyDescent="0.3">
      <c r="A66" s="2" t="s">
        <v>75</v>
      </c>
      <c r="B66" s="2" t="s">
        <v>90</v>
      </c>
      <c r="C66" s="3" t="s">
        <v>15</v>
      </c>
      <c r="D66" s="2" t="s">
        <v>72</v>
      </c>
      <c r="E66" s="4">
        <v>3.2570599999999998E-2</v>
      </c>
      <c r="F66" s="4">
        <f t="shared" si="18"/>
        <v>3.4227266666666666E-2</v>
      </c>
      <c r="G66" s="4">
        <f t="shared" si="18"/>
        <v>3.5883933333333333E-2</v>
      </c>
      <c r="H66" s="4">
        <v>3.75406E-2</v>
      </c>
      <c r="I66" s="4">
        <f t="shared" si="19"/>
        <v>3.812492E-2</v>
      </c>
      <c r="J66" s="4">
        <f t="shared" si="19"/>
        <v>3.8709239999999999E-2</v>
      </c>
      <c r="K66" s="4">
        <f t="shared" si="19"/>
        <v>3.9293559999999998E-2</v>
      </c>
      <c r="L66" s="4">
        <f t="shared" si="19"/>
        <v>3.9877879999999997E-2</v>
      </c>
      <c r="M66" s="4">
        <v>4.0462199999999997E-2</v>
      </c>
      <c r="N66" s="4">
        <f t="shared" si="20"/>
        <v>4.1445320000000001E-2</v>
      </c>
      <c r="O66" s="4">
        <f t="shared" si="20"/>
        <v>4.2428439999999998E-2</v>
      </c>
      <c r="P66" s="4">
        <f t="shared" si="20"/>
        <v>4.3411560000000002E-2</v>
      </c>
      <c r="Q66" s="4">
        <f t="shared" si="20"/>
        <v>4.4394679999999999E-2</v>
      </c>
      <c r="R66" s="4">
        <v>4.5377800000000003E-2</v>
      </c>
      <c r="S66" s="4">
        <f t="shared" si="21"/>
        <v>5.0883020000000001E-2</v>
      </c>
      <c r="T66" s="4">
        <f t="shared" si="21"/>
        <v>5.6388239999999999E-2</v>
      </c>
      <c r="U66" s="4">
        <f t="shared" si="21"/>
        <v>6.1893459999999997E-2</v>
      </c>
      <c r="V66" s="4">
        <f t="shared" si="21"/>
        <v>6.7398679999999989E-2</v>
      </c>
      <c r="W66" s="4">
        <v>7.2903899999999994E-2</v>
      </c>
      <c r="X66" s="4">
        <f t="shared" si="22"/>
        <v>7.4009599999999995E-2</v>
      </c>
      <c r="Y66" s="4">
        <f t="shared" si="22"/>
        <v>7.5115299999999996E-2</v>
      </c>
      <c r="Z66" s="4">
        <f t="shared" si="22"/>
        <v>7.6220999999999997E-2</v>
      </c>
      <c r="AA66" s="4">
        <f t="shared" si="22"/>
        <v>7.7326699999999998E-2</v>
      </c>
      <c r="AB66" s="4">
        <v>7.8432399999999999E-2</v>
      </c>
      <c r="AC66" s="4">
        <f t="shared" si="23"/>
        <v>7.9013739999999999E-2</v>
      </c>
      <c r="AD66" s="4">
        <f t="shared" si="23"/>
        <v>7.9595079999999999E-2</v>
      </c>
      <c r="AE66" s="4">
        <f t="shared" si="23"/>
        <v>8.0176419999999998E-2</v>
      </c>
      <c r="AF66" s="4">
        <f t="shared" si="23"/>
        <v>8.0757759999999998E-2</v>
      </c>
      <c r="AG66" s="4">
        <v>8.1339099999999998E-2</v>
      </c>
      <c r="AH66" s="5">
        <f>SUM(Tableau2[[#This Row],[2022]:[2050]])</f>
        <v>1.6452024000000001</v>
      </c>
    </row>
    <row r="67" spans="1:36" hidden="1" x14ac:dyDescent="0.3">
      <c r="A67" s="2" t="s">
        <v>75</v>
      </c>
      <c r="B67" s="2" t="s">
        <v>90</v>
      </c>
      <c r="C67" s="3" t="s">
        <v>15</v>
      </c>
      <c r="D67" s="2" t="s">
        <v>73</v>
      </c>
      <c r="E67" s="6">
        <v>3.2570599999999998E-2</v>
      </c>
      <c r="F67" s="6">
        <f t="shared" si="18"/>
        <v>3.5503066666666666E-2</v>
      </c>
      <c r="G67" s="6">
        <f t="shared" si="18"/>
        <v>3.8435533333333334E-2</v>
      </c>
      <c r="H67" s="6">
        <v>4.1368000000000002E-2</v>
      </c>
      <c r="I67" s="6">
        <f t="shared" si="19"/>
        <v>4.1124460000000002E-2</v>
      </c>
      <c r="J67" s="6">
        <f t="shared" si="19"/>
        <v>4.0880920000000001E-2</v>
      </c>
      <c r="K67" s="6">
        <f t="shared" si="19"/>
        <v>4.0637380000000001E-2</v>
      </c>
      <c r="L67" s="6">
        <f t="shared" si="19"/>
        <v>4.039384E-2</v>
      </c>
      <c r="M67" s="6">
        <v>4.01503E-2</v>
      </c>
      <c r="N67" s="6">
        <f t="shared" si="20"/>
        <v>4.3083299999999998E-2</v>
      </c>
      <c r="O67" s="6">
        <f t="shared" si="20"/>
        <v>4.6016299999999996E-2</v>
      </c>
      <c r="P67" s="6">
        <f t="shared" si="20"/>
        <v>4.8949300000000001E-2</v>
      </c>
      <c r="Q67" s="6">
        <f t="shared" si="20"/>
        <v>5.1882299999999999E-2</v>
      </c>
      <c r="R67" s="6">
        <v>5.4815299999999997E-2</v>
      </c>
      <c r="S67" s="6">
        <f t="shared" si="21"/>
        <v>6.3496319999999995E-2</v>
      </c>
      <c r="T67" s="6">
        <f t="shared" si="21"/>
        <v>7.2177340000000006E-2</v>
      </c>
      <c r="U67" s="6">
        <f t="shared" si="21"/>
        <v>8.0858360000000004E-2</v>
      </c>
      <c r="V67" s="6">
        <f t="shared" si="21"/>
        <v>8.9539380000000002E-2</v>
      </c>
      <c r="W67" s="6">
        <v>9.8220399999999999E-2</v>
      </c>
      <c r="X67" s="6">
        <f t="shared" si="22"/>
        <v>0.10008912</v>
      </c>
      <c r="Y67" s="6">
        <f t="shared" si="22"/>
        <v>0.10195784000000001</v>
      </c>
      <c r="Z67" s="6">
        <f t="shared" si="22"/>
        <v>0.10382656</v>
      </c>
      <c r="AA67" s="6">
        <f t="shared" si="22"/>
        <v>0.10569528</v>
      </c>
      <c r="AB67" s="6">
        <v>0.10756400000000001</v>
      </c>
      <c r="AC67" s="6">
        <f t="shared" si="23"/>
        <v>0.10913440000000001</v>
      </c>
      <c r="AD67" s="6">
        <f t="shared" si="23"/>
        <v>0.11070480000000001</v>
      </c>
      <c r="AE67" s="6">
        <f t="shared" si="23"/>
        <v>0.11227520000000001</v>
      </c>
      <c r="AF67" s="6">
        <f t="shared" si="23"/>
        <v>0.11384560000000001</v>
      </c>
      <c r="AG67" s="6">
        <v>0.115416</v>
      </c>
      <c r="AH67" s="5">
        <f>SUM(Tableau2[[#This Row],[2022]:[2050]])</f>
        <v>2.0806112000000003</v>
      </c>
    </row>
    <row r="68" spans="1:36" x14ac:dyDescent="0.3">
      <c r="A68" s="2" t="s">
        <v>75</v>
      </c>
      <c r="B68" s="2" t="s">
        <v>90</v>
      </c>
      <c r="C68" s="3" t="s">
        <v>15</v>
      </c>
      <c r="D68" s="2" t="s">
        <v>74</v>
      </c>
      <c r="E68" s="4">
        <v>3.2570599999999998E-2</v>
      </c>
      <c r="F68" s="4">
        <f t="shared" si="18"/>
        <v>4.2490466666666664E-2</v>
      </c>
      <c r="G68" s="4">
        <f t="shared" si="18"/>
        <v>5.2410333333333337E-2</v>
      </c>
      <c r="H68" s="4">
        <v>6.2330200000000002E-2</v>
      </c>
      <c r="I68" s="4">
        <f t="shared" si="19"/>
        <v>6.8193840000000006E-2</v>
      </c>
      <c r="J68" s="4">
        <f t="shared" si="19"/>
        <v>7.4057480000000009E-2</v>
      </c>
      <c r="K68" s="4">
        <f t="shared" si="19"/>
        <v>7.9921120000000012E-2</v>
      </c>
      <c r="L68" s="4">
        <f t="shared" si="19"/>
        <v>8.5784760000000002E-2</v>
      </c>
      <c r="M68" s="4">
        <v>9.1648400000000005E-2</v>
      </c>
      <c r="N68" s="4">
        <f t="shared" si="20"/>
        <v>9.3907120000000011E-2</v>
      </c>
      <c r="O68" s="4">
        <f t="shared" si="20"/>
        <v>9.6165840000000002E-2</v>
      </c>
      <c r="P68" s="4">
        <f t="shared" si="20"/>
        <v>9.8424560000000008E-2</v>
      </c>
      <c r="Q68" s="4">
        <f t="shared" si="20"/>
        <v>0.10068328</v>
      </c>
      <c r="R68" s="4">
        <v>0.10294200000000001</v>
      </c>
      <c r="S68" s="4">
        <f t="shared" si="21"/>
        <v>0.1133422</v>
      </c>
      <c r="T68" s="4">
        <f t="shared" si="21"/>
        <v>0.1237424</v>
      </c>
      <c r="U68" s="4">
        <f t="shared" si="21"/>
        <v>0.1341426</v>
      </c>
      <c r="V68" s="4">
        <f t="shared" si="21"/>
        <v>0.1445428</v>
      </c>
      <c r="W68" s="4">
        <v>0.154943</v>
      </c>
      <c r="X68" s="4">
        <f t="shared" si="22"/>
        <v>0.14669779999999999</v>
      </c>
      <c r="Y68" s="4">
        <f t="shared" si="22"/>
        <v>0.13845260000000001</v>
      </c>
      <c r="Z68" s="4">
        <f t="shared" si="22"/>
        <v>0.1302074</v>
      </c>
      <c r="AA68" s="4">
        <f t="shared" si="22"/>
        <v>0.12196219999999999</v>
      </c>
      <c r="AB68" s="4">
        <v>0.113717</v>
      </c>
      <c r="AC68" s="4">
        <f t="shared" si="23"/>
        <v>0.1137978</v>
      </c>
      <c r="AD68" s="4">
        <f t="shared" si="23"/>
        <v>0.1138786</v>
      </c>
      <c r="AE68" s="4">
        <f t="shared" si="23"/>
        <v>0.1139594</v>
      </c>
      <c r="AF68" s="4">
        <f t="shared" si="23"/>
        <v>0.11404019999999999</v>
      </c>
      <c r="AG68" s="4">
        <v>0.114121</v>
      </c>
      <c r="AH68" s="4">
        <f>SUM(Tableau2[[#This Row],[2022]:[2050]])</f>
        <v>2.973077</v>
      </c>
    </row>
    <row r="69" spans="1:36" x14ac:dyDescent="0.3">
      <c r="A69" s="2" t="s">
        <v>86</v>
      </c>
      <c r="B69" s="2"/>
      <c r="C69" s="3" t="s">
        <v>16</v>
      </c>
      <c r="D69" s="2" t="s">
        <v>74</v>
      </c>
      <c r="E69" s="6">
        <v>3.1381200000000001E-4</v>
      </c>
      <c r="F69" s="6">
        <f t="shared" si="18"/>
        <v>1.5877946666666663E-3</v>
      </c>
      <c r="G69" s="6">
        <f t="shared" si="18"/>
        <v>2.861777333333333E-3</v>
      </c>
      <c r="H69" s="6">
        <v>4.1357599999999996E-3</v>
      </c>
      <c r="I69" s="6">
        <f t="shared" si="19"/>
        <v>4.2953559999999993E-3</v>
      </c>
      <c r="J69" s="6">
        <f t="shared" si="19"/>
        <v>4.4549519999999999E-3</v>
      </c>
      <c r="K69" s="6">
        <f t="shared" si="19"/>
        <v>4.6145479999999996E-3</v>
      </c>
      <c r="L69" s="6">
        <f t="shared" si="19"/>
        <v>4.7741440000000001E-3</v>
      </c>
      <c r="M69" s="6">
        <v>4.9337399999999998E-3</v>
      </c>
      <c r="N69" s="6">
        <f t="shared" si="20"/>
        <v>5.0197280000000002E-3</v>
      </c>
      <c r="O69" s="6">
        <f t="shared" si="20"/>
        <v>5.1057159999999997E-3</v>
      </c>
      <c r="P69" s="6">
        <f t="shared" si="20"/>
        <v>5.1917040000000001E-3</v>
      </c>
      <c r="Q69" s="6">
        <f t="shared" si="20"/>
        <v>5.2776919999999996E-3</v>
      </c>
      <c r="R69" s="6">
        <v>5.36368E-3</v>
      </c>
      <c r="S69" s="6">
        <f t="shared" si="21"/>
        <v>5.1058539999999999E-3</v>
      </c>
      <c r="T69" s="6">
        <f t="shared" si="21"/>
        <v>4.8480279999999999E-3</v>
      </c>
      <c r="U69" s="6">
        <f t="shared" si="21"/>
        <v>4.5902019999999998E-3</v>
      </c>
      <c r="V69" s="6">
        <f t="shared" si="21"/>
        <v>4.3323759999999998E-3</v>
      </c>
      <c r="W69" s="6">
        <v>4.0745499999999997E-3</v>
      </c>
      <c r="X69" s="6">
        <f t="shared" si="22"/>
        <v>3.739582E-3</v>
      </c>
      <c r="Y69" s="6">
        <f t="shared" si="22"/>
        <v>3.4046139999999998E-3</v>
      </c>
      <c r="Z69" s="6">
        <f t="shared" si="22"/>
        <v>3.0696460000000001E-3</v>
      </c>
      <c r="AA69" s="6">
        <f t="shared" si="22"/>
        <v>2.7346779999999999E-3</v>
      </c>
      <c r="AB69" s="6">
        <v>2.3997100000000002E-3</v>
      </c>
      <c r="AC69" s="6">
        <f t="shared" si="23"/>
        <v>2.3720480000000003E-3</v>
      </c>
      <c r="AD69" s="6">
        <f t="shared" si="23"/>
        <v>2.3443860000000004E-3</v>
      </c>
      <c r="AE69" s="6">
        <f t="shared" si="23"/>
        <v>2.316724E-3</v>
      </c>
      <c r="AF69" s="6">
        <f t="shared" si="23"/>
        <v>2.2890620000000001E-3</v>
      </c>
      <c r="AG69" s="6">
        <v>2.2614000000000002E-3</v>
      </c>
      <c r="AH69" s="9">
        <f>SUM(Tableau2[[#This Row],[2022]:[2050]])</f>
        <v>0.10781326400000002</v>
      </c>
    </row>
    <row r="70" spans="1:36" x14ac:dyDescent="0.3">
      <c r="A70" s="2" t="s">
        <v>75</v>
      </c>
      <c r="B70" s="2" t="s">
        <v>91</v>
      </c>
      <c r="C70" s="3" t="s">
        <v>17</v>
      </c>
      <c r="D70" s="2" t="s">
        <v>72</v>
      </c>
      <c r="E70" s="4">
        <v>1.16354</v>
      </c>
      <c r="F70" s="4">
        <f t="shared" si="18"/>
        <v>1.2199266666666666</v>
      </c>
      <c r="G70" s="4">
        <f t="shared" si="18"/>
        <v>1.2763133333333334</v>
      </c>
      <c r="H70" s="4">
        <v>1.3327</v>
      </c>
      <c r="I70" s="4">
        <f t="shared" si="19"/>
        <v>1.3819999999999999</v>
      </c>
      <c r="J70" s="4">
        <f t="shared" si="19"/>
        <v>1.4313</v>
      </c>
      <c r="K70" s="4">
        <f t="shared" si="19"/>
        <v>1.4805999999999999</v>
      </c>
      <c r="L70" s="4">
        <f t="shared" si="19"/>
        <v>1.5299</v>
      </c>
      <c r="M70" s="4">
        <v>1.5791999999999999</v>
      </c>
      <c r="N70" s="4">
        <f t="shared" si="20"/>
        <v>1.5840639999999999</v>
      </c>
      <c r="O70" s="4">
        <f t="shared" si="20"/>
        <v>1.5889279999999999</v>
      </c>
      <c r="P70" s="4">
        <f t="shared" si="20"/>
        <v>1.5937920000000001</v>
      </c>
      <c r="Q70" s="4">
        <f t="shared" si="20"/>
        <v>1.5986560000000001</v>
      </c>
      <c r="R70" s="4">
        <v>1.6035200000000001</v>
      </c>
      <c r="S70" s="4">
        <f t="shared" si="21"/>
        <v>1.6185880000000001</v>
      </c>
      <c r="T70" s="4">
        <f t="shared" si="21"/>
        <v>1.633656</v>
      </c>
      <c r="U70" s="4">
        <f t="shared" si="21"/>
        <v>1.6487240000000001</v>
      </c>
      <c r="V70" s="4">
        <f t="shared" si="21"/>
        <v>1.6637919999999999</v>
      </c>
      <c r="W70" s="4">
        <v>1.67886</v>
      </c>
      <c r="X70" s="4">
        <f t="shared" si="22"/>
        <v>1.731752</v>
      </c>
      <c r="Y70" s="4">
        <f t="shared" si="22"/>
        <v>1.7846439999999999</v>
      </c>
      <c r="Z70" s="4">
        <f t="shared" si="22"/>
        <v>1.8375360000000001</v>
      </c>
      <c r="AA70" s="4">
        <f t="shared" si="22"/>
        <v>1.890428</v>
      </c>
      <c r="AB70" s="4">
        <v>1.9433199999999999</v>
      </c>
      <c r="AC70" s="4">
        <f t="shared" si="23"/>
        <v>1.9938020000000001</v>
      </c>
      <c r="AD70" s="4">
        <f t="shared" si="23"/>
        <v>2.0442840000000002</v>
      </c>
      <c r="AE70" s="4">
        <f t="shared" si="23"/>
        <v>2.0947659999999999</v>
      </c>
      <c r="AF70" s="4">
        <f t="shared" si="23"/>
        <v>2.145248</v>
      </c>
      <c r="AG70" s="4">
        <v>2.1957300000000002</v>
      </c>
      <c r="AH70" s="5">
        <f>SUM(Tableau2[[#This Row],[2022]:[2050]])</f>
        <v>48.269569999999995</v>
      </c>
    </row>
    <row r="71" spans="1:36" hidden="1" x14ac:dyDescent="0.3">
      <c r="A71" s="2" t="s">
        <v>75</v>
      </c>
      <c r="B71" s="2" t="s">
        <v>91</v>
      </c>
      <c r="C71" s="3" t="s">
        <v>17</v>
      </c>
      <c r="D71" s="2" t="s">
        <v>73</v>
      </c>
      <c r="E71" s="6">
        <v>1.16354</v>
      </c>
      <c r="F71" s="6">
        <f t="shared" si="18"/>
        <v>1.3040166666666666</v>
      </c>
      <c r="G71" s="6">
        <f t="shared" si="18"/>
        <v>1.4444933333333334</v>
      </c>
      <c r="H71" s="6">
        <v>1.58497</v>
      </c>
      <c r="I71" s="6">
        <f t="shared" si="19"/>
        <v>1.683654</v>
      </c>
      <c r="J71" s="6">
        <f t="shared" si="19"/>
        <v>1.782338</v>
      </c>
      <c r="K71" s="6">
        <f t="shared" si="19"/>
        <v>1.8810220000000002</v>
      </c>
      <c r="L71" s="6">
        <f t="shared" si="19"/>
        <v>1.9797060000000002</v>
      </c>
      <c r="M71" s="6">
        <v>2.0783900000000002</v>
      </c>
      <c r="N71" s="6">
        <f t="shared" si="20"/>
        <v>2.1464980000000002</v>
      </c>
      <c r="O71" s="6">
        <f t="shared" si="20"/>
        <v>2.2146060000000003</v>
      </c>
      <c r="P71" s="6">
        <f t="shared" si="20"/>
        <v>2.2827139999999999</v>
      </c>
      <c r="Q71" s="6">
        <f t="shared" si="20"/>
        <v>2.350822</v>
      </c>
      <c r="R71" s="6">
        <v>2.41893</v>
      </c>
      <c r="S71" s="6">
        <f t="shared" si="21"/>
        <v>2.42971</v>
      </c>
      <c r="T71" s="6">
        <f t="shared" si="21"/>
        <v>2.44049</v>
      </c>
      <c r="U71" s="6">
        <f t="shared" si="21"/>
        <v>2.4512700000000001</v>
      </c>
      <c r="V71" s="6">
        <f t="shared" si="21"/>
        <v>2.4620500000000001</v>
      </c>
      <c r="W71" s="6">
        <v>2.4728300000000001</v>
      </c>
      <c r="X71" s="6">
        <f t="shared" si="22"/>
        <v>2.5535239999999999</v>
      </c>
      <c r="Y71" s="6">
        <f t="shared" si="22"/>
        <v>2.6342180000000002</v>
      </c>
      <c r="Z71" s="6">
        <f t="shared" si="22"/>
        <v>2.714912</v>
      </c>
      <c r="AA71" s="6">
        <f t="shared" si="22"/>
        <v>2.7956060000000003</v>
      </c>
      <c r="AB71" s="6">
        <v>2.8763000000000001</v>
      </c>
      <c r="AC71" s="6">
        <f t="shared" si="23"/>
        <v>2.9417240000000002</v>
      </c>
      <c r="AD71" s="6">
        <f t="shared" si="23"/>
        <v>3.0071479999999999</v>
      </c>
      <c r="AE71" s="6">
        <f t="shared" si="23"/>
        <v>3.0725720000000001</v>
      </c>
      <c r="AF71" s="6">
        <f t="shared" si="23"/>
        <v>3.1379959999999998</v>
      </c>
      <c r="AG71" s="6">
        <v>3.2034199999999999</v>
      </c>
      <c r="AH71" s="5">
        <f>SUM(Tableau2[[#This Row],[2022]:[2050]])</f>
        <v>67.509469999999993</v>
      </c>
    </row>
    <row r="72" spans="1:36" x14ac:dyDescent="0.3">
      <c r="A72" s="2" t="s">
        <v>75</v>
      </c>
      <c r="B72" s="2" t="s">
        <v>91</v>
      </c>
      <c r="C72" s="3" t="s">
        <v>17</v>
      </c>
      <c r="D72" s="2" t="s">
        <v>74</v>
      </c>
      <c r="E72" s="4">
        <v>1.16354</v>
      </c>
      <c r="F72" s="4">
        <f t="shared" si="18"/>
        <v>1.5153633333333334</v>
      </c>
      <c r="G72" s="4">
        <f t="shared" si="18"/>
        <v>1.8671866666666666</v>
      </c>
      <c r="H72" s="4">
        <v>2.2190099999999999</v>
      </c>
      <c r="I72" s="4">
        <f t="shared" si="19"/>
        <v>2.498122</v>
      </c>
      <c r="J72" s="4">
        <f t="shared" si="19"/>
        <v>2.777234</v>
      </c>
      <c r="K72" s="4">
        <f t="shared" si="19"/>
        <v>3.056346</v>
      </c>
      <c r="L72" s="4">
        <f t="shared" si="19"/>
        <v>3.335458</v>
      </c>
      <c r="M72" s="4">
        <v>3.6145700000000001</v>
      </c>
      <c r="N72" s="4">
        <f t="shared" si="20"/>
        <v>3.6316459999999999</v>
      </c>
      <c r="O72" s="4">
        <f t="shared" si="20"/>
        <v>3.6487219999999998</v>
      </c>
      <c r="P72" s="4">
        <f t="shared" si="20"/>
        <v>3.6657980000000001</v>
      </c>
      <c r="Q72" s="4">
        <f t="shared" si="20"/>
        <v>3.682874</v>
      </c>
      <c r="R72" s="4">
        <v>3.6999499999999999</v>
      </c>
      <c r="S72" s="4">
        <f t="shared" si="21"/>
        <v>3.6859439999999997</v>
      </c>
      <c r="T72" s="4">
        <f t="shared" si="21"/>
        <v>3.6719379999999999</v>
      </c>
      <c r="U72" s="4">
        <f t="shared" si="21"/>
        <v>3.6579319999999997</v>
      </c>
      <c r="V72" s="4">
        <f t="shared" si="21"/>
        <v>3.643926</v>
      </c>
      <c r="W72" s="4">
        <v>3.6299199999999998</v>
      </c>
      <c r="X72" s="4">
        <f t="shared" si="22"/>
        <v>3.493932</v>
      </c>
      <c r="Y72" s="4">
        <f t="shared" si="22"/>
        <v>3.3579439999999998</v>
      </c>
      <c r="Z72" s="4">
        <f t="shared" si="22"/>
        <v>3.221956</v>
      </c>
      <c r="AA72" s="4">
        <f t="shared" si="22"/>
        <v>3.0859680000000003</v>
      </c>
      <c r="AB72" s="4">
        <v>2.94998</v>
      </c>
      <c r="AC72" s="4">
        <f t="shared" si="23"/>
        <v>3.0196079999999998</v>
      </c>
      <c r="AD72" s="4">
        <f t="shared" si="23"/>
        <v>3.0892360000000001</v>
      </c>
      <c r="AE72" s="4">
        <f t="shared" si="23"/>
        <v>3.1588639999999999</v>
      </c>
      <c r="AF72" s="4">
        <f t="shared" si="23"/>
        <v>3.2284920000000001</v>
      </c>
      <c r="AG72" s="4">
        <v>3.2981199999999999</v>
      </c>
      <c r="AH72" s="4">
        <f>SUM(Tableau2[[#This Row],[2022]:[2050]])</f>
        <v>90.569579999999988</v>
      </c>
    </row>
    <row r="73" spans="1:36" x14ac:dyDescent="0.3">
      <c r="A73" s="2" t="s">
        <v>83</v>
      </c>
      <c r="B73" s="2" t="s">
        <v>84</v>
      </c>
      <c r="C73" s="3" t="s">
        <v>18</v>
      </c>
      <c r="D73" s="2" t="s">
        <v>72</v>
      </c>
      <c r="E73" s="7">
        <v>3.4353600000000002</v>
      </c>
      <c r="F73" s="4">
        <f t="shared" si="18"/>
        <v>4.1782900000000005</v>
      </c>
      <c r="G73" s="4">
        <f t="shared" si="18"/>
        <v>4.9212199999999999</v>
      </c>
      <c r="H73" s="4">
        <v>5.6641500000000002</v>
      </c>
      <c r="I73" s="4">
        <f t="shared" si="19"/>
        <v>6.8940000000000001</v>
      </c>
      <c r="J73" s="4">
        <f t="shared" si="19"/>
        <v>8.1238500000000009</v>
      </c>
      <c r="K73" s="4">
        <f t="shared" si="19"/>
        <v>9.3536999999999999</v>
      </c>
      <c r="L73" s="4">
        <f t="shared" si="19"/>
        <v>10.583549999999999</v>
      </c>
      <c r="M73" s="4">
        <v>11.8134</v>
      </c>
      <c r="N73" s="4">
        <f t="shared" si="20"/>
        <v>13.514519999999999</v>
      </c>
      <c r="O73" s="4">
        <f t="shared" si="20"/>
        <v>15.21564</v>
      </c>
      <c r="P73" s="4">
        <f t="shared" si="20"/>
        <v>16.91676</v>
      </c>
      <c r="Q73" s="4">
        <f t="shared" si="20"/>
        <v>18.61788</v>
      </c>
      <c r="R73" s="4">
        <v>20.318999999999999</v>
      </c>
      <c r="S73" s="4">
        <f t="shared" si="21"/>
        <v>21.638819999999999</v>
      </c>
      <c r="T73" s="4">
        <f t="shared" si="21"/>
        <v>22.958639999999999</v>
      </c>
      <c r="U73" s="4">
        <f t="shared" si="21"/>
        <v>24.278459999999999</v>
      </c>
      <c r="V73" s="4">
        <f t="shared" si="21"/>
        <v>25.598279999999999</v>
      </c>
      <c r="W73" s="4">
        <v>26.918099999999999</v>
      </c>
      <c r="X73" s="4">
        <f t="shared" si="22"/>
        <v>27.057399999999998</v>
      </c>
      <c r="Y73" s="4">
        <f t="shared" si="22"/>
        <v>27.1967</v>
      </c>
      <c r="Z73" s="4">
        <f t="shared" si="22"/>
        <v>27.335999999999999</v>
      </c>
      <c r="AA73" s="4">
        <f t="shared" si="22"/>
        <v>27.475300000000001</v>
      </c>
      <c r="AB73" s="4">
        <v>27.614599999999999</v>
      </c>
      <c r="AC73" s="4">
        <f t="shared" si="23"/>
        <v>27.010459999999998</v>
      </c>
      <c r="AD73" s="4">
        <f t="shared" si="23"/>
        <v>26.406320000000001</v>
      </c>
      <c r="AE73" s="4">
        <f t="shared" si="23"/>
        <v>25.80218</v>
      </c>
      <c r="AF73" s="4">
        <f t="shared" si="23"/>
        <v>25.198040000000002</v>
      </c>
      <c r="AG73" s="4">
        <v>24.593900000000001</v>
      </c>
      <c r="AH73" s="5">
        <f>SUM(Tableau2[[#This Row],[2022]:[2050]])</f>
        <v>536.63452000000007</v>
      </c>
    </row>
    <row r="74" spans="1:36" hidden="1" x14ac:dyDescent="0.3">
      <c r="A74" s="2" t="s">
        <v>83</v>
      </c>
      <c r="B74" s="2" t="s">
        <v>84</v>
      </c>
      <c r="C74" s="3" t="s">
        <v>18</v>
      </c>
      <c r="D74" s="2" t="s">
        <v>73</v>
      </c>
      <c r="E74" s="2">
        <v>3.4353600000000002</v>
      </c>
      <c r="F74" s="6">
        <f t="shared" si="18"/>
        <v>4.8518233333333338</v>
      </c>
      <c r="G74" s="6">
        <f t="shared" si="18"/>
        <v>6.2682866666666666</v>
      </c>
      <c r="H74">
        <v>7.6847500000000002</v>
      </c>
      <c r="I74" s="6">
        <f t="shared" si="19"/>
        <v>9.8480799999999995</v>
      </c>
      <c r="J74" s="6">
        <f t="shared" si="19"/>
        <v>12.01141</v>
      </c>
      <c r="K74" s="6">
        <f t="shared" si="19"/>
        <v>14.17474</v>
      </c>
      <c r="L74" s="6">
        <f t="shared" si="19"/>
        <v>16.338069999999998</v>
      </c>
      <c r="M74">
        <v>18.5014</v>
      </c>
      <c r="N74" s="6">
        <f t="shared" si="20"/>
        <v>20.895620000000001</v>
      </c>
      <c r="O74" s="6">
        <f t="shared" si="20"/>
        <v>23.289839999999998</v>
      </c>
      <c r="P74" s="6">
        <f t="shared" si="20"/>
        <v>25.684059999999999</v>
      </c>
      <c r="Q74" s="6">
        <f t="shared" si="20"/>
        <v>28.078279999999999</v>
      </c>
      <c r="R74">
        <v>30.4725</v>
      </c>
      <c r="S74" s="6">
        <f t="shared" si="21"/>
        <v>33.356180000000002</v>
      </c>
      <c r="T74" s="6">
        <f t="shared" si="21"/>
        <v>36.23986</v>
      </c>
      <c r="U74" s="6">
        <f t="shared" si="21"/>
        <v>39.123540000000006</v>
      </c>
      <c r="V74" s="6">
        <f t="shared" si="21"/>
        <v>42.007220000000004</v>
      </c>
      <c r="W74">
        <v>44.890900000000002</v>
      </c>
      <c r="X74" s="6">
        <f t="shared" si="22"/>
        <v>45.467780000000005</v>
      </c>
      <c r="Y74" s="6">
        <f t="shared" si="22"/>
        <v>46.04466</v>
      </c>
      <c r="Z74" s="6">
        <f t="shared" si="22"/>
        <v>46.621540000000003</v>
      </c>
      <c r="AA74" s="6">
        <f t="shared" si="22"/>
        <v>47.198419999999999</v>
      </c>
      <c r="AB74">
        <v>47.775300000000001</v>
      </c>
      <c r="AC74" s="6">
        <f t="shared" si="23"/>
        <v>48.155360000000002</v>
      </c>
      <c r="AD74" s="6">
        <f t="shared" si="23"/>
        <v>48.535420000000002</v>
      </c>
      <c r="AE74" s="6">
        <f t="shared" si="23"/>
        <v>48.915480000000002</v>
      </c>
      <c r="AF74" s="6">
        <f t="shared" si="23"/>
        <v>49.295540000000003</v>
      </c>
      <c r="AG74">
        <v>49.675600000000003</v>
      </c>
      <c r="AH74" s="5">
        <f>SUM(Tableau2[[#This Row],[2022]:[2050]])</f>
        <v>894.83702000000005</v>
      </c>
    </row>
    <row r="75" spans="1:36" x14ac:dyDescent="0.3">
      <c r="A75" s="2" t="s">
        <v>85</v>
      </c>
      <c r="B75" s="2" t="s">
        <v>84</v>
      </c>
      <c r="C75" s="3" t="s">
        <v>18</v>
      </c>
      <c r="D75" s="2" t="s">
        <v>74</v>
      </c>
      <c r="E75" s="4">
        <v>69.739000000000004</v>
      </c>
      <c r="F75" s="4">
        <f t="shared" si="18"/>
        <v>127.39366666666666</v>
      </c>
      <c r="G75" s="4">
        <f t="shared" si="18"/>
        <v>185.04833333333335</v>
      </c>
      <c r="H75" s="4">
        <v>242.703</v>
      </c>
      <c r="I75" s="4">
        <f t="shared" si="19"/>
        <v>312.47360000000003</v>
      </c>
      <c r="J75" s="4">
        <f t="shared" si="19"/>
        <v>382.24420000000003</v>
      </c>
      <c r="K75" s="4">
        <f t="shared" si="19"/>
        <v>452.01480000000004</v>
      </c>
      <c r="L75" s="4">
        <f t="shared" si="19"/>
        <v>521.7854000000001</v>
      </c>
      <c r="M75" s="4">
        <v>591.55600000000004</v>
      </c>
      <c r="N75" s="4">
        <f t="shared" si="20"/>
        <v>670.33220000000006</v>
      </c>
      <c r="O75" s="4">
        <f t="shared" si="20"/>
        <v>749.10840000000007</v>
      </c>
      <c r="P75" s="4">
        <f t="shared" si="20"/>
        <v>827.88459999999998</v>
      </c>
      <c r="Q75" s="4">
        <f t="shared" si="20"/>
        <v>906.66079999999999</v>
      </c>
      <c r="R75" s="4">
        <v>985.43700000000001</v>
      </c>
      <c r="S75" s="4">
        <f t="shared" si="21"/>
        <v>1009.4596</v>
      </c>
      <c r="T75" s="4">
        <f t="shared" si="21"/>
        <v>1033.4821999999999</v>
      </c>
      <c r="U75" s="4">
        <f t="shared" si="21"/>
        <v>1057.5047999999999</v>
      </c>
      <c r="V75" s="4">
        <f t="shared" si="21"/>
        <v>1081.5273999999999</v>
      </c>
      <c r="W75" s="4">
        <v>1105.55</v>
      </c>
      <c r="X75" s="4">
        <f t="shared" si="22"/>
        <v>1119.0339999999999</v>
      </c>
      <c r="Y75" s="4">
        <f t="shared" si="22"/>
        <v>1132.518</v>
      </c>
      <c r="Z75" s="4">
        <f t="shared" si="22"/>
        <v>1146.002</v>
      </c>
      <c r="AA75" s="4">
        <f t="shared" si="22"/>
        <v>1159.4860000000001</v>
      </c>
      <c r="AB75" s="4">
        <v>1172.97</v>
      </c>
      <c r="AC75" s="4">
        <f t="shared" si="23"/>
        <v>1159.1780000000001</v>
      </c>
      <c r="AD75" s="4">
        <f t="shared" si="23"/>
        <v>1145.386</v>
      </c>
      <c r="AE75" s="4">
        <f t="shared" si="23"/>
        <v>1131.5940000000001</v>
      </c>
      <c r="AF75" s="4">
        <f t="shared" si="23"/>
        <v>1117.8019999999999</v>
      </c>
      <c r="AG75" s="4">
        <v>1104.01</v>
      </c>
      <c r="AH75" s="4">
        <f>SUM(Tableau2[[#This Row],[2022]:[2050]])</f>
        <v>23699.884999999998</v>
      </c>
    </row>
    <row r="76" spans="1:36" x14ac:dyDescent="0.3">
      <c r="A76" s="2" t="s">
        <v>85</v>
      </c>
      <c r="B76" s="2" t="s">
        <v>84</v>
      </c>
      <c r="C76" s="3" t="s">
        <v>18</v>
      </c>
      <c r="D76" s="2" t="s">
        <v>72</v>
      </c>
      <c r="E76" s="4">
        <v>69.739000000000004</v>
      </c>
      <c r="F76" s="4">
        <f t="shared" si="18"/>
        <v>87.506</v>
      </c>
      <c r="G76" s="4">
        <f t="shared" si="18"/>
        <v>105.273</v>
      </c>
      <c r="H76" s="4">
        <v>123.04</v>
      </c>
      <c r="I76" s="4">
        <f t="shared" si="19"/>
        <v>144.03460000000001</v>
      </c>
      <c r="J76" s="4">
        <f t="shared" si="19"/>
        <v>165.0292</v>
      </c>
      <c r="K76" s="4">
        <f t="shared" si="19"/>
        <v>186.02379999999999</v>
      </c>
      <c r="L76" s="4">
        <f t="shared" si="19"/>
        <v>207.01839999999999</v>
      </c>
      <c r="M76" s="4">
        <v>228.01300000000001</v>
      </c>
      <c r="N76" s="4">
        <f t="shared" si="20"/>
        <v>247.4812</v>
      </c>
      <c r="O76" s="4">
        <f t="shared" si="20"/>
        <v>266.94939999999997</v>
      </c>
      <c r="P76" s="4">
        <f t="shared" si="20"/>
        <v>286.41759999999999</v>
      </c>
      <c r="Q76" s="4">
        <f t="shared" si="20"/>
        <v>305.88580000000002</v>
      </c>
      <c r="R76" s="4">
        <v>325.35399999999998</v>
      </c>
      <c r="S76" s="4">
        <f t="shared" si="21"/>
        <v>346.9246</v>
      </c>
      <c r="T76" s="4">
        <f t="shared" si="21"/>
        <v>368.49520000000001</v>
      </c>
      <c r="U76" s="4">
        <f t="shared" si="21"/>
        <v>390.06579999999997</v>
      </c>
      <c r="V76" s="4">
        <f t="shared" si="21"/>
        <v>411.63639999999998</v>
      </c>
      <c r="W76" s="4">
        <v>433.20699999999999</v>
      </c>
      <c r="X76" s="4">
        <f t="shared" si="22"/>
        <v>444.73700000000002</v>
      </c>
      <c r="Y76" s="4">
        <f t="shared" si="22"/>
        <v>456.267</v>
      </c>
      <c r="Z76" s="4">
        <f t="shared" si="22"/>
        <v>467.79700000000003</v>
      </c>
      <c r="AA76" s="4">
        <f t="shared" si="22"/>
        <v>479.327</v>
      </c>
      <c r="AB76" s="4">
        <v>490.85700000000003</v>
      </c>
      <c r="AC76" s="4">
        <f t="shared" si="23"/>
        <v>485.85400000000004</v>
      </c>
      <c r="AD76" s="4">
        <f t="shared" si="23"/>
        <v>480.851</v>
      </c>
      <c r="AE76" s="4">
        <f t="shared" si="23"/>
        <v>475.84800000000001</v>
      </c>
      <c r="AF76" s="4">
        <f t="shared" si="23"/>
        <v>470.84499999999997</v>
      </c>
      <c r="AG76" s="4">
        <v>465.84199999999998</v>
      </c>
      <c r="AH76" s="5">
        <f>SUM(Tableau2[[#This Row],[2022]:[2050]])</f>
        <v>9416.3190000000013</v>
      </c>
    </row>
    <row r="77" spans="1:36" hidden="1" x14ac:dyDescent="0.3">
      <c r="A77" s="2" t="s">
        <v>85</v>
      </c>
      <c r="B77" s="2" t="s">
        <v>84</v>
      </c>
      <c r="C77" s="3" t="s">
        <v>18</v>
      </c>
      <c r="D77" s="2" t="s">
        <v>73</v>
      </c>
      <c r="E77" s="6">
        <v>69.739000000000004</v>
      </c>
      <c r="F77" s="6">
        <f t="shared" si="18"/>
        <v>94.913333333333341</v>
      </c>
      <c r="G77" s="6">
        <f t="shared" si="18"/>
        <v>120.08766666666668</v>
      </c>
      <c r="H77">
        <v>145.262</v>
      </c>
      <c r="I77" s="6">
        <f t="shared" si="19"/>
        <v>186.1036</v>
      </c>
      <c r="J77" s="6">
        <f t="shared" si="19"/>
        <v>226.9452</v>
      </c>
      <c r="K77" s="6">
        <f t="shared" si="19"/>
        <v>267.78680000000003</v>
      </c>
      <c r="L77" s="6">
        <f t="shared" si="19"/>
        <v>308.62840000000006</v>
      </c>
      <c r="M77">
        <v>349.47</v>
      </c>
      <c r="N77" s="6">
        <f t="shared" si="20"/>
        <v>413.83080000000001</v>
      </c>
      <c r="O77" s="6">
        <f t="shared" si="20"/>
        <v>478.19159999999999</v>
      </c>
      <c r="P77" s="6">
        <f t="shared" si="20"/>
        <v>542.55240000000003</v>
      </c>
      <c r="Q77" s="6">
        <f t="shared" si="20"/>
        <v>606.91319999999996</v>
      </c>
      <c r="R77">
        <v>671.274</v>
      </c>
      <c r="S77" s="6">
        <f t="shared" si="21"/>
        <v>718.42939999999999</v>
      </c>
      <c r="T77" s="6">
        <f t="shared" si="21"/>
        <v>765.58479999999997</v>
      </c>
      <c r="U77" s="6">
        <f t="shared" si="21"/>
        <v>812.74019999999996</v>
      </c>
      <c r="V77" s="6">
        <f t="shared" si="21"/>
        <v>859.89560000000006</v>
      </c>
      <c r="W77">
        <v>907.05100000000004</v>
      </c>
      <c r="X77" s="6">
        <f t="shared" si="22"/>
        <v>926.77480000000003</v>
      </c>
      <c r="Y77" s="6">
        <f t="shared" si="22"/>
        <v>946.49860000000001</v>
      </c>
      <c r="Z77" s="6">
        <f t="shared" si="22"/>
        <v>966.22239999999999</v>
      </c>
      <c r="AA77" s="6">
        <f t="shared" si="22"/>
        <v>985.94619999999998</v>
      </c>
      <c r="AB77">
        <v>1005.67</v>
      </c>
      <c r="AC77" s="6">
        <f t="shared" si="23"/>
        <v>1012.434</v>
      </c>
      <c r="AD77" s="6">
        <f t="shared" si="23"/>
        <v>1019.198</v>
      </c>
      <c r="AE77" s="6">
        <f t="shared" si="23"/>
        <v>1025.962</v>
      </c>
      <c r="AF77" s="6">
        <f t="shared" si="23"/>
        <v>1032.7260000000001</v>
      </c>
      <c r="AG77">
        <v>1039.49</v>
      </c>
      <c r="AH77" s="5">
        <f>SUM(Tableau2[[#This Row],[2022]:[2050]])</f>
        <v>18506.321</v>
      </c>
    </row>
    <row r="78" spans="1:36" x14ac:dyDescent="0.3">
      <c r="A78" s="2" t="s">
        <v>83</v>
      </c>
      <c r="B78" s="2" t="s">
        <v>84</v>
      </c>
      <c r="C78" s="3" t="s">
        <v>18</v>
      </c>
      <c r="D78" s="2" t="s">
        <v>74</v>
      </c>
      <c r="E78" s="7">
        <v>3.4353600000000002</v>
      </c>
      <c r="F78" s="4">
        <f t="shared" si="18"/>
        <v>6.0961733333333328</v>
      </c>
      <c r="G78" s="4">
        <f t="shared" si="18"/>
        <v>8.7569866666666663</v>
      </c>
      <c r="H78" s="4">
        <v>11.4178</v>
      </c>
      <c r="I78" s="4">
        <f t="shared" si="19"/>
        <v>16.506959999999999</v>
      </c>
      <c r="J78" s="4">
        <f t="shared" si="19"/>
        <v>21.596119999999999</v>
      </c>
      <c r="K78" s="4">
        <f t="shared" si="19"/>
        <v>26.685279999999999</v>
      </c>
      <c r="L78" s="4">
        <f t="shared" si="19"/>
        <v>31.774439999999998</v>
      </c>
      <c r="M78" s="4">
        <v>36.863599999999998</v>
      </c>
      <c r="N78" s="4">
        <f t="shared" si="20"/>
        <v>41.155679999999997</v>
      </c>
      <c r="O78" s="4">
        <f t="shared" si="20"/>
        <v>45.447760000000002</v>
      </c>
      <c r="P78" s="4">
        <f t="shared" si="20"/>
        <v>49.739840000000001</v>
      </c>
      <c r="Q78" s="4">
        <f t="shared" si="20"/>
        <v>54.03192</v>
      </c>
      <c r="R78" s="4">
        <v>58.323999999999998</v>
      </c>
      <c r="S78" s="4">
        <f t="shared" si="21"/>
        <v>63.038460000000001</v>
      </c>
      <c r="T78" s="4">
        <f t="shared" si="21"/>
        <v>67.752920000000003</v>
      </c>
      <c r="U78" s="4">
        <f t="shared" si="21"/>
        <v>72.467379999999991</v>
      </c>
      <c r="V78" s="4">
        <f t="shared" si="21"/>
        <v>77.181839999999994</v>
      </c>
      <c r="W78" s="4">
        <v>81.896299999999997</v>
      </c>
      <c r="X78" s="4">
        <f t="shared" si="22"/>
        <v>82.511439999999993</v>
      </c>
      <c r="Y78" s="4">
        <f t="shared" si="22"/>
        <v>83.12657999999999</v>
      </c>
      <c r="Z78" s="4">
        <f t="shared" si="22"/>
        <v>83.741720000000001</v>
      </c>
      <c r="AA78" s="4">
        <f t="shared" si="22"/>
        <v>84.356859999999998</v>
      </c>
      <c r="AB78" s="4">
        <v>84.971999999999994</v>
      </c>
      <c r="AC78" s="4">
        <f t="shared" si="23"/>
        <v>82.867959999999997</v>
      </c>
      <c r="AD78" s="4">
        <f t="shared" si="23"/>
        <v>80.763919999999999</v>
      </c>
      <c r="AE78" s="4">
        <f t="shared" si="23"/>
        <v>78.659880000000001</v>
      </c>
      <c r="AF78" s="4">
        <f t="shared" si="23"/>
        <v>76.555840000000003</v>
      </c>
      <c r="AG78" s="4">
        <v>74.451800000000006</v>
      </c>
      <c r="AH78" s="4">
        <f>SUM(Tableau2[[#This Row],[2022]:[2050]])</f>
        <v>1586.1768200000001</v>
      </c>
    </row>
    <row r="79" spans="1:36" x14ac:dyDescent="0.3">
      <c r="A79" s="2" t="s">
        <v>83</v>
      </c>
      <c r="B79" s="2" t="s">
        <v>84</v>
      </c>
      <c r="C79" s="3" t="s">
        <v>19</v>
      </c>
      <c r="D79" s="2" t="s">
        <v>72</v>
      </c>
      <c r="E79" s="7">
        <v>3.2273100000000001</v>
      </c>
      <c r="F79" s="4">
        <f t="shared" si="18"/>
        <v>3.1604666666666668</v>
      </c>
      <c r="G79" s="4">
        <f t="shared" si="18"/>
        <v>3.0936233333333334</v>
      </c>
      <c r="H79" s="4">
        <v>3.02678</v>
      </c>
      <c r="I79" s="4">
        <f t="shared" si="19"/>
        <v>3.4454959999999999</v>
      </c>
      <c r="J79" s="4">
        <f t="shared" si="19"/>
        <v>3.8642120000000002</v>
      </c>
      <c r="K79" s="4">
        <f t="shared" si="19"/>
        <v>4.2829280000000001</v>
      </c>
      <c r="L79" s="4">
        <f t="shared" si="19"/>
        <v>4.7016439999999999</v>
      </c>
      <c r="M79" s="4">
        <v>5.1203599999999998</v>
      </c>
      <c r="N79" s="4">
        <f t="shared" si="20"/>
        <v>5.1114660000000001</v>
      </c>
      <c r="O79" s="4">
        <f t="shared" si="20"/>
        <v>5.1025720000000003</v>
      </c>
      <c r="P79" s="4">
        <f t="shared" si="20"/>
        <v>5.0936779999999997</v>
      </c>
      <c r="Q79" s="4">
        <f t="shared" si="20"/>
        <v>5.084784</v>
      </c>
      <c r="R79" s="4">
        <v>5.0758900000000002</v>
      </c>
      <c r="S79" s="4">
        <f t="shared" si="21"/>
        <v>4.7021820000000005</v>
      </c>
      <c r="T79" s="4">
        <f t="shared" si="21"/>
        <v>4.3284739999999999</v>
      </c>
      <c r="U79" s="4">
        <f t="shared" si="21"/>
        <v>3.9547660000000002</v>
      </c>
      <c r="V79" s="4">
        <f t="shared" si="21"/>
        <v>3.5810580000000001</v>
      </c>
      <c r="W79" s="4">
        <v>3.2073499999999999</v>
      </c>
      <c r="X79" s="4">
        <f t="shared" si="22"/>
        <v>2.6378442</v>
      </c>
      <c r="Y79" s="4">
        <f t="shared" si="22"/>
        <v>2.0683384</v>
      </c>
      <c r="Z79" s="4">
        <f t="shared" si="22"/>
        <v>1.4988326000000001</v>
      </c>
      <c r="AA79" s="4">
        <f t="shared" si="22"/>
        <v>0.92932680000000012</v>
      </c>
      <c r="AB79" s="4">
        <v>0.359821</v>
      </c>
      <c r="AC79" s="4">
        <f t="shared" si="23"/>
        <v>0.28785680000000002</v>
      </c>
      <c r="AD79" s="4">
        <f t="shared" si="23"/>
        <v>0.21589259999999999</v>
      </c>
      <c r="AE79" s="4">
        <f t="shared" si="23"/>
        <v>0.14392839999999998</v>
      </c>
      <c r="AF79" s="4">
        <f t="shared" si="23"/>
        <v>7.1964199999999978E-2</v>
      </c>
      <c r="AG79" s="4">
        <v>0</v>
      </c>
      <c r="AH79" s="5">
        <f>SUM(Tableau2[[#This Row],[2022]:[2050]])</f>
        <v>87.378844999999998</v>
      </c>
    </row>
    <row r="80" spans="1:36" hidden="1" x14ac:dyDescent="0.3">
      <c r="A80" s="2" t="s">
        <v>83</v>
      </c>
      <c r="B80" s="2" t="s">
        <v>84</v>
      </c>
      <c r="C80" s="3" t="s">
        <v>19</v>
      </c>
      <c r="D80" s="2" t="s">
        <v>73</v>
      </c>
      <c r="E80" s="2">
        <v>3.2273100000000001</v>
      </c>
      <c r="F80" s="6">
        <f t="shared" si="18"/>
        <v>3.5203866666666666</v>
      </c>
      <c r="G80" s="6">
        <f t="shared" si="18"/>
        <v>3.8134633333333334</v>
      </c>
      <c r="H80">
        <v>4.1065399999999999</v>
      </c>
      <c r="I80" s="6">
        <f t="shared" si="19"/>
        <v>4.889062</v>
      </c>
      <c r="J80" s="6">
        <f t="shared" si="19"/>
        <v>5.6715839999999993</v>
      </c>
      <c r="K80" s="6">
        <f t="shared" si="19"/>
        <v>6.4541059999999995</v>
      </c>
      <c r="L80" s="6">
        <f t="shared" si="19"/>
        <v>7.2366279999999996</v>
      </c>
      <c r="M80">
        <v>8.0191499999999998</v>
      </c>
      <c r="N80" s="6">
        <f t="shared" si="20"/>
        <v>7.9377879999999994</v>
      </c>
      <c r="O80" s="6">
        <f t="shared" si="20"/>
        <v>7.8564259999999999</v>
      </c>
      <c r="P80" s="6">
        <f t="shared" si="20"/>
        <v>7.7750639999999995</v>
      </c>
      <c r="Q80" s="6">
        <f t="shared" si="20"/>
        <v>7.693702</v>
      </c>
      <c r="R80">
        <v>7.6123399999999997</v>
      </c>
      <c r="S80" s="6">
        <f t="shared" si="21"/>
        <v>7.1596440000000001</v>
      </c>
      <c r="T80" s="6">
        <f t="shared" si="21"/>
        <v>6.7069479999999997</v>
      </c>
      <c r="U80" s="6">
        <f t="shared" si="21"/>
        <v>6.2542520000000001</v>
      </c>
      <c r="V80" s="6">
        <f t="shared" si="21"/>
        <v>5.8015559999999997</v>
      </c>
      <c r="W80">
        <v>5.3488600000000002</v>
      </c>
      <c r="X80" s="6">
        <f t="shared" si="22"/>
        <v>4.4035912000000001</v>
      </c>
      <c r="Y80" s="6">
        <f t="shared" si="22"/>
        <v>3.4583224000000001</v>
      </c>
      <c r="Z80" s="6">
        <f t="shared" si="22"/>
        <v>2.5130536000000001</v>
      </c>
      <c r="AA80" s="6">
        <f t="shared" si="22"/>
        <v>1.5677848000000001</v>
      </c>
      <c r="AB80">
        <v>0.62251599999999996</v>
      </c>
      <c r="AC80" s="6">
        <f t="shared" si="23"/>
        <v>0.49801279999999998</v>
      </c>
      <c r="AD80" s="6">
        <f t="shared" si="23"/>
        <v>0.3735096</v>
      </c>
      <c r="AE80" s="6">
        <f t="shared" si="23"/>
        <v>0.24900639999999996</v>
      </c>
      <c r="AF80" s="6">
        <f t="shared" si="23"/>
        <v>0.12450319999999998</v>
      </c>
      <c r="AG80">
        <v>0</v>
      </c>
      <c r="AH80" s="5">
        <f>SUM(Tableau2[[#This Row],[2022]:[2050]])</f>
        <v>130.89510999999999</v>
      </c>
      <c r="AJ80" s="4"/>
    </row>
    <row r="81" spans="1:34" x14ac:dyDescent="0.3">
      <c r="A81" s="2" t="s">
        <v>77</v>
      </c>
      <c r="B81" s="2" t="s">
        <v>82</v>
      </c>
      <c r="C81" s="3" t="s">
        <v>19</v>
      </c>
      <c r="D81" s="2" t="s">
        <v>74</v>
      </c>
      <c r="E81" s="4">
        <v>79.9953</v>
      </c>
      <c r="F81" s="4">
        <f t="shared" si="18"/>
        <v>101.46419999999999</v>
      </c>
      <c r="G81" s="4">
        <f t="shared" si="18"/>
        <v>122.9331</v>
      </c>
      <c r="H81" s="4">
        <v>144.40199999999999</v>
      </c>
      <c r="I81" s="4">
        <f t="shared" si="19"/>
        <v>177.07159999999999</v>
      </c>
      <c r="J81" s="4">
        <f t="shared" si="19"/>
        <v>209.74119999999999</v>
      </c>
      <c r="K81" s="4">
        <f t="shared" si="19"/>
        <v>242.41079999999999</v>
      </c>
      <c r="L81" s="4">
        <f t="shared" si="19"/>
        <v>275.0804</v>
      </c>
      <c r="M81" s="4">
        <v>307.75</v>
      </c>
      <c r="N81" s="4">
        <f t="shared" si="20"/>
        <v>304.16899999999998</v>
      </c>
      <c r="O81" s="4">
        <f t="shared" si="20"/>
        <v>300.58800000000002</v>
      </c>
      <c r="P81" s="4">
        <f t="shared" si="20"/>
        <v>297.00700000000001</v>
      </c>
      <c r="Q81" s="4">
        <f t="shared" si="20"/>
        <v>293.42600000000004</v>
      </c>
      <c r="R81" s="4">
        <v>289.84500000000003</v>
      </c>
      <c r="S81" s="4">
        <f t="shared" si="21"/>
        <v>278.75880000000001</v>
      </c>
      <c r="T81" s="4">
        <f t="shared" si="21"/>
        <v>267.67259999999999</v>
      </c>
      <c r="U81" s="4">
        <f t="shared" si="21"/>
        <v>256.58640000000003</v>
      </c>
      <c r="V81" s="4">
        <f t="shared" si="21"/>
        <v>245.50020000000001</v>
      </c>
      <c r="W81" s="4">
        <v>234.41399999999999</v>
      </c>
      <c r="X81" s="4">
        <f t="shared" si="22"/>
        <v>220.1816</v>
      </c>
      <c r="Y81" s="4">
        <f t="shared" si="22"/>
        <v>205.94919999999999</v>
      </c>
      <c r="Z81" s="4">
        <f t="shared" si="22"/>
        <v>191.71680000000001</v>
      </c>
      <c r="AA81" s="4">
        <f t="shared" si="22"/>
        <v>177.48439999999999</v>
      </c>
      <c r="AB81" s="4">
        <v>163.25200000000001</v>
      </c>
      <c r="AC81" s="4">
        <f t="shared" si="23"/>
        <v>178.9794</v>
      </c>
      <c r="AD81" s="4">
        <f t="shared" si="23"/>
        <v>194.70680000000002</v>
      </c>
      <c r="AE81" s="4">
        <f t="shared" si="23"/>
        <v>210.4342</v>
      </c>
      <c r="AF81" s="4">
        <f t="shared" si="23"/>
        <v>226.16160000000002</v>
      </c>
      <c r="AG81" s="4">
        <v>241.88900000000001</v>
      </c>
      <c r="AH81" s="4">
        <f>SUM(Tableau2[[#This Row],[2022]:[2050]])</f>
        <v>6439.5706000000009</v>
      </c>
    </row>
    <row r="82" spans="1:34" hidden="1" x14ac:dyDescent="0.3">
      <c r="A82" s="2" t="s">
        <v>85</v>
      </c>
      <c r="B82" s="2"/>
      <c r="C82" s="3" t="s">
        <v>19</v>
      </c>
      <c r="D82" s="2" t="s">
        <v>73</v>
      </c>
      <c r="E82" s="6">
        <v>75.369600000000005</v>
      </c>
      <c r="F82" s="6">
        <f t="shared" ref="F82:G101" si="24">(($H82-$E82)/($H$1-$E$1))*(F$1-$E$1)+$E82</f>
        <v>72.80683333333333</v>
      </c>
      <c r="G82" s="6">
        <f t="shared" si="24"/>
        <v>70.244066666666669</v>
      </c>
      <c r="H82">
        <v>67.681299999999993</v>
      </c>
      <c r="I82" s="6">
        <f t="shared" ref="I82:L101" si="25">(($M82-$H82)/($M$1-$H$1))*(I$1-$H$1)+$H82</f>
        <v>100.43844</v>
      </c>
      <c r="J82" s="6">
        <f t="shared" si="25"/>
        <v>133.19558000000001</v>
      </c>
      <c r="K82" s="6">
        <f t="shared" si="25"/>
        <v>165.95272</v>
      </c>
      <c r="L82" s="6">
        <f t="shared" si="25"/>
        <v>198.70986000000002</v>
      </c>
      <c r="M82">
        <v>231.46700000000001</v>
      </c>
      <c r="N82" s="6">
        <f t="shared" ref="N82:Q101" si="26">(($R82-$M82)/($R$1-$M$1))*(N$1-$M$1)+$M82</f>
        <v>304.20479999999998</v>
      </c>
      <c r="O82" s="6">
        <f t="shared" si="26"/>
        <v>376.94259999999997</v>
      </c>
      <c r="P82" s="6">
        <f t="shared" si="26"/>
        <v>449.68039999999996</v>
      </c>
      <c r="Q82" s="6">
        <f t="shared" si="26"/>
        <v>522.41819999999996</v>
      </c>
      <c r="R82">
        <v>595.15599999999995</v>
      </c>
      <c r="S82" s="6">
        <f t="shared" ref="S82:V101" si="27">(($W82-$R82)/($W$1-$R$1))*(S$1-$R$1)+$R82</f>
        <v>681.72679999999991</v>
      </c>
      <c r="T82" s="6">
        <f t="shared" si="27"/>
        <v>768.29759999999999</v>
      </c>
      <c r="U82" s="6">
        <f t="shared" si="27"/>
        <v>854.86839999999995</v>
      </c>
      <c r="V82" s="6">
        <f t="shared" si="27"/>
        <v>941.43920000000003</v>
      </c>
      <c r="W82">
        <v>1028.01</v>
      </c>
      <c r="X82" s="6">
        <f t="shared" ref="X82:AA101" si="28">(($AB82-$W82)/($AB$1-$W$1))*(X$1-$W$1)+$W82</f>
        <v>1124.088</v>
      </c>
      <c r="Y82" s="6">
        <f t="shared" si="28"/>
        <v>1220.1659999999999</v>
      </c>
      <c r="Z82" s="6">
        <f t="shared" si="28"/>
        <v>1316.2440000000001</v>
      </c>
      <c r="AA82" s="6">
        <f t="shared" si="28"/>
        <v>1412.3220000000001</v>
      </c>
      <c r="AB82">
        <v>1508.4</v>
      </c>
      <c r="AC82" s="6">
        <f t="shared" ref="AC82:AF101" si="29">(($AG82-$AB82)/($AG$1-$AB$1))*(AC$1-$AB$1)+$AB82</f>
        <v>1606.1860000000001</v>
      </c>
      <c r="AD82" s="6">
        <f t="shared" si="29"/>
        <v>1703.972</v>
      </c>
      <c r="AE82" s="6">
        <f t="shared" si="29"/>
        <v>1801.758</v>
      </c>
      <c r="AF82" s="6">
        <f t="shared" si="29"/>
        <v>1899.5439999999999</v>
      </c>
      <c r="AG82">
        <v>1997.33</v>
      </c>
      <c r="AH82" s="5">
        <f>SUM(Tableau2[[#This Row],[2022]:[2050]])</f>
        <v>23228.619400000003</v>
      </c>
    </row>
    <row r="83" spans="1:34" x14ac:dyDescent="0.3">
      <c r="A83" s="2" t="s">
        <v>85</v>
      </c>
      <c r="B83" s="2"/>
      <c r="C83" s="3" t="s">
        <v>19</v>
      </c>
      <c r="D83" s="2" t="s">
        <v>72</v>
      </c>
      <c r="E83" s="4">
        <v>75.369600000000005</v>
      </c>
      <c r="F83" s="4">
        <f t="shared" si="24"/>
        <v>69.543700000000001</v>
      </c>
      <c r="G83" s="4">
        <f t="shared" si="24"/>
        <v>63.717800000000004</v>
      </c>
      <c r="H83" s="4">
        <v>57.8919</v>
      </c>
      <c r="I83" s="4">
        <f t="shared" si="25"/>
        <v>76.78492</v>
      </c>
      <c r="J83" s="4">
        <f t="shared" si="25"/>
        <v>95.677940000000007</v>
      </c>
      <c r="K83" s="4">
        <f t="shared" si="25"/>
        <v>114.57096</v>
      </c>
      <c r="L83" s="4">
        <f t="shared" si="25"/>
        <v>133.46397999999999</v>
      </c>
      <c r="M83" s="4">
        <v>152.357</v>
      </c>
      <c r="N83" s="4">
        <f t="shared" si="26"/>
        <v>181.49719999999999</v>
      </c>
      <c r="O83" s="4">
        <f t="shared" si="26"/>
        <v>210.63740000000001</v>
      </c>
      <c r="P83" s="4">
        <f t="shared" si="26"/>
        <v>239.77760000000001</v>
      </c>
      <c r="Q83" s="4">
        <f t="shared" si="26"/>
        <v>268.9178</v>
      </c>
      <c r="R83" s="4">
        <v>298.05799999999999</v>
      </c>
      <c r="S83" s="4">
        <f t="shared" si="27"/>
        <v>342.74059999999997</v>
      </c>
      <c r="T83" s="4">
        <f t="shared" si="27"/>
        <v>387.42320000000001</v>
      </c>
      <c r="U83" s="4">
        <f t="shared" si="27"/>
        <v>432.10579999999999</v>
      </c>
      <c r="V83" s="4">
        <f t="shared" si="27"/>
        <v>476.78840000000002</v>
      </c>
      <c r="W83" s="4">
        <v>521.471</v>
      </c>
      <c r="X83" s="4">
        <f t="shared" si="28"/>
        <v>577.49260000000004</v>
      </c>
      <c r="Y83" s="4">
        <f t="shared" si="28"/>
        <v>633.51419999999996</v>
      </c>
      <c r="Z83" s="4">
        <f t="shared" si="28"/>
        <v>689.53579999999999</v>
      </c>
      <c r="AA83" s="4">
        <f t="shared" si="28"/>
        <v>745.55739999999992</v>
      </c>
      <c r="AB83" s="4">
        <v>801.57899999999995</v>
      </c>
      <c r="AC83" s="4">
        <f t="shared" si="29"/>
        <v>840.05199999999991</v>
      </c>
      <c r="AD83" s="4">
        <f t="shared" si="29"/>
        <v>878.52499999999998</v>
      </c>
      <c r="AE83" s="4">
        <f t="shared" si="29"/>
        <v>916.99799999999993</v>
      </c>
      <c r="AF83" s="4">
        <f t="shared" si="29"/>
        <v>955.471</v>
      </c>
      <c r="AG83" s="4">
        <v>993.94399999999996</v>
      </c>
      <c r="AH83" s="5">
        <f>SUM(Tableau2[[#This Row],[2022]:[2050]])</f>
        <v>12231.463799999996</v>
      </c>
    </row>
    <row r="84" spans="1:34" x14ac:dyDescent="0.3">
      <c r="A84" s="2" t="s">
        <v>85</v>
      </c>
      <c r="B84" s="2" t="s">
        <v>84</v>
      </c>
      <c r="C84" s="3" t="s">
        <v>19</v>
      </c>
      <c r="D84" s="2" t="s">
        <v>74</v>
      </c>
      <c r="E84" s="4">
        <v>75.369600000000005</v>
      </c>
      <c r="F84" s="4">
        <f t="shared" si="24"/>
        <v>87.880733333333339</v>
      </c>
      <c r="G84" s="4">
        <f t="shared" si="24"/>
        <v>100.39186666666667</v>
      </c>
      <c r="H84" s="4">
        <v>112.90300000000001</v>
      </c>
      <c r="I84" s="4">
        <f t="shared" si="25"/>
        <v>165.90880000000001</v>
      </c>
      <c r="J84" s="4">
        <f t="shared" si="25"/>
        <v>218.91460000000001</v>
      </c>
      <c r="K84" s="4">
        <f t="shared" si="25"/>
        <v>271.92040000000003</v>
      </c>
      <c r="L84" s="4">
        <f t="shared" si="25"/>
        <v>324.92619999999999</v>
      </c>
      <c r="M84" s="4">
        <v>377.93200000000002</v>
      </c>
      <c r="N84" s="4">
        <f t="shared" si="26"/>
        <v>465.62260000000003</v>
      </c>
      <c r="O84" s="4">
        <f t="shared" si="26"/>
        <v>553.31320000000005</v>
      </c>
      <c r="P84" s="4">
        <f t="shared" si="26"/>
        <v>641.00379999999996</v>
      </c>
      <c r="Q84" s="4">
        <f t="shared" si="26"/>
        <v>728.69439999999997</v>
      </c>
      <c r="R84" s="4">
        <v>816.38499999999999</v>
      </c>
      <c r="S84" s="4">
        <f t="shared" si="27"/>
        <v>878.33400000000006</v>
      </c>
      <c r="T84" s="4">
        <f t="shared" si="27"/>
        <v>940.28300000000002</v>
      </c>
      <c r="U84" s="4">
        <f t="shared" si="27"/>
        <v>1002.2320000000001</v>
      </c>
      <c r="V84" s="4">
        <f t="shared" si="27"/>
        <v>1064.181</v>
      </c>
      <c r="W84" s="4">
        <v>1126.1300000000001</v>
      </c>
      <c r="X84" s="4">
        <f t="shared" si="28"/>
        <v>1214.1280000000002</v>
      </c>
      <c r="Y84" s="4">
        <f t="shared" si="28"/>
        <v>1302.126</v>
      </c>
      <c r="Z84" s="4">
        <f t="shared" si="28"/>
        <v>1390.124</v>
      </c>
      <c r="AA84" s="4">
        <f t="shared" si="28"/>
        <v>1478.1219999999998</v>
      </c>
      <c r="AB84" s="4">
        <v>1566.12</v>
      </c>
      <c r="AC84" s="4">
        <f t="shared" si="29"/>
        <v>1638.242</v>
      </c>
      <c r="AD84" s="4">
        <f t="shared" si="29"/>
        <v>1710.364</v>
      </c>
      <c r="AE84" s="4">
        <f t="shared" si="29"/>
        <v>1782.4859999999999</v>
      </c>
      <c r="AF84" s="4">
        <f t="shared" si="29"/>
        <v>1854.6079999999999</v>
      </c>
      <c r="AG84" s="4">
        <v>1926.73</v>
      </c>
      <c r="AH84" s="4">
        <f>SUM(Tableau2[[#This Row],[2022]:[2050]])</f>
        <v>25815.376199999999</v>
      </c>
    </row>
    <row r="85" spans="1:34" x14ac:dyDescent="0.3">
      <c r="A85" s="2" t="s">
        <v>77</v>
      </c>
      <c r="B85" s="2" t="s">
        <v>82</v>
      </c>
      <c r="C85" s="3" t="s">
        <v>19</v>
      </c>
      <c r="D85" s="2" t="s">
        <v>72</v>
      </c>
      <c r="E85" s="4">
        <v>79.9953</v>
      </c>
      <c r="F85" s="4">
        <f t="shared" si="24"/>
        <v>82.013999999999996</v>
      </c>
      <c r="G85" s="4">
        <f t="shared" si="24"/>
        <v>84.032700000000006</v>
      </c>
      <c r="H85" s="4">
        <v>86.051400000000001</v>
      </c>
      <c r="I85" s="4">
        <f t="shared" si="25"/>
        <v>91.673320000000004</v>
      </c>
      <c r="J85" s="4">
        <f t="shared" si="25"/>
        <v>97.295240000000007</v>
      </c>
      <c r="K85" s="4">
        <f t="shared" si="25"/>
        <v>102.91716</v>
      </c>
      <c r="L85" s="4">
        <f t="shared" si="25"/>
        <v>108.53908</v>
      </c>
      <c r="M85" s="4">
        <v>114.161</v>
      </c>
      <c r="N85" s="4">
        <f t="shared" si="26"/>
        <v>113.533</v>
      </c>
      <c r="O85" s="4">
        <f t="shared" si="26"/>
        <v>112.905</v>
      </c>
      <c r="P85" s="4">
        <f t="shared" si="26"/>
        <v>112.277</v>
      </c>
      <c r="Q85" s="4">
        <f t="shared" si="26"/>
        <v>111.649</v>
      </c>
      <c r="R85" s="4">
        <v>111.021</v>
      </c>
      <c r="S85" s="4">
        <f t="shared" si="27"/>
        <v>109.4746</v>
      </c>
      <c r="T85" s="4">
        <f t="shared" si="27"/>
        <v>107.9282</v>
      </c>
      <c r="U85" s="4">
        <f t="shared" si="27"/>
        <v>106.3818</v>
      </c>
      <c r="V85" s="4">
        <f t="shared" si="27"/>
        <v>104.83540000000001</v>
      </c>
      <c r="W85" s="4">
        <v>103.289</v>
      </c>
      <c r="X85" s="4">
        <f t="shared" si="28"/>
        <v>108.123</v>
      </c>
      <c r="Y85" s="4">
        <f t="shared" si="28"/>
        <v>112.95700000000001</v>
      </c>
      <c r="Z85" s="4">
        <f t="shared" si="28"/>
        <v>117.791</v>
      </c>
      <c r="AA85" s="4">
        <f t="shared" si="28"/>
        <v>122.625</v>
      </c>
      <c r="AB85" s="4">
        <v>127.459</v>
      </c>
      <c r="AC85" s="4">
        <f t="shared" si="29"/>
        <v>130.12460000000002</v>
      </c>
      <c r="AD85" s="4">
        <f t="shared" si="29"/>
        <v>132.7902</v>
      </c>
      <c r="AE85" s="4">
        <f t="shared" si="29"/>
        <v>135.45580000000001</v>
      </c>
      <c r="AF85" s="4">
        <f t="shared" si="29"/>
        <v>138.12139999999999</v>
      </c>
      <c r="AG85" s="4">
        <v>140.78700000000001</v>
      </c>
      <c r="AH85" s="5">
        <f>SUM(Tableau2[[#This Row],[2022]:[2050]])</f>
        <v>3206.2071999999998</v>
      </c>
    </row>
    <row r="86" spans="1:34" x14ac:dyDescent="0.3">
      <c r="A86" s="2" t="s">
        <v>83</v>
      </c>
      <c r="B86" s="2" t="s">
        <v>84</v>
      </c>
      <c r="C86" s="3" t="s">
        <v>19</v>
      </c>
      <c r="D86" s="2" t="s">
        <v>74</v>
      </c>
      <c r="E86" s="7">
        <v>3.2273100000000001</v>
      </c>
      <c r="F86" s="4">
        <f t="shared" si="24"/>
        <v>4.1853366666666671</v>
      </c>
      <c r="G86" s="4">
        <f t="shared" si="24"/>
        <v>5.1433633333333333</v>
      </c>
      <c r="H86" s="4">
        <v>6.1013900000000003</v>
      </c>
      <c r="I86" s="4">
        <f t="shared" si="25"/>
        <v>8.0767120000000006</v>
      </c>
      <c r="J86" s="4">
        <f t="shared" si="25"/>
        <v>10.052033999999999</v>
      </c>
      <c r="K86" s="4">
        <f t="shared" si="25"/>
        <v>12.027355999999999</v>
      </c>
      <c r="L86" s="4">
        <f t="shared" si="25"/>
        <v>14.002678</v>
      </c>
      <c r="M86" s="4">
        <v>15.978</v>
      </c>
      <c r="N86" s="4">
        <f t="shared" si="26"/>
        <v>15.696400000000001</v>
      </c>
      <c r="O86" s="4">
        <f t="shared" si="26"/>
        <v>15.4148</v>
      </c>
      <c r="P86" s="4">
        <f t="shared" si="26"/>
        <v>15.1332</v>
      </c>
      <c r="Q86" s="4">
        <f t="shared" si="26"/>
        <v>14.851599999999999</v>
      </c>
      <c r="R86" s="4">
        <v>14.57</v>
      </c>
      <c r="S86" s="4">
        <f t="shared" si="27"/>
        <v>13.607628</v>
      </c>
      <c r="T86" s="4">
        <f t="shared" si="27"/>
        <v>12.645256</v>
      </c>
      <c r="U86" s="4">
        <f t="shared" si="27"/>
        <v>11.682884</v>
      </c>
      <c r="V86" s="4">
        <f t="shared" si="27"/>
        <v>10.720511999999999</v>
      </c>
      <c r="W86" s="4">
        <v>9.7581399999999991</v>
      </c>
      <c r="X86" s="4">
        <f t="shared" si="28"/>
        <v>8.0279499999999988</v>
      </c>
      <c r="Y86" s="4">
        <f t="shared" si="28"/>
        <v>6.2977599999999994</v>
      </c>
      <c r="Z86" s="4">
        <f t="shared" si="28"/>
        <v>4.5675699999999999</v>
      </c>
      <c r="AA86" s="4">
        <f t="shared" si="28"/>
        <v>2.8373799999999996</v>
      </c>
      <c r="AB86" s="4">
        <v>1.1071899999999999</v>
      </c>
      <c r="AC86" s="4">
        <f t="shared" si="29"/>
        <v>0.88575199999999987</v>
      </c>
      <c r="AD86" s="4">
        <f t="shared" si="29"/>
        <v>0.66431399999999996</v>
      </c>
      <c r="AE86" s="4">
        <f t="shared" si="29"/>
        <v>0.44287600000000005</v>
      </c>
      <c r="AF86" s="4">
        <f t="shared" si="29"/>
        <v>0.22143800000000002</v>
      </c>
      <c r="AG86" s="4">
        <v>0</v>
      </c>
      <c r="AH86" s="4">
        <f>SUM(Tableau2[[#This Row],[2022]:[2050]])</f>
        <v>237.92682999999997</v>
      </c>
    </row>
    <row r="87" spans="1:34" hidden="1" x14ac:dyDescent="0.3">
      <c r="A87" s="2" t="s">
        <v>77</v>
      </c>
      <c r="B87" s="2" t="s">
        <v>82</v>
      </c>
      <c r="C87" s="3" t="s">
        <v>19</v>
      </c>
      <c r="D87" s="2" t="s">
        <v>73</v>
      </c>
      <c r="E87" s="6">
        <v>79.9953</v>
      </c>
      <c r="F87" s="6">
        <f t="shared" si="24"/>
        <v>89.095200000000006</v>
      </c>
      <c r="G87" s="6">
        <f t="shared" si="24"/>
        <v>98.195099999999996</v>
      </c>
      <c r="H87">
        <v>107.295</v>
      </c>
      <c r="I87" s="6">
        <f t="shared" si="25"/>
        <v>118.43640000000001</v>
      </c>
      <c r="J87" s="6">
        <f t="shared" si="25"/>
        <v>129.5778</v>
      </c>
      <c r="K87" s="6">
        <f t="shared" si="25"/>
        <v>140.7192</v>
      </c>
      <c r="L87" s="6">
        <f t="shared" si="25"/>
        <v>151.86060000000001</v>
      </c>
      <c r="M87">
        <v>163.00200000000001</v>
      </c>
      <c r="N87" s="6">
        <f t="shared" si="26"/>
        <v>166.7748</v>
      </c>
      <c r="O87" s="6">
        <f t="shared" si="26"/>
        <v>170.54760000000002</v>
      </c>
      <c r="P87" s="6">
        <f t="shared" si="26"/>
        <v>174.32040000000001</v>
      </c>
      <c r="Q87" s="6">
        <f t="shared" si="26"/>
        <v>178.09320000000002</v>
      </c>
      <c r="R87">
        <v>181.86600000000001</v>
      </c>
      <c r="S87" s="6">
        <f t="shared" si="27"/>
        <v>182.6062</v>
      </c>
      <c r="T87" s="6">
        <f t="shared" si="27"/>
        <v>183.34640000000002</v>
      </c>
      <c r="U87" s="6">
        <f t="shared" si="27"/>
        <v>184.0866</v>
      </c>
      <c r="V87" s="6">
        <f t="shared" si="27"/>
        <v>184.82680000000002</v>
      </c>
      <c r="W87">
        <v>185.56700000000001</v>
      </c>
      <c r="X87" s="6">
        <f t="shared" si="28"/>
        <v>185.28880000000001</v>
      </c>
      <c r="Y87" s="6">
        <f t="shared" si="28"/>
        <v>185.01060000000001</v>
      </c>
      <c r="Z87" s="6">
        <f t="shared" si="28"/>
        <v>184.73239999999998</v>
      </c>
      <c r="AA87" s="6">
        <f t="shared" si="28"/>
        <v>184.45419999999999</v>
      </c>
      <c r="AB87">
        <v>184.17599999999999</v>
      </c>
      <c r="AC87" s="6">
        <f t="shared" si="29"/>
        <v>188.29759999999999</v>
      </c>
      <c r="AD87" s="6">
        <f t="shared" si="29"/>
        <v>192.41919999999999</v>
      </c>
      <c r="AE87" s="6">
        <f t="shared" si="29"/>
        <v>196.54079999999999</v>
      </c>
      <c r="AF87" s="6">
        <f t="shared" si="29"/>
        <v>200.66239999999999</v>
      </c>
      <c r="AG87">
        <v>204.78399999999999</v>
      </c>
      <c r="AH87" s="5">
        <f>SUM(Tableau2[[#This Row],[2022]:[2050]])</f>
        <v>4776.5775999999996</v>
      </c>
    </row>
    <row r="88" spans="1:34" x14ac:dyDescent="0.3">
      <c r="A88" s="2" t="s">
        <v>75</v>
      </c>
      <c r="B88" s="2" t="s">
        <v>82</v>
      </c>
      <c r="C88" s="3" t="s">
        <v>20</v>
      </c>
      <c r="D88" s="2" t="s">
        <v>72</v>
      </c>
      <c r="E88" s="4">
        <v>0.14333199999999999</v>
      </c>
      <c r="F88" s="4">
        <f t="shared" si="24"/>
        <v>0.15417166666666665</v>
      </c>
      <c r="G88" s="4">
        <f t="shared" si="24"/>
        <v>0.16501133333333334</v>
      </c>
      <c r="H88" s="4">
        <v>0.17585100000000001</v>
      </c>
      <c r="I88" s="4">
        <f t="shared" si="25"/>
        <v>0.18248059999999999</v>
      </c>
      <c r="J88" s="4">
        <f t="shared" si="25"/>
        <v>0.18911020000000001</v>
      </c>
      <c r="K88" s="4">
        <f t="shared" si="25"/>
        <v>0.19573979999999999</v>
      </c>
      <c r="L88" s="4">
        <f t="shared" si="25"/>
        <v>0.2023694</v>
      </c>
      <c r="M88" s="4">
        <v>0.20899899999999999</v>
      </c>
      <c r="N88" s="4">
        <f t="shared" si="26"/>
        <v>0.2110302</v>
      </c>
      <c r="O88" s="4">
        <f t="shared" si="26"/>
        <v>0.21306139999999998</v>
      </c>
      <c r="P88" s="4">
        <f t="shared" si="26"/>
        <v>0.21509259999999999</v>
      </c>
      <c r="Q88" s="4">
        <f t="shared" si="26"/>
        <v>0.21712379999999998</v>
      </c>
      <c r="R88" s="4">
        <v>0.21915499999999999</v>
      </c>
      <c r="S88" s="4">
        <f t="shared" si="27"/>
        <v>0.22080839999999999</v>
      </c>
      <c r="T88" s="4">
        <f t="shared" si="27"/>
        <v>0.22246179999999999</v>
      </c>
      <c r="U88" s="4">
        <f t="shared" si="27"/>
        <v>0.22411520000000001</v>
      </c>
      <c r="V88" s="4">
        <f t="shared" si="27"/>
        <v>0.22576860000000001</v>
      </c>
      <c r="W88" s="4">
        <v>0.22742200000000001</v>
      </c>
      <c r="X88" s="4">
        <f t="shared" si="28"/>
        <v>0.23042000000000001</v>
      </c>
      <c r="Y88" s="4">
        <f t="shared" si="28"/>
        <v>0.23341800000000001</v>
      </c>
      <c r="Z88" s="4">
        <f t="shared" si="28"/>
        <v>0.23641599999999999</v>
      </c>
      <c r="AA88" s="4">
        <f t="shared" si="28"/>
        <v>0.23941399999999999</v>
      </c>
      <c r="AB88" s="4">
        <v>0.24241199999999999</v>
      </c>
      <c r="AC88" s="4">
        <f t="shared" si="29"/>
        <v>0.2429992</v>
      </c>
      <c r="AD88" s="4">
        <f t="shared" si="29"/>
        <v>0.24358640000000001</v>
      </c>
      <c r="AE88" s="4">
        <f t="shared" si="29"/>
        <v>0.24417359999999999</v>
      </c>
      <c r="AF88" s="4">
        <f t="shared" si="29"/>
        <v>0.2447608</v>
      </c>
      <c r="AG88" s="4">
        <v>0.24534800000000001</v>
      </c>
      <c r="AH88" s="5">
        <f>SUM(Tableau2[[#This Row],[2022]:[2050]])</f>
        <v>6.2160519999999995</v>
      </c>
    </row>
    <row r="89" spans="1:34" x14ac:dyDescent="0.3">
      <c r="A89" s="2" t="s">
        <v>77</v>
      </c>
      <c r="B89" s="2" t="s">
        <v>82</v>
      </c>
      <c r="C89" s="3" t="s">
        <v>20</v>
      </c>
      <c r="D89" s="2" t="s">
        <v>74</v>
      </c>
      <c r="E89" s="4">
        <v>10.530099999999999</v>
      </c>
      <c r="F89" s="4">
        <f t="shared" si="24"/>
        <v>13.353566666666666</v>
      </c>
      <c r="G89" s="4">
        <f t="shared" si="24"/>
        <v>16.177033333333334</v>
      </c>
      <c r="H89" s="4">
        <v>19.000499999999999</v>
      </c>
      <c r="I89" s="4">
        <f t="shared" si="25"/>
        <v>23.344439999999999</v>
      </c>
      <c r="J89" s="4">
        <f t="shared" si="25"/>
        <v>27.688379999999999</v>
      </c>
      <c r="K89" s="4">
        <f t="shared" si="25"/>
        <v>32.032319999999999</v>
      </c>
      <c r="L89" s="4">
        <f t="shared" si="25"/>
        <v>36.376260000000002</v>
      </c>
      <c r="M89" s="4">
        <v>40.720199999999998</v>
      </c>
      <c r="N89" s="4">
        <f t="shared" si="26"/>
        <v>40.278179999999999</v>
      </c>
      <c r="O89" s="4">
        <f t="shared" si="26"/>
        <v>39.83616</v>
      </c>
      <c r="P89" s="4">
        <f t="shared" si="26"/>
        <v>39.39414</v>
      </c>
      <c r="Q89" s="4">
        <f t="shared" si="26"/>
        <v>38.952120000000001</v>
      </c>
      <c r="R89" s="4">
        <v>38.510100000000001</v>
      </c>
      <c r="S89" s="4">
        <f t="shared" si="27"/>
        <v>37.081980000000001</v>
      </c>
      <c r="T89" s="4">
        <f t="shared" si="27"/>
        <v>35.653860000000002</v>
      </c>
      <c r="U89" s="4">
        <f t="shared" si="27"/>
        <v>34.225740000000002</v>
      </c>
      <c r="V89" s="4">
        <f t="shared" si="27"/>
        <v>32.797620000000002</v>
      </c>
      <c r="W89" s="4">
        <v>31.369499999999999</v>
      </c>
      <c r="X89" s="4">
        <f t="shared" si="28"/>
        <v>29.458779999999997</v>
      </c>
      <c r="Y89" s="4">
        <f t="shared" si="28"/>
        <v>27.54806</v>
      </c>
      <c r="Z89" s="4">
        <f t="shared" si="28"/>
        <v>25.637339999999998</v>
      </c>
      <c r="AA89" s="4">
        <f t="shared" si="28"/>
        <v>23.726619999999997</v>
      </c>
      <c r="AB89" s="4">
        <v>21.815899999999999</v>
      </c>
      <c r="AC89" s="4">
        <f t="shared" si="29"/>
        <v>23.925619999999999</v>
      </c>
      <c r="AD89" s="4">
        <f t="shared" si="29"/>
        <v>26.035339999999998</v>
      </c>
      <c r="AE89" s="4">
        <f t="shared" si="29"/>
        <v>28.145060000000001</v>
      </c>
      <c r="AF89" s="4">
        <f t="shared" si="29"/>
        <v>30.25478</v>
      </c>
      <c r="AG89" s="4">
        <v>32.3645</v>
      </c>
      <c r="AH89" s="4">
        <f>SUM(Tableau2[[#This Row],[2022]:[2050]])</f>
        <v>856.23419999999999</v>
      </c>
    </row>
    <row r="90" spans="1:34" hidden="1" x14ac:dyDescent="0.3">
      <c r="A90" s="2" t="s">
        <v>75</v>
      </c>
      <c r="B90" s="2" t="s">
        <v>82</v>
      </c>
      <c r="C90" s="3" t="s">
        <v>20</v>
      </c>
      <c r="D90" s="2" t="s">
        <v>73</v>
      </c>
      <c r="E90" s="6">
        <v>0.14333199999999999</v>
      </c>
      <c r="F90" s="6">
        <f t="shared" si="24"/>
        <v>0.16418866666666665</v>
      </c>
      <c r="G90" s="6">
        <f t="shared" si="24"/>
        <v>0.18504533333333334</v>
      </c>
      <c r="H90" s="6">
        <v>0.205902</v>
      </c>
      <c r="I90" s="6">
        <f t="shared" si="25"/>
        <v>0.21599399999999999</v>
      </c>
      <c r="J90" s="6">
        <f t="shared" si="25"/>
        <v>0.22608599999999998</v>
      </c>
      <c r="K90" s="6">
        <f t="shared" si="25"/>
        <v>0.236178</v>
      </c>
      <c r="L90" s="6">
        <f t="shared" si="25"/>
        <v>0.24626999999999999</v>
      </c>
      <c r="M90" s="6">
        <v>0.25636199999999998</v>
      </c>
      <c r="N90" s="6">
        <f t="shared" si="26"/>
        <v>0.26442159999999998</v>
      </c>
      <c r="O90" s="6">
        <f t="shared" si="26"/>
        <v>0.27248119999999998</v>
      </c>
      <c r="P90" s="6">
        <f t="shared" si="26"/>
        <v>0.28054079999999998</v>
      </c>
      <c r="Q90" s="6">
        <f t="shared" si="26"/>
        <v>0.28860039999999998</v>
      </c>
      <c r="R90" s="6">
        <v>0.29665999999999998</v>
      </c>
      <c r="S90" s="6">
        <f t="shared" si="27"/>
        <v>0.29618819999999996</v>
      </c>
      <c r="T90" s="6">
        <f t="shared" si="27"/>
        <v>0.29571639999999999</v>
      </c>
      <c r="U90" s="6">
        <f t="shared" si="27"/>
        <v>0.29524459999999997</v>
      </c>
      <c r="V90" s="6">
        <f t="shared" si="27"/>
        <v>0.2947728</v>
      </c>
      <c r="W90" s="6">
        <v>0.29430099999999998</v>
      </c>
      <c r="X90" s="6">
        <f t="shared" si="28"/>
        <v>0.29297039999999996</v>
      </c>
      <c r="Y90" s="6">
        <f t="shared" si="28"/>
        <v>0.2916398</v>
      </c>
      <c r="Z90" s="6">
        <f t="shared" si="28"/>
        <v>0.29030919999999999</v>
      </c>
      <c r="AA90" s="6">
        <f t="shared" si="28"/>
        <v>0.28897860000000003</v>
      </c>
      <c r="AB90" s="6">
        <v>0.28764800000000001</v>
      </c>
      <c r="AC90" s="6">
        <f t="shared" si="29"/>
        <v>0.28592780000000001</v>
      </c>
      <c r="AD90" s="6">
        <f t="shared" si="29"/>
        <v>0.2842076</v>
      </c>
      <c r="AE90" s="6">
        <f t="shared" si="29"/>
        <v>0.2824874</v>
      </c>
      <c r="AF90" s="6">
        <f t="shared" si="29"/>
        <v>0.28076719999999999</v>
      </c>
      <c r="AG90" s="6">
        <v>0.27904699999999999</v>
      </c>
      <c r="AH90" s="5">
        <f>SUM(Tableau2[[#This Row],[2022]:[2050]])</f>
        <v>7.6222679999999992</v>
      </c>
    </row>
    <row r="91" spans="1:34" hidden="1" x14ac:dyDescent="0.3">
      <c r="A91" s="2" t="s">
        <v>77</v>
      </c>
      <c r="B91" s="2" t="s">
        <v>82</v>
      </c>
      <c r="C91" s="3" t="s">
        <v>20</v>
      </c>
      <c r="D91" s="2" t="s">
        <v>73</v>
      </c>
      <c r="E91" s="6">
        <v>10.530099999999999</v>
      </c>
      <c r="F91" s="6">
        <f t="shared" si="24"/>
        <v>11.736133333333333</v>
      </c>
      <c r="G91" s="6">
        <f t="shared" si="24"/>
        <v>12.942166666666665</v>
      </c>
      <c r="H91">
        <v>14.148199999999999</v>
      </c>
      <c r="I91" s="6">
        <f t="shared" si="25"/>
        <v>15.6401</v>
      </c>
      <c r="J91" s="6">
        <f t="shared" si="25"/>
        <v>17.132000000000001</v>
      </c>
      <c r="K91" s="6">
        <f t="shared" si="25"/>
        <v>18.623899999999999</v>
      </c>
      <c r="L91" s="6">
        <f t="shared" si="25"/>
        <v>20.1158</v>
      </c>
      <c r="M91">
        <v>21.607700000000001</v>
      </c>
      <c r="N91" s="6">
        <f t="shared" si="26"/>
        <v>22.124919999999999</v>
      </c>
      <c r="O91" s="6">
        <f t="shared" si="26"/>
        <v>22.642140000000001</v>
      </c>
      <c r="P91" s="6">
        <f t="shared" si="26"/>
        <v>23.15936</v>
      </c>
      <c r="Q91" s="6">
        <f t="shared" si="26"/>
        <v>23.676580000000001</v>
      </c>
      <c r="R91">
        <v>24.1938</v>
      </c>
      <c r="S91" s="6">
        <f t="shared" si="27"/>
        <v>24.306159999999998</v>
      </c>
      <c r="T91" s="6">
        <f t="shared" si="27"/>
        <v>24.418520000000001</v>
      </c>
      <c r="U91" s="6">
        <f t="shared" si="27"/>
        <v>24.53088</v>
      </c>
      <c r="V91" s="6">
        <f t="shared" si="27"/>
        <v>24.643240000000002</v>
      </c>
      <c r="W91">
        <v>24.755600000000001</v>
      </c>
      <c r="X91" s="6">
        <f t="shared" si="28"/>
        <v>24.729220000000002</v>
      </c>
      <c r="Y91" s="6">
        <f t="shared" si="28"/>
        <v>24.702840000000002</v>
      </c>
      <c r="Z91" s="6">
        <f t="shared" si="28"/>
        <v>24.676459999999999</v>
      </c>
      <c r="AA91" s="6">
        <f t="shared" si="28"/>
        <v>24.650079999999999</v>
      </c>
      <c r="AB91">
        <v>24.623699999999999</v>
      </c>
      <c r="AC91" s="6">
        <f t="shared" si="29"/>
        <v>25.182040000000001</v>
      </c>
      <c r="AD91" s="6">
        <f t="shared" si="29"/>
        <v>25.740380000000002</v>
      </c>
      <c r="AE91" s="6">
        <f t="shared" si="29"/>
        <v>26.298719999999999</v>
      </c>
      <c r="AF91" s="6">
        <f t="shared" si="29"/>
        <v>26.857060000000001</v>
      </c>
      <c r="AG91">
        <v>27.415400000000002</v>
      </c>
      <c r="AH91" s="5">
        <f>SUM(Tableau2[[#This Row],[2022]:[2050]])</f>
        <v>635.80319999999995</v>
      </c>
    </row>
    <row r="92" spans="1:34" x14ac:dyDescent="0.3">
      <c r="A92" s="2" t="s">
        <v>77</v>
      </c>
      <c r="B92" s="2" t="s">
        <v>82</v>
      </c>
      <c r="C92" s="3" t="s">
        <v>20</v>
      </c>
      <c r="D92" s="2" t="s">
        <v>72</v>
      </c>
      <c r="E92" s="4">
        <v>10.530099999999999</v>
      </c>
      <c r="F92" s="4">
        <f t="shared" si="24"/>
        <v>10.7989</v>
      </c>
      <c r="G92" s="4">
        <f t="shared" si="24"/>
        <v>11.067699999999999</v>
      </c>
      <c r="H92" s="4">
        <v>11.336499999999999</v>
      </c>
      <c r="I92" s="4">
        <f t="shared" si="25"/>
        <v>12.10568</v>
      </c>
      <c r="J92" s="4">
        <f t="shared" si="25"/>
        <v>12.87486</v>
      </c>
      <c r="K92" s="4">
        <f t="shared" si="25"/>
        <v>13.64404</v>
      </c>
      <c r="L92" s="4">
        <f t="shared" si="25"/>
        <v>14.413219999999999</v>
      </c>
      <c r="M92" s="4">
        <v>15.182399999999999</v>
      </c>
      <c r="N92" s="4">
        <f t="shared" si="26"/>
        <v>15.09886</v>
      </c>
      <c r="O92" s="4">
        <f t="shared" si="26"/>
        <v>15.015319999999999</v>
      </c>
      <c r="P92" s="4">
        <f t="shared" si="26"/>
        <v>14.93178</v>
      </c>
      <c r="Q92" s="4">
        <f t="shared" si="26"/>
        <v>14.848239999999999</v>
      </c>
      <c r="R92" s="4">
        <v>14.764699999999999</v>
      </c>
      <c r="S92" s="4">
        <f t="shared" si="27"/>
        <v>14.563039999999999</v>
      </c>
      <c r="T92" s="4">
        <f t="shared" si="27"/>
        <v>14.361379999999999</v>
      </c>
      <c r="U92" s="4">
        <f t="shared" si="27"/>
        <v>14.15972</v>
      </c>
      <c r="V92" s="4">
        <f t="shared" si="27"/>
        <v>13.95806</v>
      </c>
      <c r="W92" s="4">
        <v>13.756399999999999</v>
      </c>
      <c r="X92" s="4">
        <f t="shared" si="28"/>
        <v>14.400700000000001</v>
      </c>
      <c r="Y92" s="4">
        <f t="shared" si="28"/>
        <v>15.045</v>
      </c>
      <c r="Z92" s="4">
        <f t="shared" si="28"/>
        <v>15.689300000000001</v>
      </c>
      <c r="AA92" s="4">
        <f t="shared" si="28"/>
        <v>16.333600000000001</v>
      </c>
      <c r="AB92" s="4">
        <v>16.977900000000002</v>
      </c>
      <c r="AC92" s="4">
        <f t="shared" si="29"/>
        <v>17.342920000000003</v>
      </c>
      <c r="AD92" s="4">
        <f t="shared" si="29"/>
        <v>17.707940000000001</v>
      </c>
      <c r="AE92" s="4">
        <f t="shared" si="29"/>
        <v>18.072960000000002</v>
      </c>
      <c r="AF92" s="4">
        <f t="shared" si="29"/>
        <v>18.43798</v>
      </c>
      <c r="AG92" s="4">
        <v>18.803000000000001</v>
      </c>
      <c r="AH92" s="5">
        <f>SUM(Tableau2[[#This Row],[2022]:[2050]])</f>
        <v>426.22219999999999</v>
      </c>
    </row>
    <row r="93" spans="1:34" x14ac:dyDescent="0.3">
      <c r="A93" s="2" t="s">
        <v>75</v>
      </c>
      <c r="B93" s="2" t="s">
        <v>82</v>
      </c>
      <c r="C93" s="3" t="s">
        <v>20</v>
      </c>
      <c r="D93" s="2" t="s">
        <v>74</v>
      </c>
      <c r="E93" s="4">
        <v>0.14333199999999999</v>
      </c>
      <c r="F93" s="4">
        <f t="shared" si="24"/>
        <v>0.18803299999999998</v>
      </c>
      <c r="G93" s="4">
        <f t="shared" si="24"/>
        <v>0.232734</v>
      </c>
      <c r="H93" s="4">
        <v>0.27743499999999999</v>
      </c>
      <c r="I93" s="4">
        <f t="shared" si="25"/>
        <v>0.30329159999999999</v>
      </c>
      <c r="J93" s="4">
        <f t="shared" si="25"/>
        <v>0.3291482</v>
      </c>
      <c r="K93" s="4">
        <f t="shared" si="25"/>
        <v>0.35500480000000001</v>
      </c>
      <c r="L93" s="4">
        <f t="shared" si="25"/>
        <v>0.38086140000000002</v>
      </c>
      <c r="M93" s="4">
        <v>0.40671800000000002</v>
      </c>
      <c r="N93" s="4">
        <f t="shared" si="26"/>
        <v>0.40938960000000002</v>
      </c>
      <c r="O93" s="4">
        <f t="shared" si="26"/>
        <v>0.41206120000000002</v>
      </c>
      <c r="P93" s="4">
        <f t="shared" si="26"/>
        <v>0.41473280000000001</v>
      </c>
      <c r="Q93" s="4">
        <f t="shared" si="26"/>
        <v>0.41740440000000001</v>
      </c>
      <c r="R93" s="4">
        <v>0.420076</v>
      </c>
      <c r="S93" s="4">
        <f t="shared" si="27"/>
        <v>0.41566940000000002</v>
      </c>
      <c r="T93" s="4">
        <f t="shared" si="27"/>
        <v>0.41126279999999998</v>
      </c>
      <c r="U93" s="4">
        <f t="shared" si="27"/>
        <v>0.4068562</v>
      </c>
      <c r="V93" s="4">
        <f t="shared" si="27"/>
        <v>0.40244959999999996</v>
      </c>
      <c r="W93" s="4">
        <v>0.39804299999999998</v>
      </c>
      <c r="X93" s="4">
        <f t="shared" si="28"/>
        <v>0.37404679999999996</v>
      </c>
      <c r="Y93" s="4">
        <f t="shared" si="28"/>
        <v>0.35005059999999999</v>
      </c>
      <c r="Z93" s="4">
        <f t="shared" si="28"/>
        <v>0.32605439999999997</v>
      </c>
      <c r="AA93" s="4">
        <f t="shared" si="28"/>
        <v>0.30205819999999994</v>
      </c>
      <c r="AB93" s="4">
        <v>0.27806199999999998</v>
      </c>
      <c r="AC93" s="4">
        <f t="shared" si="29"/>
        <v>0.27499459999999998</v>
      </c>
      <c r="AD93" s="4">
        <f t="shared" si="29"/>
        <v>0.27192719999999998</v>
      </c>
      <c r="AE93" s="4">
        <f t="shared" si="29"/>
        <v>0.26885979999999998</v>
      </c>
      <c r="AF93" s="4">
        <f t="shared" si="29"/>
        <v>0.26579239999999998</v>
      </c>
      <c r="AG93" s="4">
        <v>0.26272499999999999</v>
      </c>
      <c r="AH93" s="4">
        <f>SUM(Tableau2[[#This Row],[2022]:[2050]])</f>
        <v>9.6990740000000013</v>
      </c>
    </row>
    <row r="94" spans="1:34" hidden="1" x14ac:dyDescent="0.3">
      <c r="A94" s="2" t="s">
        <v>85</v>
      </c>
      <c r="B94" s="2" t="s">
        <v>78</v>
      </c>
      <c r="C94" s="3" t="s">
        <v>21</v>
      </c>
      <c r="D94" s="2" t="s">
        <v>73</v>
      </c>
      <c r="E94" s="6">
        <v>3.9619399999999998</v>
      </c>
      <c r="F94" s="6">
        <f t="shared" si="24"/>
        <v>5.4423666666666666</v>
      </c>
      <c r="G94" s="6">
        <f t="shared" si="24"/>
        <v>6.9227933333333329</v>
      </c>
      <c r="H94">
        <v>8.4032199999999992</v>
      </c>
      <c r="I94" s="6">
        <f t="shared" si="25"/>
        <v>10.249435999999999</v>
      </c>
      <c r="J94" s="6">
        <f t="shared" si="25"/>
        <v>12.095651999999999</v>
      </c>
      <c r="K94" s="6">
        <f t="shared" si="25"/>
        <v>13.941867999999999</v>
      </c>
      <c r="L94" s="6">
        <f t="shared" si="25"/>
        <v>15.788084</v>
      </c>
      <c r="M94">
        <v>17.6343</v>
      </c>
      <c r="N94" s="6">
        <f t="shared" si="26"/>
        <v>20.159079999999999</v>
      </c>
      <c r="O94" s="6">
        <f t="shared" si="26"/>
        <v>22.683859999999999</v>
      </c>
      <c r="P94" s="6">
        <f t="shared" si="26"/>
        <v>25.208639999999999</v>
      </c>
      <c r="Q94" s="6">
        <f t="shared" si="26"/>
        <v>27.733419999999999</v>
      </c>
      <c r="R94">
        <v>30.258199999999999</v>
      </c>
      <c r="S94" s="6">
        <f t="shared" si="27"/>
        <v>32.104019999999998</v>
      </c>
      <c r="T94" s="6">
        <f t="shared" si="27"/>
        <v>33.949839999999995</v>
      </c>
      <c r="U94" s="6">
        <f t="shared" si="27"/>
        <v>35.795659999999998</v>
      </c>
      <c r="V94" s="6">
        <f t="shared" si="27"/>
        <v>37.641480000000001</v>
      </c>
      <c r="W94">
        <v>39.487299999999998</v>
      </c>
      <c r="X94" s="6">
        <f t="shared" si="28"/>
        <v>40.452300000000001</v>
      </c>
      <c r="Y94" s="6">
        <f t="shared" si="28"/>
        <v>41.417299999999997</v>
      </c>
      <c r="Z94" s="6">
        <f t="shared" si="28"/>
        <v>42.382300000000001</v>
      </c>
      <c r="AA94" s="6">
        <f t="shared" si="28"/>
        <v>43.347299999999997</v>
      </c>
      <c r="AB94">
        <v>44.3123</v>
      </c>
      <c r="AC94" s="6">
        <f t="shared" si="29"/>
        <v>45.196600000000004</v>
      </c>
      <c r="AD94" s="6">
        <f t="shared" si="29"/>
        <v>46.0809</v>
      </c>
      <c r="AE94" s="6">
        <f t="shared" si="29"/>
        <v>46.965200000000003</v>
      </c>
      <c r="AF94" s="6">
        <f t="shared" si="29"/>
        <v>47.849499999999999</v>
      </c>
      <c r="AG94">
        <v>48.733800000000002</v>
      </c>
      <c r="AH94" s="5">
        <f>SUM(Tableau2[[#This Row],[2022]:[2050]])</f>
        <v>846.19866000000002</v>
      </c>
    </row>
    <row r="95" spans="1:34" x14ac:dyDescent="0.3">
      <c r="A95" s="2" t="s">
        <v>85</v>
      </c>
      <c r="B95" s="2" t="s">
        <v>78</v>
      </c>
      <c r="C95" s="3" t="s">
        <v>21</v>
      </c>
      <c r="D95" s="2" t="s">
        <v>72</v>
      </c>
      <c r="E95" s="4">
        <v>3.9619399999999998</v>
      </c>
      <c r="F95" s="4">
        <f t="shared" si="24"/>
        <v>5.0593066666666662</v>
      </c>
      <c r="G95" s="4">
        <f t="shared" si="24"/>
        <v>6.156673333333333</v>
      </c>
      <c r="H95" s="4">
        <v>7.2540399999999998</v>
      </c>
      <c r="I95" s="4">
        <f t="shared" si="25"/>
        <v>8.2464720000000007</v>
      </c>
      <c r="J95" s="4">
        <f t="shared" si="25"/>
        <v>9.2389039999999998</v>
      </c>
      <c r="K95" s="4">
        <f t="shared" si="25"/>
        <v>10.231336000000001</v>
      </c>
      <c r="L95" s="4">
        <f t="shared" si="25"/>
        <v>11.223768</v>
      </c>
      <c r="M95" s="4">
        <v>12.216200000000001</v>
      </c>
      <c r="N95" s="4">
        <f t="shared" si="26"/>
        <v>12.79918</v>
      </c>
      <c r="O95" s="4">
        <f t="shared" si="26"/>
        <v>13.382160000000001</v>
      </c>
      <c r="P95" s="4">
        <f t="shared" si="26"/>
        <v>13.96514</v>
      </c>
      <c r="Q95" s="4">
        <f t="shared" si="26"/>
        <v>14.548120000000001</v>
      </c>
      <c r="R95" s="4">
        <v>15.1311</v>
      </c>
      <c r="S95" s="4">
        <f t="shared" si="27"/>
        <v>15.8748</v>
      </c>
      <c r="T95" s="4">
        <f t="shared" si="27"/>
        <v>16.618500000000001</v>
      </c>
      <c r="U95" s="4">
        <f t="shared" si="27"/>
        <v>17.362200000000001</v>
      </c>
      <c r="V95" s="4">
        <f t="shared" si="27"/>
        <v>18.105899999999998</v>
      </c>
      <c r="W95" s="4">
        <v>18.849599999999999</v>
      </c>
      <c r="X95" s="4">
        <f t="shared" si="28"/>
        <v>19.439719999999998</v>
      </c>
      <c r="Y95" s="4">
        <f t="shared" si="28"/>
        <v>20.02984</v>
      </c>
      <c r="Z95" s="4">
        <f t="shared" si="28"/>
        <v>20.619959999999999</v>
      </c>
      <c r="AA95" s="4">
        <f t="shared" si="28"/>
        <v>21.210080000000001</v>
      </c>
      <c r="AB95" s="4">
        <v>21.8002</v>
      </c>
      <c r="AC95" s="4">
        <f t="shared" si="29"/>
        <v>22.015979999999999</v>
      </c>
      <c r="AD95" s="4">
        <f t="shared" si="29"/>
        <v>22.231760000000001</v>
      </c>
      <c r="AE95" s="4">
        <f t="shared" si="29"/>
        <v>22.44754</v>
      </c>
      <c r="AF95" s="4">
        <f t="shared" si="29"/>
        <v>22.663320000000002</v>
      </c>
      <c r="AG95" s="4">
        <v>22.879100000000001</v>
      </c>
      <c r="AH95" s="5">
        <f>SUM(Tableau2[[#This Row],[2022]:[2050]])</f>
        <v>445.56284000000005</v>
      </c>
    </row>
    <row r="96" spans="1:34" x14ac:dyDescent="0.3">
      <c r="A96" s="2" t="s">
        <v>77</v>
      </c>
      <c r="B96" s="2" t="s">
        <v>78</v>
      </c>
      <c r="C96" s="3" t="s">
        <v>21</v>
      </c>
      <c r="D96" s="2" t="s">
        <v>74</v>
      </c>
      <c r="E96" s="4">
        <v>5.806</v>
      </c>
      <c r="F96" s="4">
        <f t="shared" si="24"/>
        <v>7.2335666666666665</v>
      </c>
      <c r="G96" s="4">
        <f t="shared" si="24"/>
        <v>8.661133333333332</v>
      </c>
      <c r="H96" s="4">
        <v>10.088699999999999</v>
      </c>
      <c r="I96" s="4">
        <f t="shared" si="25"/>
        <v>12.824719999999999</v>
      </c>
      <c r="J96" s="4">
        <f t="shared" si="25"/>
        <v>15.560739999999999</v>
      </c>
      <c r="K96" s="4">
        <f t="shared" si="25"/>
        <v>18.296759999999999</v>
      </c>
      <c r="L96" s="4">
        <f t="shared" si="25"/>
        <v>21.032779999999999</v>
      </c>
      <c r="M96" s="4">
        <v>23.768799999999999</v>
      </c>
      <c r="N96" s="4">
        <f t="shared" si="26"/>
        <v>23.450979999999998</v>
      </c>
      <c r="O96" s="4">
        <f t="shared" si="26"/>
        <v>23.13316</v>
      </c>
      <c r="P96" s="4">
        <f t="shared" si="26"/>
        <v>22.815339999999999</v>
      </c>
      <c r="Q96" s="4">
        <f t="shared" si="26"/>
        <v>22.497520000000002</v>
      </c>
      <c r="R96" s="4">
        <v>22.1797</v>
      </c>
      <c r="S96" s="4">
        <f t="shared" si="27"/>
        <v>21.570219999999999</v>
      </c>
      <c r="T96" s="4">
        <f t="shared" si="27"/>
        <v>20.960740000000001</v>
      </c>
      <c r="U96" s="4">
        <f t="shared" si="27"/>
        <v>20.35126</v>
      </c>
      <c r="V96" s="4">
        <f t="shared" si="27"/>
        <v>19.741780000000002</v>
      </c>
      <c r="W96" s="4">
        <v>19.132300000000001</v>
      </c>
      <c r="X96" s="4">
        <f t="shared" si="28"/>
        <v>17.75168</v>
      </c>
      <c r="Y96" s="4">
        <f t="shared" si="28"/>
        <v>16.37106</v>
      </c>
      <c r="Z96" s="4">
        <f t="shared" si="28"/>
        <v>14.990440000000001</v>
      </c>
      <c r="AA96" s="4">
        <f t="shared" si="28"/>
        <v>13.609820000000001</v>
      </c>
      <c r="AB96" s="4">
        <v>12.229200000000001</v>
      </c>
      <c r="AC96" s="4">
        <f t="shared" si="29"/>
        <v>13.293060000000001</v>
      </c>
      <c r="AD96" s="4">
        <f t="shared" si="29"/>
        <v>14.356920000000001</v>
      </c>
      <c r="AE96" s="4">
        <f t="shared" si="29"/>
        <v>15.420780000000001</v>
      </c>
      <c r="AF96" s="4">
        <f t="shared" si="29"/>
        <v>16.484639999999999</v>
      </c>
      <c r="AG96" s="4">
        <v>17.548500000000001</v>
      </c>
      <c r="AH96" s="4">
        <f>SUM(Tableau2[[#This Row],[2022]:[2050]])</f>
        <v>491.16230000000002</v>
      </c>
    </row>
    <row r="97" spans="1:36" x14ac:dyDescent="0.3">
      <c r="A97" s="2" t="s">
        <v>77</v>
      </c>
      <c r="B97" s="2" t="s">
        <v>78</v>
      </c>
      <c r="C97" s="3" t="s">
        <v>21</v>
      </c>
      <c r="D97" s="2" t="s">
        <v>72</v>
      </c>
      <c r="E97" s="4">
        <v>5.806</v>
      </c>
      <c r="F97" s="4">
        <f t="shared" si="24"/>
        <v>5.9612833333333333</v>
      </c>
      <c r="G97" s="4">
        <f t="shared" si="24"/>
        <v>6.1165666666666665</v>
      </c>
      <c r="H97" s="4">
        <v>6.2718499999999997</v>
      </c>
      <c r="I97" s="4">
        <f t="shared" si="25"/>
        <v>7.0596999999999994</v>
      </c>
      <c r="J97" s="4">
        <f t="shared" si="25"/>
        <v>7.84755</v>
      </c>
      <c r="K97" s="4">
        <f t="shared" si="25"/>
        <v>8.6354000000000006</v>
      </c>
      <c r="L97" s="4">
        <f t="shared" si="25"/>
        <v>9.4232499999999995</v>
      </c>
      <c r="M97" s="4">
        <v>10.2111</v>
      </c>
      <c r="N97" s="4">
        <f t="shared" si="26"/>
        <v>9.9975039999999993</v>
      </c>
      <c r="O97" s="4">
        <f t="shared" si="26"/>
        <v>9.7839080000000003</v>
      </c>
      <c r="P97" s="4">
        <f t="shared" si="26"/>
        <v>9.5703119999999995</v>
      </c>
      <c r="Q97" s="4">
        <f t="shared" si="26"/>
        <v>9.3567160000000005</v>
      </c>
      <c r="R97" s="4">
        <v>9.1431199999999997</v>
      </c>
      <c r="S97" s="4">
        <f t="shared" si="27"/>
        <v>8.9207819999999991</v>
      </c>
      <c r="T97" s="4">
        <f t="shared" si="27"/>
        <v>8.6984440000000003</v>
      </c>
      <c r="U97" s="4">
        <f t="shared" si="27"/>
        <v>8.4761059999999997</v>
      </c>
      <c r="V97" s="4">
        <f t="shared" si="27"/>
        <v>8.2537680000000009</v>
      </c>
      <c r="W97" s="4">
        <v>8.0314300000000003</v>
      </c>
      <c r="X97" s="4">
        <f t="shared" si="28"/>
        <v>8.3765280000000004</v>
      </c>
      <c r="Y97" s="4">
        <f t="shared" si="28"/>
        <v>8.7216260000000005</v>
      </c>
      <c r="Z97" s="4">
        <f t="shared" si="28"/>
        <v>9.0667240000000007</v>
      </c>
      <c r="AA97" s="4">
        <f t="shared" si="28"/>
        <v>9.411821999999999</v>
      </c>
      <c r="AB97" s="4">
        <v>9.7569199999999991</v>
      </c>
      <c r="AC97" s="4">
        <f t="shared" si="29"/>
        <v>10.072275999999999</v>
      </c>
      <c r="AD97" s="4">
        <f t="shared" si="29"/>
        <v>10.387632</v>
      </c>
      <c r="AE97" s="4">
        <f t="shared" si="29"/>
        <v>10.702988</v>
      </c>
      <c r="AF97" s="4">
        <f t="shared" si="29"/>
        <v>11.018344000000001</v>
      </c>
      <c r="AG97" s="4">
        <v>11.3337</v>
      </c>
      <c r="AH97" s="5">
        <f>SUM(Tableau2[[#This Row],[2022]:[2050]])</f>
        <v>256.41335000000004</v>
      </c>
    </row>
    <row r="98" spans="1:36" x14ac:dyDescent="0.3">
      <c r="A98" s="2" t="s">
        <v>85</v>
      </c>
      <c r="B98" s="2" t="s">
        <v>78</v>
      </c>
      <c r="C98" s="3" t="s">
        <v>21</v>
      </c>
      <c r="D98" s="2" t="s">
        <v>74</v>
      </c>
      <c r="E98" s="4">
        <v>3.9619399999999998</v>
      </c>
      <c r="F98" s="4">
        <f t="shared" si="24"/>
        <v>6.9639933333333328</v>
      </c>
      <c r="G98" s="4">
        <f t="shared" si="24"/>
        <v>9.9660466666666654</v>
      </c>
      <c r="H98" s="4">
        <v>12.9681</v>
      </c>
      <c r="I98" s="4">
        <f t="shared" si="25"/>
        <v>15.63552</v>
      </c>
      <c r="J98" s="4">
        <f t="shared" si="25"/>
        <v>18.30294</v>
      </c>
      <c r="K98" s="4">
        <f t="shared" si="25"/>
        <v>20.970359999999999</v>
      </c>
      <c r="L98" s="4">
        <f t="shared" si="25"/>
        <v>23.637779999999999</v>
      </c>
      <c r="M98" s="4">
        <v>26.305199999999999</v>
      </c>
      <c r="N98" s="4">
        <f t="shared" si="26"/>
        <v>28.047059999999998</v>
      </c>
      <c r="O98" s="4">
        <f t="shared" si="26"/>
        <v>29.788919999999997</v>
      </c>
      <c r="P98" s="4">
        <f t="shared" si="26"/>
        <v>31.53078</v>
      </c>
      <c r="Q98" s="4">
        <f t="shared" si="26"/>
        <v>33.272639999999996</v>
      </c>
      <c r="R98" s="4">
        <v>35.014499999999998</v>
      </c>
      <c r="S98" s="4">
        <f t="shared" si="27"/>
        <v>34.797620000000002</v>
      </c>
      <c r="T98" s="4">
        <f t="shared" si="27"/>
        <v>34.580739999999999</v>
      </c>
      <c r="U98" s="4">
        <f t="shared" si="27"/>
        <v>34.363860000000003</v>
      </c>
      <c r="V98" s="4">
        <f t="shared" si="27"/>
        <v>34.146979999999999</v>
      </c>
      <c r="W98" s="4">
        <v>33.930100000000003</v>
      </c>
      <c r="X98" s="4">
        <f t="shared" si="28"/>
        <v>34.476900000000001</v>
      </c>
      <c r="Y98" s="4">
        <f t="shared" si="28"/>
        <v>35.023699999999998</v>
      </c>
      <c r="Z98" s="4">
        <f t="shared" si="28"/>
        <v>35.570500000000003</v>
      </c>
      <c r="AA98" s="4">
        <f t="shared" si="28"/>
        <v>36.1173</v>
      </c>
      <c r="AB98" s="4">
        <v>36.664099999999998</v>
      </c>
      <c r="AC98" s="4">
        <f t="shared" si="29"/>
        <v>36.82394</v>
      </c>
      <c r="AD98" s="4">
        <f t="shared" si="29"/>
        <v>36.983779999999996</v>
      </c>
      <c r="AE98" s="4">
        <f t="shared" si="29"/>
        <v>37.143619999999999</v>
      </c>
      <c r="AF98" s="4">
        <f t="shared" si="29"/>
        <v>37.303459999999994</v>
      </c>
      <c r="AG98" s="4">
        <v>37.463299999999997</v>
      </c>
      <c r="AH98" s="4">
        <f>SUM(Tableau2[[#This Row],[2022]:[2050]])</f>
        <v>831.75567999999998</v>
      </c>
    </row>
    <row r="99" spans="1:36" hidden="1" x14ac:dyDescent="0.3">
      <c r="A99" s="2" t="s">
        <v>77</v>
      </c>
      <c r="B99" s="2" t="s">
        <v>78</v>
      </c>
      <c r="C99" s="3" t="s">
        <v>21</v>
      </c>
      <c r="D99" s="2" t="s">
        <v>73</v>
      </c>
      <c r="E99" s="6">
        <v>5.806</v>
      </c>
      <c r="F99" s="6">
        <f t="shared" si="24"/>
        <v>6.5302199999999999</v>
      </c>
      <c r="G99" s="6">
        <f t="shared" si="24"/>
        <v>7.2544399999999998</v>
      </c>
      <c r="H99">
        <v>7.9786599999999996</v>
      </c>
      <c r="I99" s="6">
        <f t="shared" si="25"/>
        <v>9.0532279999999989</v>
      </c>
      <c r="J99" s="6">
        <f t="shared" si="25"/>
        <v>10.127796</v>
      </c>
      <c r="K99" s="6">
        <f t="shared" si="25"/>
        <v>11.202363999999999</v>
      </c>
      <c r="L99" s="6">
        <f t="shared" si="25"/>
        <v>12.276931999999999</v>
      </c>
      <c r="M99">
        <v>13.3515</v>
      </c>
      <c r="N99" s="6">
        <f t="shared" si="26"/>
        <v>13.628439999999999</v>
      </c>
      <c r="O99" s="6">
        <f t="shared" si="26"/>
        <v>13.905379999999999</v>
      </c>
      <c r="P99" s="6">
        <f t="shared" si="26"/>
        <v>14.182320000000001</v>
      </c>
      <c r="Q99" s="6">
        <f t="shared" si="26"/>
        <v>14.45926</v>
      </c>
      <c r="R99">
        <v>14.7362</v>
      </c>
      <c r="S99" s="6">
        <f t="shared" si="27"/>
        <v>14.702820000000001</v>
      </c>
      <c r="T99" s="6">
        <f t="shared" si="27"/>
        <v>14.66944</v>
      </c>
      <c r="U99" s="6">
        <f t="shared" si="27"/>
        <v>14.636060000000001</v>
      </c>
      <c r="V99" s="6">
        <f t="shared" si="27"/>
        <v>14.602679999999999</v>
      </c>
      <c r="W99">
        <v>14.5693</v>
      </c>
      <c r="X99" s="6">
        <f t="shared" si="28"/>
        <v>14.6187</v>
      </c>
      <c r="Y99" s="6">
        <f t="shared" si="28"/>
        <v>14.668100000000001</v>
      </c>
      <c r="Z99" s="6">
        <f t="shared" si="28"/>
        <v>14.717499999999999</v>
      </c>
      <c r="AA99" s="6">
        <f t="shared" si="28"/>
        <v>14.7669</v>
      </c>
      <c r="AB99">
        <v>14.8163</v>
      </c>
      <c r="AC99" s="6">
        <f t="shared" si="29"/>
        <v>15.129999999999999</v>
      </c>
      <c r="AD99" s="6">
        <f t="shared" si="29"/>
        <v>15.4437</v>
      </c>
      <c r="AE99" s="6">
        <f t="shared" si="29"/>
        <v>15.757399999999999</v>
      </c>
      <c r="AF99" s="6">
        <f t="shared" si="29"/>
        <v>16.071099999999998</v>
      </c>
      <c r="AG99">
        <v>16.384799999999998</v>
      </c>
      <c r="AH99" s="5">
        <f>SUM(Tableau2[[#This Row],[2022]:[2050]])</f>
        <v>380.04753999999997</v>
      </c>
    </row>
    <row r="100" spans="1:36" x14ac:dyDescent="0.3">
      <c r="A100" s="2" t="s">
        <v>83</v>
      </c>
      <c r="B100" s="2" t="s">
        <v>84</v>
      </c>
      <c r="C100" s="3" t="s">
        <v>22</v>
      </c>
      <c r="D100" s="2" t="s">
        <v>72</v>
      </c>
      <c r="E100" s="7">
        <v>8.9112399999999994</v>
      </c>
      <c r="F100" s="4">
        <f t="shared" si="24"/>
        <v>8.8502166666666664</v>
      </c>
      <c r="G100" s="4">
        <f t="shared" si="24"/>
        <v>8.7891933333333334</v>
      </c>
      <c r="H100" s="4">
        <v>8.7281700000000004</v>
      </c>
      <c r="I100" s="4">
        <f t="shared" si="25"/>
        <v>10.853035999999999</v>
      </c>
      <c r="J100" s="4">
        <f t="shared" si="25"/>
        <v>12.977902</v>
      </c>
      <c r="K100" s="4">
        <f t="shared" si="25"/>
        <v>15.102768000000001</v>
      </c>
      <c r="L100" s="4">
        <f t="shared" si="25"/>
        <v>17.227634000000002</v>
      </c>
      <c r="M100" s="4">
        <v>19.352499999999999</v>
      </c>
      <c r="N100" s="4">
        <f t="shared" si="26"/>
        <v>20.666699999999999</v>
      </c>
      <c r="O100" s="4">
        <f t="shared" si="26"/>
        <v>21.980899999999998</v>
      </c>
      <c r="P100" s="4">
        <f t="shared" si="26"/>
        <v>23.295099999999998</v>
      </c>
      <c r="Q100" s="4">
        <f t="shared" si="26"/>
        <v>24.609300000000001</v>
      </c>
      <c r="R100" s="4">
        <v>25.923500000000001</v>
      </c>
      <c r="S100" s="4">
        <f t="shared" si="27"/>
        <v>24.985900000000001</v>
      </c>
      <c r="T100" s="4">
        <f t="shared" si="27"/>
        <v>24.048300000000001</v>
      </c>
      <c r="U100" s="4">
        <f t="shared" si="27"/>
        <v>23.110700000000001</v>
      </c>
      <c r="V100" s="4">
        <f t="shared" si="27"/>
        <v>22.173099999999998</v>
      </c>
      <c r="W100" s="4">
        <v>21.235499999999998</v>
      </c>
      <c r="X100" s="4">
        <f t="shared" si="28"/>
        <v>19.593979999999998</v>
      </c>
      <c r="Y100" s="4">
        <f t="shared" si="28"/>
        <v>17.952459999999999</v>
      </c>
      <c r="Z100" s="4">
        <f t="shared" si="28"/>
        <v>16.310940000000002</v>
      </c>
      <c r="AA100" s="4">
        <f t="shared" si="28"/>
        <v>14.669420000000001</v>
      </c>
      <c r="AB100" s="4">
        <v>13.027900000000001</v>
      </c>
      <c r="AC100" s="4">
        <f t="shared" si="29"/>
        <v>10.422320000000001</v>
      </c>
      <c r="AD100" s="4">
        <f t="shared" si="29"/>
        <v>7.8167400000000002</v>
      </c>
      <c r="AE100" s="4">
        <f t="shared" si="29"/>
        <v>5.2111599999999996</v>
      </c>
      <c r="AF100" s="4">
        <f t="shared" si="29"/>
        <v>2.6055799999999998</v>
      </c>
      <c r="AG100" s="4">
        <v>0</v>
      </c>
      <c r="AH100" s="5">
        <f>SUM(Tableau2[[#This Row],[2022]:[2050]])</f>
        <v>450.43215999999984</v>
      </c>
    </row>
    <row r="101" spans="1:36" hidden="1" x14ac:dyDescent="0.3">
      <c r="A101" s="2" t="s">
        <v>83</v>
      </c>
      <c r="B101" s="2" t="s">
        <v>84</v>
      </c>
      <c r="C101" s="3" t="s">
        <v>22</v>
      </c>
      <c r="D101" s="2" t="s">
        <v>73</v>
      </c>
      <c r="E101" s="2">
        <v>8.9112399999999994</v>
      </c>
      <c r="F101" s="6">
        <f t="shared" si="24"/>
        <v>9.8880933333333321</v>
      </c>
      <c r="G101" s="6">
        <f t="shared" si="24"/>
        <v>10.864946666666667</v>
      </c>
      <c r="H101">
        <v>11.841799999999999</v>
      </c>
      <c r="I101" s="6">
        <f t="shared" si="25"/>
        <v>15.535139999999998</v>
      </c>
      <c r="J101" s="6">
        <f t="shared" si="25"/>
        <v>19.228479999999998</v>
      </c>
      <c r="K101" s="6">
        <f t="shared" si="25"/>
        <v>22.92182</v>
      </c>
      <c r="L101" s="6">
        <f t="shared" si="25"/>
        <v>26.615159999999999</v>
      </c>
      <c r="M101">
        <v>30.308499999999999</v>
      </c>
      <c r="N101" s="6">
        <f t="shared" si="26"/>
        <v>32.02234</v>
      </c>
      <c r="O101" s="6">
        <f t="shared" si="26"/>
        <v>33.736179999999997</v>
      </c>
      <c r="P101" s="6">
        <f t="shared" si="26"/>
        <v>35.450019999999995</v>
      </c>
      <c r="Q101" s="6">
        <f t="shared" si="26"/>
        <v>37.16386</v>
      </c>
      <c r="R101">
        <v>38.877699999999997</v>
      </c>
      <c r="S101" s="6">
        <f t="shared" si="27"/>
        <v>38.184999999999995</v>
      </c>
      <c r="T101" s="6">
        <f t="shared" si="27"/>
        <v>37.4923</v>
      </c>
      <c r="U101" s="6">
        <f t="shared" si="27"/>
        <v>36.799599999999998</v>
      </c>
      <c r="V101" s="6">
        <f t="shared" si="27"/>
        <v>36.106900000000003</v>
      </c>
      <c r="W101">
        <v>35.414200000000001</v>
      </c>
      <c r="X101" s="6">
        <f t="shared" si="28"/>
        <v>32.839219999999997</v>
      </c>
      <c r="Y101" s="6">
        <f t="shared" si="28"/>
        <v>30.264240000000001</v>
      </c>
      <c r="Z101" s="6">
        <f t="shared" si="28"/>
        <v>27.689260000000001</v>
      </c>
      <c r="AA101" s="6">
        <f t="shared" si="28"/>
        <v>25.114280000000001</v>
      </c>
      <c r="AB101">
        <v>22.539300000000001</v>
      </c>
      <c r="AC101" s="6">
        <f t="shared" si="29"/>
        <v>18.03144</v>
      </c>
      <c r="AD101" s="6">
        <f t="shared" si="29"/>
        <v>13.523580000000001</v>
      </c>
      <c r="AE101" s="6">
        <f t="shared" si="29"/>
        <v>9.0157200000000017</v>
      </c>
      <c r="AF101" s="6">
        <f t="shared" si="29"/>
        <v>4.5078600000000009</v>
      </c>
      <c r="AG101">
        <v>0</v>
      </c>
      <c r="AH101" s="5">
        <f>SUM(Tableau2[[#This Row],[2022]:[2050]])</f>
        <v>700.88818000000003</v>
      </c>
      <c r="AJ101" s="4"/>
    </row>
    <row r="102" spans="1:36" x14ac:dyDescent="0.3">
      <c r="A102" s="2" t="s">
        <v>85</v>
      </c>
      <c r="B102" s="2" t="s">
        <v>84</v>
      </c>
      <c r="C102" s="3" t="s">
        <v>22</v>
      </c>
      <c r="D102" s="2" t="s">
        <v>74</v>
      </c>
      <c r="E102" s="4">
        <v>325.83100000000002</v>
      </c>
      <c r="F102" s="4">
        <f t="shared" ref="F102:G121" si="30">(($H102-$E102)/($H$1-$E$1))*(F$1-$E$1)+$E102</f>
        <v>602.90066666666667</v>
      </c>
      <c r="G102" s="4">
        <f t="shared" si="30"/>
        <v>879.97033333333331</v>
      </c>
      <c r="H102" s="4">
        <v>1157.04</v>
      </c>
      <c r="I102" s="4">
        <f t="shared" ref="I102:L121" si="31">(($M102-$H102)/($M$1-$H$1))*(I$1-$H$1)+$H102</f>
        <v>1408.5059999999999</v>
      </c>
      <c r="J102" s="4">
        <f t="shared" si="31"/>
        <v>1659.972</v>
      </c>
      <c r="K102" s="4">
        <f t="shared" si="31"/>
        <v>1911.4379999999999</v>
      </c>
      <c r="L102" s="4">
        <f t="shared" si="31"/>
        <v>2162.904</v>
      </c>
      <c r="M102" s="4">
        <v>2414.37</v>
      </c>
      <c r="N102" s="4">
        <f t="shared" ref="N102:Q121" si="32">(($R102-$M102)/($R$1-$M$1))*(N$1-$M$1)+$M102</f>
        <v>2609.886</v>
      </c>
      <c r="O102" s="4">
        <f t="shared" si="32"/>
        <v>2805.402</v>
      </c>
      <c r="P102" s="4">
        <f t="shared" si="32"/>
        <v>3000.9179999999997</v>
      </c>
      <c r="Q102" s="4">
        <f t="shared" si="32"/>
        <v>3196.4339999999997</v>
      </c>
      <c r="R102" s="4">
        <v>3391.95</v>
      </c>
      <c r="S102" s="4">
        <f t="shared" ref="S102:V121" si="33">(($W102-$R102)/($W$1-$R$1))*(S$1-$R$1)+$R102</f>
        <v>3403.69</v>
      </c>
      <c r="T102" s="4">
        <f t="shared" si="33"/>
        <v>3415.43</v>
      </c>
      <c r="U102" s="4">
        <f t="shared" si="33"/>
        <v>3427.17</v>
      </c>
      <c r="V102" s="4">
        <f t="shared" si="33"/>
        <v>3438.91</v>
      </c>
      <c r="W102" s="4">
        <v>3450.65</v>
      </c>
      <c r="X102" s="4">
        <f t="shared" ref="X102:AA121" si="34">(($AB102-$W102)/($AB$1-$W$1))*(X$1-$W$1)+$W102</f>
        <v>3449.41</v>
      </c>
      <c r="Y102" s="4">
        <f t="shared" si="34"/>
        <v>3448.17</v>
      </c>
      <c r="Z102" s="4">
        <f t="shared" si="34"/>
        <v>3446.93</v>
      </c>
      <c r="AA102" s="4">
        <f t="shared" si="34"/>
        <v>3445.69</v>
      </c>
      <c r="AB102" s="4">
        <v>3444.45</v>
      </c>
      <c r="AC102" s="4">
        <f t="shared" ref="AC102:AF121" si="35">(($AG102-$AB102)/($AG$1-$AB$1))*(AC$1-$AB$1)+$AB102</f>
        <v>3413.3999999999996</v>
      </c>
      <c r="AD102" s="4">
        <f t="shared" si="35"/>
        <v>3382.35</v>
      </c>
      <c r="AE102" s="4">
        <f t="shared" si="35"/>
        <v>3351.2999999999997</v>
      </c>
      <c r="AF102" s="4">
        <f t="shared" si="35"/>
        <v>3320.25</v>
      </c>
      <c r="AG102" s="4">
        <v>3289.2</v>
      </c>
      <c r="AH102" s="4">
        <f>SUM(Tableau2[[#This Row],[2022]:[2050]])</f>
        <v>78654.521999999997</v>
      </c>
    </row>
    <row r="103" spans="1:36" hidden="1" x14ac:dyDescent="0.3">
      <c r="A103" s="2" t="s">
        <v>85</v>
      </c>
      <c r="B103" s="2" t="s">
        <v>84</v>
      </c>
      <c r="C103" s="3" t="s">
        <v>22</v>
      </c>
      <c r="D103" s="2" t="s">
        <v>73</v>
      </c>
      <c r="E103" s="6">
        <v>325.83100000000002</v>
      </c>
      <c r="F103" s="6">
        <f t="shared" si="30"/>
        <v>453.66766666666666</v>
      </c>
      <c r="G103" s="6">
        <f t="shared" si="30"/>
        <v>581.50433333333331</v>
      </c>
      <c r="H103">
        <v>709.34100000000001</v>
      </c>
      <c r="I103" s="6">
        <f t="shared" si="31"/>
        <v>866.9828</v>
      </c>
      <c r="J103" s="6">
        <f t="shared" si="31"/>
        <v>1024.6246000000001</v>
      </c>
      <c r="K103" s="6">
        <f t="shared" si="31"/>
        <v>1182.2664</v>
      </c>
      <c r="L103" s="6">
        <f t="shared" si="31"/>
        <v>1339.9081999999999</v>
      </c>
      <c r="M103">
        <v>1497.55</v>
      </c>
      <c r="N103" s="6">
        <f t="shared" si="32"/>
        <v>1686.1859999999999</v>
      </c>
      <c r="O103" s="6">
        <f t="shared" si="32"/>
        <v>1874.8220000000001</v>
      </c>
      <c r="P103" s="6">
        <f t="shared" si="32"/>
        <v>2063.4580000000001</v>
      </c>
      <c r="Q103" s="6">
        <f t="shared" si="32"/>
        <v>2252.0940000000001</v>
      </c>
      <c r="R103">
        <v>2440.73</v>
      </c>
      <c r="S103" s="6">
        <f t="shared" si="33"/>
        <v>2560.63</v>
      </c>
      <c r="T103" s="6">
        <f t="shared" si="33"/>
        <v>2680.53</v>
      </c>
      <c r="U103" s="6">
        <f t="shared" si="33"/>
        <v>2800.4300000000003</v>
      </c>
      <c r="V103" s="6">
        <f t="shared" si="33"/>
        <v>2920.33</v>
      </c>
      <c r="W103">
        <v>3040.23</v>
      </c>
      <c r="X103" s="6">
        <f t="shared" si="34"/>
        <v>3059.94</v>
      </c>
      <c r="Y103" s="6">
        <f t="shared" si="34"/>
        <v>3079.65</v>
      </c>
      <c r="Z103" s="6">
        <f t="shared" si="34"/>
        <v>3099.36</v>
      </c>
      <c r="AA103" s="6">
        <f t="shared" si="34"/>
        <v>3119.07</v>
      </c>
      <c r="AB103">
        <v>3138.78</v>
      </c>
      <c r="AC103" s="6">
        <f t="shared" si="35"/>
        <v>3165.53</v>
      </c>
      <c r="AD103" s="6">
        <f t="shared" si="35"/>
        <v>3192.28</v>
      </c>
      <c r="AE103" s="6">
        <f t="shared" si="35"/>
        <v>3219.03</v>
      </c>
      <c r="AF103" s="6">
        <f t="shared" si="35"/>
        <v>3245.78</v>
      </c>
      <c r="AG103">
        <v>3272.53</v>
      </c>
      <c r="AH103" s="5">
        <f>SUM(Tableau2[[#This Row],[2022]:[2050]])</f>
        <v>63893.065999999992</v>
      </c>
    </row>
    <row r="104" spans="1:36" x14ac:dyDescent="0.3">
      <c r="A104" s="2" t="s">
        <v>85</v>
      </c>
      <c r="B104" s="2" t="s">
        <v>84</v>
      </c>
      <c r="C104" s="3" t="s">
        <v>22</v>
      </c>
      <c r="D104" s="2" t="s">
        <v>72</v>
      </c>
      <c r="E104" s="4">
        <v>325.83100000000002</v>
      </c>
      <c r="F104" s="4">
        <f t="shared" si="30"/>
        <v>421.84133333333335</v>
      </c>
      <c r="G104" s="4">
        <f t="shared" si="30"/>
        <v>517.85166666666669</v>
      </c>
      <c r="H104" s="4">
        <v>613.86199999999997</v>
      </c>
      <c r="I104" s="4">
        <f t="shared" si="31"/>
        <v>688.7002</v>
      </c>
      <c r="J104" s="4">
        <f t="shared" si="31"/>
        <v>763.53839999999991</v>
      </c>
      <c r="K104" s="4">
        <f t="shared" si="31"/>
        <v>838.37659999999994</v>
      </c>
      <c r="L104" s="4">
        <f t="shared" si="31"/>
        <v>913.21479999999997</v>
      </c>
      <c r="M104" s="4">
        <v>988.053</v>
      </c>
      <c r="N104" s="4">
        <f t="shared" si="32"/>
        <v>1033.3563999999999</v>
      </c>
      <c r="O104" s="4">
        <f t="shared" si="32"/>
        <v>1078.6597999999999</v>
      </c>
      <c r="P104" s="4">
        <f t="shared" si="32"/>
        <v>1123.9631999999999</v>
      </c>
      <c r="Q104" s="4">
        <f t="shared" si="32"/>
        <v>1169.2665999999999</v>
      </c>
      <c r="R104" s="4">
        <v>1214.57</v>
      </c>
      <c r="S104" s="4">
        <f t="shared" si="33"/>
        <v>1274.8139999999999</v>
      </c>
      <c r="T104" s="4">
        <f t="shared" si="33"/>
        <v>1335.058</v>
      </c>
      <c r="U104" s="4">
        <f t="shared" si="33"/>
        <v>1395.3019999999999</v>
      </c>
      <c r="V104" s="4">
        <f t="shared" si="33"/>
        <v>1455.546</v>
      </c>
      <c r="W104" s="4">
        <v>1515.79</v>
      </c>
      <c r="X104" s="4">
        <f t="shared" si="34"/>
        <v>1535.6659999999999</v>
      </c>
      <c r="Y104" s="4">
        <f t="shared" si="34"/>
        <v>1555.5419999999999</v>
      </c>
      <c r="Z104" s="4">
        <f t="shared" si="34"/>
        <v>1575.4180000000001</v>
      </c>
      <c r="AA104" s="4">
        <f t="shared" si="34"/>
        <v>1595.2940000000001</v>
      </c>
      <c r="AB104" s="4">
        <v>1615.17</v>
      </c>
      <c r="AC104" s="4">
        <f t="shared" si="35"/>
        <v>1608.0720000000001</v>
      </c>
      <c r="AD104" s="4">
        <f t="shared" si="35"/>
        <v>1600.9740000000002</v>
      </c>
      <c r="AE104" s="4">
        <f t="shared" si="35"/>
        <v>1593.876</v>
      </c>
      <c r="AF104" s="4">
        <f t="shared" si="35"/>
        <v>1586.778</v>
      </c>
      <c r="AG104" s="4">
        <v>1579.68</v>
      </c>
      <c r="AH104" s="5">
        <f>SUM(Tableau2[[#This Row],[2022]:[2050]])</f>
        <v>34514.06500000001</v>
      </c>
    </row>
    <row r="105" spans="1:36" x14ac:dyDescent="0.3">
      <c r="A105" s="2" t="s">
        <v>77</v>
      </c>
      <c r="B105" s="2" t="s">
        <v>82</v>
      </c>
      <c r="C105" s="3" t="s">
        <v>22</v>
      </c>
      <c r="D105" s="2" t="s">
        <v>74</v>
      </c>
      <c r="E105" s="4">
        <v>36.5381</v>
      </c>
      <c r="F105" s="4">
        <f t="shared" si="30"/>
        <v>46.380366666666667</v>
      </c>
      <c r="G105" s="4">
        <f t="shared" si="30"/>
        <v>56.222633333333334</v>
      </c>
      <c r="H105" s="4">
        <v>66.064899999999994</v>
      </c>
      <c r="I105" s="4">
        <f t="shared" si="31"/>
        <v>80.378519999999995</v>
      </c>
      <c r="J105" s="4">
        <f t="shared" si="31"/>
        <v>94.692139999999995</v>
      </c>
      <c r="K105" s="4">
        <f t="shared" si="31"/>
        <v>109.00576000000001</v>
      </c>
      <c r="L105" s="4">
        <f t="shared" si="31"/>
        <v>123.31938000000001</v>
      </c>
      <c r="M105" s="4">
        <v>137.63300000000001</v>
      </c>
      <c r="N105" s="4">
        <f t="shared" si="32"/>
        <v>135.8888</v>
      </c>
      <c r="O105" s="4">
        <f t="shared" si="32"/>
        <v>134.1446</v>
      </c>
      <c r="P105" s="4">
        <f t="shared" si="32"/>
        <v>132.40040000000002</v>
      </c>
      <c r="Q105" s="4">
        <f t="shared" si="32"/>
        <v>130.65620000000001</v>
      </c>
      <c r="R105" s="4">
        <v>128.91200000000001</v>
      </c>
      <c r="S105" s="4">
        <f t="shared" si="33"/>
        <v>123.49940000000001</v>
      </c>
      <c r="T105" s="4">
        <f t="shared" si="33"/>
        <v>118.08680000000001</v>
      </c>
      <c r="U105" s="4">
        <f t="shared" si="33"/>
        <v>112.67420000000001</v>
      </c>
      <c r="V105" s="4">
        <f t="shared" si="33"/>
        <v>107.2616</v>
      </c>
      <c r="W105" s="4">
        <v>101.849</v>
      </c>
      <c r="X105" s="4">
        <f t="shared" si="34"/>
        <v>95.686160000000001</v>
      </c>
      <c r="Y105" s="4">
        <f t="shared" si="34"/>
        <v>89.523319999999998</v>
      </c>
      <c r="Z105" s="4">
        <f t="shared" si="34"/>
        <v>83.360479999999995</v>
      </c>
      <c r="AA105" s="4">
        <f t="shared" si="34"/>
        <v>77.197640000000007</v>
      </c>
      <c r="AB105" s="4">
        <v>71.034800000000004</v>
      </c>
      <c r="AC105" s="4">
        <f t="shared" si="35"/>
        <v>77.605240000000009</v>
      </c>
      <c r="AD105" s="4">
        <f t="shared" si="35"/>
        <v>84.17568</v>
      </c>
      <c r="AE105" s="4">
        <f t="shared" si="35"/>
        <v>90.746120000000005</v>
      </c>
      <c r="AF105" s="4">
        <f t="shared" si="35"/>
        <v>97.31656000000001</v>
      </c>
      <c r="AG105" s="4">
        <v>103.887</v>
      </c>
      <c r="AH105" s="4">
        <f>SUM(Tableau2[[#This Row],[2022]:[2050]])</f>
        <v>2846.1407999999997</v>
      </c>
    </row>
    <row r="106" spans="1:36" hidden="1" x14ac:dyDescent="0.3">
      <c r="A106" s="2" t="s">
        <v>86</v>
      </c>
      <c r="B106" s="2"/>
      <c r="C106" s="3" t="s">
        <v>22</v>
      </c>
      <c r="D106" s="2" t="s">
        <v>73</v>
      </c>
      <c r="E106" s="6">
        <v>1.7661100000000001</v>
      </c>
      <c r="F106" s="6">
        <f t="shared" si="30"/>
        <v>7.5448399999999998</v>
      </c>
      <c r="G106" s="6">
        <f t="shared" si="30"/>
        <v>13.323569999999998</v>
      </c>
      <c r="H106">
        <v>19.1023</v>
      </c>
      <c r="I106" s="6">
        <f t="shared" si="31"/>
        <v>24.258759999999999</v>
      </c>
      <c r="J106" s="6">
        <f t="shared" si="31"/>
        <v>29.415219999999998</v>
      </c>
      <c r="K106" s="6">
        <f t="shared" si="31"/>
        <v>34.571680000000001</v>
      </c>
      <c r="L106" s="6">
        <f t="shared" si="31"/>
        <v>39.728139999999996</v>
      </c>
      <c r="M106">
        <v>44.884599999999999</v>
      </c>
      <c r="N106" s="6">
        <f t="shared" si="32"/>
        <v>44.559060000000002</v>
      </c>
      <c r="O106" s="6">
        <f t="shared" si="32"/>
        <v>44.233519999999999</v>
      </c>
      <c r="P106" s="6">
        <f t="shared" si="32"/>
        <v>43.907980000000002</v>
      </c>
      <c r="Q106" s="6">
        <f t="shared" si="32"/>
        <v>43.582439999999998</v>
      </c>
      <c r="R106">
        <v>43.256900000000002</v>
      </c>
      <c r="S106" s="6">
        <f t="shared" si="33"/>
        <v>43.882020000000004</v>
      </c>
      <c r="T106" s="6">
        <f t="shared" si="33"/>
        <v>44.50714</v>
      </c>
      <c r="U106" s="6">
        <f t="shared" si="33"/>
        <v>45.132260000000002</v>
      </c>
      <c r="V106" s="6">
        <f t="shared" si="33"/>
        <v>45.757379999999998</v>
      </c>
      <c r="W106">
        <v>46.3825</v>
      </c>
      <c r="X106" s="6">
        <f t="shared" si="34"/>
        <v>46.531620000000004</v>
      </c>
      <c r="Y106" s="6">
        <f t="shared" si="34"/>
        <v>46.68074</v>
      </c>
      <c r="Z106" s="6">
        <f t="shared" si="34"/>
        <v>46.829860000000004</v>
      </c>
      <c r="AA106" s="6">
        <f t="shared" si="34"/>
        <v>46.97898</v>
      </c>
      <c r="AB106">
        <v>47.128100000000003</v>
      </c>
      <c r="AC106" s="6">
        <f t="shared" si="35"/>
        <v>49.931900000000006</v>
      </c>
      <c r="AD106" s="6">
        <f t="shared" si="35"/>
        <v>52.735700000000001</v>
      </c>
      <c r="AE106" s="6">
        <f t="shared" si="35"/>
        <v>55.539500000000004</v>
      </c>
      <c r="AF106" s="6">
        <f t="shared" si="35"/>
        <v>58.343299999999999</v>
      </c>
      <c r="AG106">
        <v>61.147100000000002</v>
      </c>
      <c r="AH106" s="5">
        <f>SUM(Tableau2[[#This Row],[2022]:[2050]])</f>
        <v>1171.6432200000002</v>
      </c>
    </row>
    <row r="107" spans="1:36" x14ac:dyDescent="0.3">
      <c r="A107" s="2" t="s">
        <v>86</v>
      </c>
      <c r="B107" s="2"/>
      <c r="C107" s="3" t="s">
        <v>22</v>
      </c>
      <c r="D107" s="2" t="s">
        <v>72</v>
      </c>
      <c r="E107" s="4">
        <v>1.7661100000000001</v>
      </c>
      <c r="F107" s="4">
        <f t="shared" si="30"/>
        <v>1.9864833333333334</v>
      </c>
      <c r="G107" s="4">
        <f t="shared" si="30"/>
        <v>2.2068566666666669</v>
      </c>
      <c r="H107" s="4">
        <v>2.4272300000000002</v>
      </c>
      <c r="I107" s="4">
        <f t="shared" si="31"/>
        <v>3.0010440000000003</v>
      </c>
      <c r="J107" s="4">
        <f t="shared" si="31"/>
        <v>3.5748579999999999</v>
      </c>
      <c r="K107" s="4">
        <f t="shared" si="31"/>
        <v>4.1486719999999995</v>
      </c>
      <c r="L107" s="4">
        <f t="shared" si="31"/>
        <v>4.722486</v>
      </c>
      <c r="M107" s="4">
        <v>5.2962999999999996</v>
      </c>
      <c r="N107" s="4">
        <f t="shared" si="32"/>
        <v>5.0810899999999997</v>
      </c>
      <c r="O107" s="4">
        <f t="shared" si="32"/>
        <v>4.8658799999999998</v>
      </c>
      <c r="P107" s="4">
        <f t="shared" si="32"/>
        <v>4.6506699999999999</v>
      </c>
      <c r="Q107" s="4">
        <f t="shared" si="32"/>
        <v>4.43546</v>
      </c>
      <c r="R107" s="4">
        <v>4.2202500000000001</v>
      </c>
      <c r="S107" s="4">
        <f t="shared" si="33"/>
        <v>4.1329960000000003</v>
      </c>
      <c r="T107" s="4">
        <f t="shared" si="33"/>
        <v>4.0457419999999997</v>
      </c>
      <c r="U107" s="4">
        <f t="shared" si="33"/>
        <v>3.958488</v>
      </c>
      <c r="V107" s="4">
        <f t="shared" si="33"/>
        <v>3.8712340000000003</v>
      </c>
      <c r="W107" s="4">
        <v>3.7839800000000001</v>
      </c>
      <c r="X107" s="4">
        <f t="shared" si="34"/>
        <v>3.8436080000000001</v>
      </c>
      <c r="Y107" s="4">
        <f t="shared" si="34"/>
        <v>3.9032360000000001</v>
      </c>
      <c r="Z107" s="4">
        <f t="shared" si="34"/>
        <v>3.9628639999999997</v>
      </c>
      <c r="AA107" s="4">
        <f t="shared" si="34"/>
        <v>4.0224919999999997</v>
      </c>
      <c r="AB107" s="4">
        <v>4.0821199999999997</v>
      </c>
      <c r="AC107" s="4">
        <f t="shared" si="35"/>
        <v>4.3985859999999999</v>
      </c>
      <c r="AD107" s="4">
        <f t="shared" si="35"/>
        <v>4.715052</v>
      </c>
      <c r="AE107" s="4">
        <f t="shared" si="35"/>
        <v>5.0315180000000002</v>
      </c>
      <c r="AF107" s="4">
        <f t="shared" si="35"/>
        <v>5.3479840000000003</v>
      </c>
      <c r="AG107" s="4">
        <v>5.6644500000000004</v>
      </c>
      <c r="AH107" s="5">
        <f>SUM(Tableau2[[#This Row],[2022]:[2050]])</f>
        <v>117.14774</v>
      </c>
      <c r="AJ107" s="4"/>
    </row>
    <row r="108" spans="1:36" x14ac:dyDescent="0.3">
      <c r="A108" s="2" t="s">
        <v>83</v>
      </c>
      <c r="B108" s="2" t="s">
        <v>84</v>
      </c>
      <c r="C108" s="3" t="s">
        <v>22</v>
      </c>
      <c r="D108" s="2" t="s">
        <v>74</v>
      </c>
      <c r="E108" s="7">
        <v>8.9112399999999994</v>
      </c>
      <c r="F108" s="4">
        <f t="shared" si="30"/>
        <v>11.805593333333332</v>
      </c>
      <c r="G108" s="4">
        <f t="shared" si="30"/>
        <v>14.699946666666666</v>
      </c>
      <c r="H108" s="4">
        <v>17.5943</v>
      </c>
      <c r="I108" s="4">
        <f t="shared" si="31"/>
        <v>26.153240000000004</v>
      </c>
      <c r="J108" s="4">
        <f t="shared" si="31"/>
        <v>34.712180000000004</v>
      </c>
      <c r="K108" s="4">
        <f t="shared" si="31"/>
        <v>43.27112000000001</v>
      </c>
      <c r="L108" s="4">
        <f t="shared" si="31"/>
        <v>51.830060000000003</v>
      </c>
      <c r="M108" s="4">
        <v>60.389000000000003</v>
      </c>
      <c r="N108" s="4">
        <f t="shared" si="32"/>
        <v>63.193520000000007</v>
      </c>
      <c r="O108" s="4">
        <f t="shared" si="32"/>
        <v>65.998040000000003</v>
      </c>
      <c r="P108" s="4">
        <f t="shared" si="32"/>
        <v>68.80256</v>
      </c>
      <c r="Q108" s="4">
        <f t="shared" si="32"/>
        <v>71.607080000000011</v>
      </c>
      <c r="R108" s="4">
        <v>74.411600000000007</v>
      </c>
      <c r="S108" s="4">
        <f t="shared" si="33"/>
        <v>72.450780000000009</v>
      </c>
      <c r="T108" s="4">
        <f t="shared" si="33"/>
        <v>70.489960000000011</v>
      </c>
      <c r="U108" s="4">
        <f t="shared" si="33"/>
        <v>68.529139999999998</v>
      </c>
      <c r="V108" s="4">
        <f t="shared" si="33"/>
        <v>66.56832</v>
      </c>
      <c r="W108" s="4">
        <v>64.607500000000002</v>
      </c>
      <c r="X108" s="4">
        <f t="shared" si="34"/>
        <v>59.703560000000003</v>
      </c>
      <c r="Y108" s="4">
        <f t="shared" si="34"/>
        <v>54.799620000000004</v>
      </c>
      <c r="Z108" s="4">
        <f t="shared" si="34"/>
        <v>49.895679999999999</v>
      </c>
      <c r="AA108" s="4">
        <f t="shared" si="34"/>
        <v>44.99174</v>
      </c>
      <c r="AB108" s="4">
        <v>40.087800000000001</v>
      </c>
      <c r="AC108" s="4">
        <f t="shared" si="35"/>
        <v>32.070239999999998</v>
      </c>
      <c r="AD108" s="4">
        <f t="shared" si="35"/>
        <v>24.052680000000002</v>
      </c>
      <c r="AE108" s="4">
        <f t="shared" si="35"/>
        <v>16.035120000000003</v>
      </c>
      <c r="AF108" s="4">
        <f t="shared" si="35"/>
        <v>8.0175600000000031</v>
      </c>
      <c r="AG108" s="4">
        <v>0</v>
      </c>
      <c r="AH108" s="4">
        <f>SUM(Tableau2[[#This Row],[2022]:[2050]])</f>
        <v>1285.6791800000001</v>
      </c>
    </row>
    <row r="109" spans="1:36" x14ac:dyDescent="0.3">
      <c r="A109" s="2" t="s">
        <v>75</v>
      </c>
      <c r="C109" s="3" t="s">
        <v>22</v>
      </c>
      <c r="D109" s="2" t="s">
        <v>72</v>
      </c>
      <c r="E109" s="4">
        <v>0.25209999999999999</v>
      </c>
      <c r="F109" s="4">
        <f t="shared" si="30"/>
        <v>0.26431733333333335</v>
      </c>
      <c r="G109" s="4">
        <f t="shared" si="30"/>
        <v>0.27653466666666665</v>
      </c>
      <c r="H109" s="4">
        <v>0.28875200000000001</v>
      </c>
      <c r="I109" s="4">
        <f t="shared" si="31"/>
        <v>0.29943380000000003</v>
      </c>
      <c r="J109" s="4">
        <f t="shared" si="31"/>
        <v>0.31011559999999999</v>
      </c>
      <c r="K109" s="4">
        <f t="shared" si="31"/>
        <v>0.32079740000000001</v>
      </c>
      <c r="L109" s="4">
        <f t="shared" si="31"/>
        <v>0.33147919999999997</v>
      </c>
      <c r="M109" s="4">
        <v>0.34216099999999999</v>
      </c>
      <c r="N109" s="4">
        <f t="shared" si="32"/>
        <v>0.34321479999999999</v>
      </c>
      <c r="O109" s="4">
        <f t="shared" si="32"/>
        <v>0.34426859999999998</v>
      </c>
      <c r="P109" s="4">
        <f t="shared" si="32"/>
        <v>0.34532240000000003</v>
      </c>
      <c r="Q109" s="4">
        <f t="shared" si="32"/>
        <v>0.34637620000000002</v>
      </c>
      <c r="R109" s="4">
        <v>0.34743000000000002</v>
      </c>
      <c r="S109" s="4">
        <f t="shared" si="33"/>
        <v>0.35069460000000002</v>
      </c>
      <c r="T109" s="4">
        <f t="shared" si="33"/>
        <v>0.35395920000000003</v>
      </c>
      <c r="U109" s="4">
        <f t="shared" si="33"/>
        <v>0.35722379999999998</v>
      </c>
      <c r="V109" s="4">
        <f t="shared" si="33"/>
        <v>0.36048839999999999</v>
      </c>
      <c r="W109" s="4">
        <v>0.36375299999999999</v>
      </c>
      <c r="X109" s="4">
        <f t="shared" si="34"/>
        <v>0.3748766</v>
      </c>
      <c r="Y109" s="4">
        <f t="shared" si="34"/>
        <v>0.38600020000000002</v>
      </c>
      <c r="Z109" s="4">
        <f t="shared" si="34"/>
        <v>0.39712380000000003</v>
      </c>
      <c r="AA109" s="4">
        <f t="shared" si="34"/>
        <v>0.40824739999999998</v>
      </c>
      <c r="AB109" s="4">
        <v>0.41937099999999999</v>
      </c>
      <c r="AC109" s="4">
        <f t="shared" si="35"/>
        <v>0.42986780000000002</v>
      </c>
      <c r="AD109" s="4">
        <f t="shared" si="35"/>
        <v>0.44036459999999999</v>
      </c>
      <c r="AE109" s="4">
        <f t="shared" si="35"/>
        <v>0.45086140000000002</v>
      </c>
      <c r="AF109" s="4">
        <f t="shared" si="35"/>
        <v>0.4613582</v>
      </c>
      <c r="AG109" s="4">
        <v>0.47185500000000002</v>
      </c>
      <c r="AH109" s="5">
        <f>SUM(Tableau2[[#This Row],[2022]:[2050]])</f>
        <v>10.438348000000001</v>
      </c>
    </row>
    <row r="110" spans="1:36" x14ac:dyDescent="0.3">
      <c r="A110" s="2" t="s">
        <v>86</v>
      </c>
      <c r="B110" s="2"/>
      <c r="C110" s="3" t="s">
        <v>22</v>
      </c>
      <c r="D110" s="2" t="s">
        <v>74</v>
      </c>
      <c r="E110" s="4">
        <v>1.7661100000000001</v>
      </c>
      <c r="F110" s="4">
        <f t="shared" si="30"/>
        <v>13.028506666666667</v>
      </c>
      <c r="G110" s="4">
        <f t="shared" si="30"/>
        <v>24.290903333333336</v>
      </c>
      <c r="H110" s="4">
        <v>35.5533</v>
      </c>
      <c r="I110" s="4">
        <f t="shared" si="31"/>
        <v>51.457239999999999</v>
      </c>
      <c r="J110" s="4">
        <f t="shared" si="31"/>
        <v>67.361180000000004</v>
      </c>
      <c r="K110" s="4">
        <f t="shared" si="31"/>
        <v>83.265119999999996</v>
      </c>
      <c r="L110" s="4">
        <f t="shared" si="31"/>
        <v>99.169060000000002</v>
      </c>
      <c r="M110" s="4">
        <v>115.07299999999999</v>
      </c>
      <c r="N110" s="4">
        <f t="shared" si="32"/>
        <v>115.6502</v>
      </c>
      <c r="O110" s="4">
        <f t="shared" si="32"/>
        <v>116.2274</v>
      </c>
      <c r="P110" s="4">
        <f t="shared" si="32"/>
        <v>116.80459999999999</v>
      </c>
      <c r="Q110" s="4">
        <f t="shared" si="32"/>
        <v>117.3818</v>
      </c>
      <c r="R110" s="4">
        <v>117.959</v>
      </c>
      <c r="S110" s="4">
        <f t="shared" si="33"/>
        <v>112.89634000000001</v>
      </c>
      <c r="T110" s="4">
        <f t="shared" si="33"/>
        <v>107.83368</v>
      </c>
      <c r="U110" s="4">
        <f t="shared" si="33"/>
        <v>102.77102000000001</v>
      </c>
      <c r="V110" s="4">
        <f t="shared" si="33"/>
        <v>97.708359999999999</v>
      </c>
      <c r="W110" s="4">
        <v>92.645700000000005</v>
      </c>
      <c r="X110" s="4">
        <f t="shared" si="34"/>
        <v>86.820140000000009</v>
      </c>
      <c r="Y110" s="4">
        <f t="shared" si="34"/>
        <v>80.994579999999999</v>
      </c>
      <c r="Z110" s="4">
        <f t="shared" si="34"/>
        <v>75.169020000000003</v>
      </c>
      <c r="AA110" s="4">
        <f t="shared" si="34"/>
        <v>69.343459999999993</v>
      </c>
      <c r="AB110" s="4">
        <v>63.517899999999997</v>
      </c>
      <c r="AC110" s="4">
        <f t="shared" si="35"/>
        <v>68.165379999999999</v>
      </c>
      <c r="AD110" s="4">
        <f t="shared" si="35"/>
        <v>72.812860000000001</v>
      </c>
      <c r="AE110" s="4">
        <f t="shared" si="35"/>
        <v>77.460340000000002</v>
      </c>
      <c r="AF110" s="4">
        <f t="shared" si="35"/>
        <v>82.107820000000004</v>
      </c>
      <c r="AG110" s="4">
        <v>86.755300000000005</v>
      </c>
      <c r="AH110" s="4">
        <f>SUM(Tableau2[[#This Row],[2022]:[2050]])</f>
        <v>2351.9893200000001</v>
      </c>
    </row>
    <row r="111" spans="1:36" hidden="1" x14ac:dyDescent="0.3">
      <c r="A111" s="2" t="s">
        <v>75</v>
      </c>
      <c r="C111" s="3" t="s">
        <v>22</v>
      </c>
      <c r="D111" s="2" t="s">
        <v>73</v>
      </c>
      <c r="E111" s="6">
        <v>0.25209999999999999</v>
      </c>
      <c r="F111" s="6">
        <f t="shared" si="30"/>
        <v>0.28253633333333333</v>
      </c>
      <c r="G111" s="6">
        <f t="shared" si="30"/>
        <v>0.31297266666666668</v>
      </c>
      <c r="H111" s="6">
        <v>0.34340900000000002</v>
      </c>
      <c r="I111" s="6">
        <f t="shared" si="31"/>
        <v>0.36479080000000003</v>
      </c>
      <c r="J111" s="6">
        <f t="shared" si="31"/>
        <v>0.38617260000000003</v>
      </c>
      <c r="K111" s="6">
        <f t="shared" si="31"/>
        <v>0.40755439999999998</v>
      </c>
      <c r="L111" s="6">
        <f t="shared" si="31"/>
        <v>0.42893619999999999</v>
      </c>
      <c r="M111" s="6">
        <v>0.450318</v>
      </c>
      <c r="N111" s="6">
        <f t="shared" si="32"/>
        <v>0.46507480000000001</v>
      </c>
      <c r="O111" s="6">
        <f t="shared" si="32"/>
        <v>0.47983159999999997</v>
      </c>
      <c r="P111" s="6">
        <f t="shared" si="32"/>
        <v>0.49458839999999998</v>
      </c>
      <c r="Q111" s="6">
        <f t="shared" si="32"/>
        <v>0.50934519999999994</v>
      </c>
      <c r="R111" s="6">
        <v>0.52410199999999996</v>
      </c>
      <c r="S111" s="6">
        <f t="shared" si="33"/>
        <v>0.52643739999999994</v>
      </c>
      <c r="T111" s="6">
        <f t="shared" si="33"/>
        <v>0.52877279999999993</v>
      </c>
      <c r="U111" s="6">
        <f t="shared" si="33"/>
        <v>0.53110820000000003</v>
      </c>
      <c r="V111" s="6">
        <f t="shared" si="33"/>
        <v>0.53344360000000002</v>
      </c>
      <c r="W111" s="6">
        <v>0.53577900000000001</v>
      </c>
      <c r="X111" s="6">
        <f t="shared" si="34"/>
        <v>0.55271539999999997</v>
      </c>
      <c r="Y111" s="6">
        <f t="shared" si="34"/>
        <v>0.56965180000000004</v>
      </c>
      <c r="Z111" s="6">
        <f t="shared" si="34"/>
        <v>0.5865882</v>
      </c>
      <c r="AA111" s="6">
        <f t="shared" si="34"/>
        <v>0.60352460000000008</v>
      </c>
      <c r="AB111" s="6">
        <v>0.62046100000000004</v>
      </c>
      <c r="AC111" s="6">
        <f t="shared" si="35"/>
        <v>0.63397820000000005</v>
      </c>
      <c r="AD111" s="6">
        <f t="shared" si="35"/>
        <v>0.64749540000000005</v>
      </c>
      <c r="AE111" s="6">
        <f t="shared" si="35"/>
        <v>0.66101259999999995</v>
      </c>
      <c r="AF111" s="6">
        <f t="shared" si="35"/>
        <v>0.67452979999999996</v>
      </c>
      <c r="AG111" s="6">
        <v>0.68804699999999996</v>
      </c>
      <c r="AH111" s="5">
        <f>SUM(Tableau2[[#This Row],[2022]:[2050]])</f>
        <v>14.595276999999999</v>
      </c>
    </row>
    <row r="112" spans="1:36" x14ac:dyDescent="0.3">
      <c r="A112" s="2" t="s">
        <v>77</v>
      </c>
      <c r="B112" s="2" t="s">
        <v>82</v>
      </c>
      <c r="C112" s="3" t="s">
        <v>22</v>
      </c>
      <c r="D112" s="2" t="s">
        <v>72</v>
      </c>
      <c r="E112" s="4">
        <v>36.5381</v>
      </c>
      <c r="F112" s="4">
        <f t="shared" si="30"/>
        <v>37.420999999999999</v>
      </c>
      <c r="G112" s="4">
        <f t="shared" si="30"/>
        <v>38.303899999999999</v>
      </c>
      <c r="H112" s="4">
        <v>39.186799999999998</v>
      </c>
      <c r="I112" s="4">
        <f t="shared" si="31"/>
        <v>41.344760000000001</v>
      </c>
      <c r="J112" s="4">
        <f t="shared" si="31"/>
        <v>43.502719999999997</v>
      </c>
      <c r="K112" s="4">
        <f t="shared" si="31"/>
        <v>45.660679999999999</v>
      </c>
      <c r="L112" s="4">
        <f t="shared" si="31"/>
        <v>47.818640000000002</v>
      </c>
      <c r="M112" s="4">
        <v>49.976599999999998</v>
      </c>
      <c r="N112" s="4">
        <f t="shared" si="32"/>
        <v>49.81268</v>
      </c>
      <c r="O112" s="4">
        <f t="shared" si="32"/>
        <v>49.648759999999996</v>
      </c>
      <c r="P112" s="4">
        <f t="shared" si="32"/>
        <v>49.484839999999998</v>
      </c>
      <c r="Q112" s="4">
        <f t="shared" si="32"/>
        <v>49.320919999999994</v>
      </c>
      <c r="R112" s="4">
        <v>49.156999999999996</v>
      </c>
      <c r="S112" s="4">
        <f t="shared" si="33"/>
        <v>48.533179999999994</v>
      </c>
      <c r="T112" s="4">
        <f t="shared" si="33"/>
        <v>47.90936</v>
      </c>
      <c r="U112" s="4">
        <f t="shared" si="33"/>
        <v>47.285539999999997</v>
      </c>
      <c r="V112" s="4">
        <f t="shared" si="33"/>
        <v>46.661720000000003</v>
      </c>
      <c r="W112" s="4">
        <v>46.0379</v>
      </c>
      <c r="X112" s="4">
        <f t="shared" si="34"/>
        <v>48.128120000000003</v>
      </c>
      <c r="Y112" s="4">
        <f t="shared" si="34"/>
        <v>50.218339999999998</v>
      </c>
      <c r="Z112" s="4">
        <f t="shared" si="34"/>
        <v>52.30856</v>
      </c>
      <c r="AA112" s="4">
        <f t="shared" si="34"/>
        <v>54.398780000000002</v>
      </c>
      <c r="AB112" s="4">
        <v>56.488999999999997</v>
      </c>
      <c r="AC112" s="4">
        <f t="shared" si="35"/>
        <v>57.42098</v>
      </c>
      <c r="AD112" s="4">
        <f t="shared" si="35"/>
        <v>58.352959999999996</v>
      </c>
      <c r="AE112" s="4">
        <f t="shared" si="35"/>
        <v>59.284939999999999</v>
      </c>
      <c r="AF112" s="4">
        <f t="shared" si="35"/>
        <v>60.216919999999995</v>
      </c>
      <c r="AG112" s="4">
        <v>61.148899999999998</v>
      </c>
      <c r="AH112" s="5">
        <f>SUM(Tableau2[[#This Row],[2022]:[2050]])</f>
        <v>1421.5726</v>
      </c>
      <c r="AJ112" s="4"/>
    </row>
    <row r="113" spans="1:36" hidden="1" x14ac:dyDescent="0.3">
      <c r="A113" s="2" t="s">
        <v>77</v>
      </c>
      <c r="B113" s="2" t="s">
        <v>82</v>
      </c>
      <c r="C113" s="3" t="s">
        <v>22</v>
      </c>
      <c r="D113" s="2" t="s">
        <v>73</v>
      </c>
      <c r="E113" s="6">
        <v>36.5381</v>
      </c>
      <c r="F113" s="6">
        <f t="shared" si="30"/>
        <v>40.588500000000003</v>
      </c>
      <c r="G113" s="6">
        <f t="shared" si="30"/>
        <v>44.6389</v>
      </c>
      <c r="H113">
        <v>48.689300000000003</v>
      </c>
      <c r="I113" s="6">
        <f t="shared" si="31"/>
        <v>53.419420000000002</v>
      </c>
      <c r="J113" s="6">
        <f t="shared" si="31"/>
        <v>58.149540000000002</v>
      </c>
      <c r="K113" s="6">
        <f t="shared" si="31"/>
        <v>62.879660000000001</v>
      </c>
      <c r="L113" s="6">
        <f t="shared" si="31"/>
        <v>67.609780000000001</v>
      </c>
      <c r="M113">
        <v>72.3399</v>
      </c>
      <c r="N113" s="6">
        <f t="shared" si="32"/>
        <v>73.953860000000006</v>
      </c>
      <c r="O113" s="6">
        <f t="shared" si="32"/>
        <v>75.567819999999998</v>
      </c>
      <c r="P113" s="6">
        <f t="shared" si="32"/>
        <v>77.181780000000003</v>
      </c>
      <c r="Q113" s="6">
        <f t="shared" si="32"/>
        <v>78.795739999999995</v>
      </c>
      <c r="R113">
        <v>80.409700000000001</v>
      </c>
      <c r="S113" s="6">
        <f t="shared" si="33"/>
        <v>80.725359999999995</v>
      </c>
      <c r="T113" s="6">
        <f t="shared" si="33"/>
        <v>81.041020000000003</v>
      </c>
      <c r="U113" s="6">
        <f t="shared" si="33"/>
        <v>81.356679999999997</v>
      </c>
      <c r="V113" s="6">
        <f t="shared" si="33"/>
        <v>81.672340000000005</v>
      </c>
      <c r="W113">
        <v>81.988</v>
      </c>
      <c r="X113" s="6">
        <f t="shared" si="34"/>
        <v>81.574539999999999</v>
      </c>
      <c r="Y113" s="6">
        <f t="shared" si="34"/>
        <v>81.161079999999998</v>
      </c>
      <c r="Z113" s="6">
        <f t="shared" si="34"/>
        <v>80.747619999999998</v>
      </c>
      <c r="AA113" s="6">
        <f t="shared" si="34"/>
        <v>80.334159999999997</v>
      </c>
      <c r="AB113">
        <v>79.920699999999997</v>
      </c>
      <c r="AC113" s="6">
        <f t="shared" si="35"/>
        <v>81.464519999999993</v>
      </c>
      <c r="AD113" s="6">
        <f t="shared" si="35"/>
        <v>83.00833999999999</v>
      </c>
      <c r="AE113" s="6">
        <f t="shared" si="35"/>
        <v>84.552160000000001</v>
      </c>
      <c r="AF113" s="6">
        <f t="shared" si="35"/>
        <v>86.095979999999997</v>
      </c>
      <c r="AG113">
        <v>87.639799999999994</v>
      </c>
      <c r="AH113" s="5">
        <f>SUM(Tableau2[[#This Row],[2022]:[2050]])</f>
        <v>2104.0443000000009</v>
      </c>
    </row>
    <row r="114" spans="1:36" x14ac:dyDescent="0.3">
      <c r="A114" s="2" t="s">
        <v>75</v>
      </c>
      <c r="B114" s="2" t="s">
        <v>82</v>
      </c>
      <c r="C114" s="3" t="s">
        <v>22</v>
      </c>
      <c r="D114" s="2" t="s">
        <v>74</v>
      </c>
      <c r="E114" s="4">
        <v>0.25209999999999999</v>
      </c>
      <c r="F114" s="4">
        <f t="shared" si="30"/>
        <v>0.32832899999999998</v>
      </c>
      <c r="G114" s="4">
        <f t="shared" si="30"/>
        <v>0.40455799999999997</v>
      </c>
      <c r="H114" s="4">
        <v>0.48078700000000002</v>
      </c>
      <c r="I114" s="4">
        <f t="shared" si="31"/>
        <v>0.54126099999999999</v>
      </c>
      <c r="J114" s="4">
        <f t="shared" si="31"/>
        <v>0.60173500000000002</v>
      </c>
      <c r="K114" s="4">
        <f t="shared" si="31"/>
        <v>0.66220900000000005</v>
      </c>
      <c r="L114" s="4">
        <f t="shared" si="31"/>
        <v>0.72268299999999996</v>
      </c>
      <c r="M114" s="4">
        <v>0.78315699999999999</v>
      </c>
      <c r="N114" s="4">
        <f t="shared" si="32"/>
        <v>0.78685660000000002</v>
      </c>
      <c r="O114" s="4">
        <f t="shared" si="32"/>
        <v>0.79055620000000004</v>
      </c>
      <c r="P114" s="4">
        <f t="shared" si="32"/>
        <v>0.79425579999999996</v>
      </c>
      <c r="Q114" s="4">
        <f t="shared" si="32"/>
        <v>0.79795539999999998</v>
      </c>
      <c r="R114" s="4">
        <v>0.80165500000000001</v>
      </c>
      <c r="S114" s="4">
        <f t="shared" si="33"/>
        <v>0.79862060000000001</v>
      </c>
      <c r="T114" s="4">
        <f t="shared" si="33"/>
        <v>0.79558620000000002</v>
      </c>
      <c r="U114" s="4">
        <f t="shared" si="33"/>
        <v>0.79255180000000003</v>
      </c>
      <c r="V114" s="4">
        <f t="shared" si="33"/>
        <v>0.78951740000000004</v>
      </c>
      <c r="W114" s="4">
        <v>0.78648300000000004</v>
      </c>
      <c r="X114" s="4">
        <f t="shared" si="34"/>
        <v>0.75647140000000002</v>
      </c>
      <c r="Y114" s="4">
        <f t="shared" si="34"/>
        <v>0.72645979999999999</v>
      </c>
      <c r="Z114" s="4">
        <f t="shared" si="34"/>
        <v>0.69644820000000007</v>
      </c>
      <c r="AA114" s="4">
        <f t="shared" si="34"/>
        <v>0.66643660000000005</v>
      </c>
      <c r="AB114" s="4">
        <v>0.63642500000000002</v>
      </c>
      <c r="AC114" s="4">
        <f t="shared" si="35"/>
        <v>0.65085400000000004</v>
      </c>
      <c r="AD114" s="4">
        <f t="shared" si="35"/>
        <v>0.66528300000000007</v>
      </c>
      <c r="AE114" s="4">
        <f t="shared" si="35"/>
        <v>0.67971199999999998</v>
      </c>
      <c r="AF114" s="4">
        <f t="shared" si="35"/>
        <v>0.69414100000000001</v>
      </c>
      <c r="AG114" s="4">
        <v>0.70857000000000003</v>
      </c>
      <c r="AH114" s="4">
        <f>SUM(Tableau2[[#This Row],[2022]:[2050]])</f>
        <v>19.591657999999999</v>
      </c>
    </row>
    <row r="115" spans="1:36" x14ac:dyDescent="0.3">
      <c r="A115" s="2" t="s">
        <v>86</v>
      </c>
      <c r="B115" s="2"/>
      <c r="C115" s="3" t="s">
        <v>23</v>
      </c>
      <c r="D115" s="2" t="s">
        <v>72</v>
      </c>
      <c r="E115" s="4">
        <v>1.4704520000000001E-3</v>
      </c>
      <c r="F115" s="4">
        <f t="shared" si="30"/>
        <v>1.963341E-3</v>
      </c>
      <c r="G115" s="4">
        <f t="shared" si="30"/>
        <v>2.4562300000000002E-3</v>
      </c>
      <c r="H115" s="4">
        <v>2.949119E-3</v>
      </c>
      <c r="I115" s="4">
        <f t="shared" si="31"/>
        <v>3.6467448000000002E-3</v>
      </c>
      <c r="J115" s="4">
        <f t="shared" si="31"/>
        <v>4.3443706000000004E-3</v>
      </c>
      <c r="K115" s="4">
        <f t="shared" si="31"/>
        <v>5.0419964000000001E-3</v>
      </c>
      <c r="L115" s="4">
        <f t="shared" si="31"/>
        <v>5.7396222000000007E-3</v>
      </c>
      <c r="M115" s="4">
        <v>6.4372480000000004E-3</v>
      </c>
      <c r="N115" s="4">
        <f t="shared" si="32"/>
        <v>7.1778838000000006E-3</v>
      </c>
      <c r="O115" s="4">
        <f t="shared" si="32"/>
        <v>7.9185195999999999E-3</v>
      </c>
      <c r="P115" s="4">
        <f t="shared" si="32"/>
        <v>8.6591554000000001E-3</v>
      </c>
      <c r="Q115" s="4">
        <f t="shared" si="32"/>
        <v>9.3997912000000003E-3</v>
      </c>
      <c r="R115" s="4">
        <v>1.0140427E-2</v>
      </c>
      <c r="S115" s="4">
        <f t="shared" si="33"/>
        <v>1.08751254E-2</v>
      </c>
      <c r="T115" s="4">
        <f t="shared" si="33"/>
        <v>1.16098238E-2</v>
      </c>
      <c r="U115" s="4">
        <f t="shared" si="33"/>
        <v>1.2344522199999999E-2</v>
      </c>
      <c r="V115" s="4">
        <f t="shared" si="33"/>
        <v>1.30792206E-2</v>
      </c>
      <c r="W115" s="4">
        <v>1.3813918999999999E-2</v>
      </c>
      <c r="X115" s="4">
        <f t="shared" si="34"/>
        <v>1.4381459799999999E-2</v>
      </c>
      <c r="Y115" s="4">
        <f t="shared" si="34"/>
        <v>1.4949000599999998E-2</v>
      </c>
      <c r="Z115" s="4">
        <f t="shared" si="34"/>
        <v>1.5516541399999998E-2</v>
      </c>
      <c r="AA115" s="4">
        <f t="shared" si="34"/>
        <v>1.6084082199999999E-2</v>
      </c>
      <c r="AB115" s="4">
        <v>1.6651622999999997E-2</v>
      </c>
      <c r="AC115" s="4">
        <f t="shared" si="35"/>
        <v>1.7403588799999998E-2</v>
      </c>
      <c r="AD115" s="4">
        <f t="shared" si="35"/>
        <v>1.8155554599999998E-2</v>
      </c>
      <c r="AE115" s="4">
        <f t="shared" si="35"/>
        <v>1.8907520399999999E-2</v>
      </c>
      <c r="AF115" s="4">
        <f t="shared" si="35"/>
        <v>1.96594862E-2</v>
      </c>
      <c r="AG115" s="4">
        <v>2.0411452E-2</v>
      </c>
      <c r="AH115" s="5">
        <f>SUM(Tableau2[[#This Row],[2022]:[2050]])</f>
        <v>0.31118782100000003</v>
      </c>
    </row>
    <row r="116" spans="1:36" hidden="1" x14ac:dyDescent="0.3">
      <c r="A116" s="2" t="s">
        <v>86</v>
      </c>
      <c r="B116" s="2"/>
      <c r="C116" s="3" t="s">
        <v>23</v>
      </c>
      <c r="D116" s="2" t="s">
        <v>73</v>
      </c>
      <c r="E116" s="6">
        <v>1.4704520000000001E-3</v>
      </c>
      <c r="F116" s="6">
        <f t="shared" si="30"/>
        <v>4.2293513333333333E-3</v>
      </c>
      <c r="G116" s="6">
        <f t="shared" si="30"/>
        <v>6.988250666666666E-3</v>
      </c>
      <c r="H116">
        <v>9.7471499999999996E-3</v>
      </c>
      <c r="I116" s="6">
        <f t="shared" si="31"/>
        <v>1.2356803999999999E-2</v>
      </c>
      <c r="J116" s="6">
        <f t="shared" si="31"/>
        <v>1.4966458E-2</v>
      </c>
      <c r="K116" s="6">
        <f t="shared" si="31"/>
        <v>1.7576112000000001E-2</v>
      </c>
      <c r="L116" s="6">
        <f t="shared" si="31"/>
        <v>2.0185766000000001E-2</v>
      </c>
      <c r="M116">
        <v>2.279542E-2</v>
      </c>
      <c r="N116" s="6">
        <f t="shared" si="32"/>
        <v>2.9571658000000001E-2</v>
      </c>
      <c r="O116" s="6">
        <f t="shared" si="32"/>
        <v>3.6347896000000005E-2</v>
      </c>
      <c r="P116" s="6">
        <f t="shared" si="32"/>
        <v>4.3124134000000008E-2</v>
      </c>
      <c r="Q116" s="6">
        <f t="shared" si="32"/>
        <v>4.9900372000000005E-2</v>
      </c>
      <c r="R116">
        <v>5.6676610000000002E-2</v>
      </c>
      <c r="S116" s="6">
        <f t="shared" si="33"/>
        <v>6.2051908000000003E-2</v>
      </c>
      <c r="T116" s="6">
        <f t="shared" si="33"/>
        <v>6.7427206000000003E-2</v>
      </c>
      <c r="U116" s="6">
        <f t="shared" si="33"/>
        <v>7.280250399999999E-2</v>
      </c>
      <c r="V116" s="6">
        <f t="shared" si="33"/>
        <v>7.8177801999999991E-2</v>
      </c>
      <c r="W116">
        <v>8.3553099999999991E-2</v>
      </c>
      <c r="X116" s="6">
        <f t="shared" si="34"/>
        <v>8.4920219999999991E-2</v>
      </c>
      <c r="Y116" s="6">
        <f t="shared" si="34"/>
        <v>8.628733999999999E-2</v>
      </c>
      <c r="Z116" s="6">
        <f t="shared" si="34"/>
        <v>8.7654460000000003E-2</v>
      </c>
      <c r="AA116" s="6">
        <f t="shared" si="34"/>
        <v>8.9021580000000003E-2</v>
      </c>
      <c r="AB116">
        <v>9.0388700000000002E-2</v>
      </c>
      <c r="AC116" s="6">
        <f t="shared" si="35"/>
        <v>8.7898518000000009E-2</v>
      </c>
      <c r="AD116" s="6">
        <f t="shared" si="35"/>
        <v>8.5408336000000001E-2</v>
      </c>
      <c r="AE116" s="6">
        <f t="shared" si="35"/>
        <v>8.2918154000000008E-2</v>
      </c>
      <c r="AF116" s="6">
        <f t="shared" si="35"/>
        <v>8.0427972E-2</v>
      </c>
      <c r="AG116">
        <v>7.7937790000000007E-2</v>
      </c>
      <c r="AH116" s="5">
        <f>SUM(Tableau2[[#This Row],[2022]:[2050]])</f>
        <v>1.5428120240000001</v>
      </c>
    </row>
    <row r="117" spans="1:36" x14ac:dyDescent="0.3">
      <c r="A117" s="2" t="s">
        <v>86</v>
      </c>
      <c r="B117" s="2"/>
      <c r="C117" s="3" t="s">
        <v>23</v>
      </c>
      <c r="D117" s="2" t="s">
        <v>74</v>
      </c>
      <c r="E117" s="4">
        <v>1.4704520000000001E-3</v>
      </c>
      <c r="F117" s="4">
        <f t="shared" si="30"/>
        <v>1.0718087999999999E-2</v>
      </c>
      <c r="G117" s="4">
        <f t="shared" si="30"/>
        <v>1.9965723999999997E-2</v>
      </c>
      <c r="H117" s="4">
        <v>2.9213359999999997E-2</v>
      </c>
      <c r="I117" s="4">
        <f t="shared" si="31"/>
        <v>4.0174135999999999E-2</v>
      </c>
      <c r="J117" s="4">
        <f t="shared" si="31"/>
        <v>5.1134912000000005E-2</v>
      </c>
      <c r="K117" s="4">
        <f t="shared" si="31"/>
        <v>6.2095687999999996E-2</v>
      </c>
      <c r="L117" s="4">
        <f t="shared" si="31"/>
        <v>7.3056464000000002E-2</v>
      </c>
      <c r="M117" s="4">
        <v>8.4017240000000007E-2</v>
      </c>
      <c r="N117" s="4">
        <f t="shared" si="32"/>
        <v>0.10033852800000001</v>
      </c>
      <c r="O117" s="4">
        <f t="shared" si="32"/>
        <v>0.11665981600000001</v>
      </c>
      <c r="P117" s="4">
        <f t="shared" si="32"/>
        <v>0.13298110400000002</v>
      </c>
      <c r="Q117" s="4">
        <f t="shared" si="32"/>
        <v>0.14930239200000001</v>
      </c>
      <c r="R117" s="4">
        <v>0.16562368000000002</v>
      </c>
      <c r="S117" s="4">
        <f t="shared" si="33"/>
        <v>0.17232565400000002</v>
      </c>
      <c r="T117" s="4">
        <f t="shared" si="33"/>
        <v>0.17902762800000002</v>
      </c>
      <c r="U117" s="4">
        <f t="shared" si="33"/>
        <v>0.18572960200000002</v>
      </c>
      <c r="V117" s="4">
        <f t="shared" si="33"/>
        <v>0.19243157600000002</v>
      </c>
      <c r="W117" s="4">
        <v>0.19913355000000002</v>
      </c>
      <c r="X117" s="4">
        <f t="shared" si="34"/>
        <v>0.19673398200000003</v>
      </c>
      <c r="Y117" s="4">
        <f t="shared" si="34"/>
        <v>0.19433441400000001</v>
      </c>
      <c r="Z117" s="4">
        <f t="shared" si="34"/>
        <v>0.19193484600000002</v>
      </c>
      <c r="AA117" s="4">
        <f t="shared" si="34"/>
        <v>0.189535278</v>
      </c>
      <c r="AB117" s="4">
        <v>0.18713571000000001</v>
      </c>
      <c r="AC117" s="4">
        <f t="shared" si="35"/>
        <v>0.177802248</v>
      </c>
      <c r="AD117" s="4">
        <f t="shared" si="35"/>
        <v>0.16846878600000001</v>
      </c>
      <c r="AE117" s="4">
        <f t="shared" si="35"/>
        <v>0.15913532399999999</v>
      </c>
      <c r="AF117" s="4">
        <f t="shared" si="35"/>
        <v>0.14980186200000001</v>
      </c>
      <c r="AG117" s="4">
        <v>0.14046839999999999</v>
      </c>
      <c r="AH117" s="4">
        <f>SUM(Tableau2[[#This Row],[2022]:[2050]])</f>
        <v>3.7207504440000005</v>
      </c>
    </row>
    <row r="118" spans="1:36" hidden="1" x14ac:dyDescent="0.3">
      <c r="A118" s="2" t="s">
        <v>85</v>
      </c>
      <c r="B118" s="2" t="s">
        <v>78</v>
      </c>
      <c r="C118" s="3" t="s">
        <v>24</v>
      </c>
      <c r="D118" s="2" t="s">
        <v>73</v>
      </c>
      <c r="E118" s="6">
        <v>0.59429200000000004</v>
      </c>
      <c r="F118" s="6">
        <f t="shared" si="30"/>
        <v>0.81635466666666667</v>
      </c>
      <c r="G118" s="6">
        <f t="shared" si="30"/>
        <v>1.0384173333333333</v>
      </c>
      <c r="H118">
        <v>1.26048</v>
      </c>
      <c r="I118" s="6">
        <f t="shared" si="31"/>
        <v>1.5374140000000001</v>
      </c>
      <c r="J118" s="6">
        <f t="shared" si="31"/>
        <v>1.8143480000000001</v>
      </c>
      <c r="K118" s="6">
        <f t="shared" si="31"/>
        <v>2.0912820000000001</v>
      </c>
      <c r="L118" s="6">
        <f t="shared" si="31"/>
        <v>2.3682160000000003</v>
      </c>
      <c r="M118">
        <v>2.6451500000000001</v>
      </c>
      <c r="N118" s="6">
        <f t="shared" si="32"/>
        <v>3.0238659999999999</v>
      </c>
      <c r="O118" s="6">
        <f t="shared" si="32"/>
        <v>3.4025820000000002</v>
      </c>
      <c r="P118" s="6">
        <f t="shared" si="32"/>
        <v>3.781298</v>
      </c>
      <c r="Q118" s="6">
        <f t="shared" si="32"/>
        <v>4.1600140000000003</v>
      </c>
      <c r="R118">
        <v>4.5387300000000002</v>
      </c>
      <c r="S118" s="6">
        <f t="shared" si="33"/>
        <v>4.8156040000000004</v>
      </c>
      <c r="T118" s="6">
        <f t="shared" si="33"/>
        <v>5.0924779999999998</v>
      </c>
      <c r="U118" s="6">
        <f t="shared" si="33"/>
        <v>5.3693520000000001</v>
      </c>
      <c r="V118" s="6">
        <f t="shared" si="33"/>
        <v>5.6462260000000004</v>
      </c>
      <c r="W118">
        <v>5.9230999999999998</v>
      </c>
      <c r="X118" s="6">
        <f t="shared" si="34"/>
        <v>6.0678479999999997</v>
      </c>
      <c r="Y118" s="6">
        <f t="shared" si="34"/>
        <v>6.2125959999999996</v>
      </c>
      <c r="Z118" s="6">
        <f t="shared" si="34"/>
        <v>6.3573440000000003</v>
      </c>
      <c r="AA118" s="6">
        <f t="shared" si="34"/>
        <v>6.5020920000000002</v>
      </c>
      <c r="AB118">
        <v>6.6468400000000001</v>
      </c>
      <c r="AC118" s="6">
        <f t="shared" si="35"/>
        <v>6.7794860000000003</v>
      </c>
      <c r="AD118" s="6">
        <f t="shared" si="35"/>
        <v>6.9121319999999997</v>
      </c>
      <c r="AE118" s="6">
        <f t="shared" si="35"/>
        <v>7.044778</v>
      </c>
      <c r="AF118" s="6">
        <f t="shared" si="35"/>
        <v>7.1774239999999994</v>
      </c>
      <c r="AG118">
        <v>7.3100699999999996</v>
      </c>
      <c r="AH118" s="5">
        <f>SUM(Tableau2[[#This Row],[2022]:[2050]])</f>
        <v>126.92981399999999</v>
      </c>
    </row>
    <row r="119" spans="1:36" x14ac:dyDescent="0.3">
      <c r="A119" s="2" t="s">
        <v>85</v>
      </c>
      <c r="B119" s="2" t="s">
        <v>78</v>
      </c>
      <c r="C119" s="3" t="s">
        <v>24</v>
      </c>
      <c r="D119" s="2" t="s">
        <v>72</v>
      </c>
      <c r="E119" s="4">
        <v>0.59429200000000004</v>
      </c>
      <c r="F119" s="4">
        <f t="shared" si="30"/>
        <v>0.75889799999999996</v>
      </c>
      <c r="G119" s="4">
        <f t="shared" si="30"/>
        <v>0.92350399999999988</v>
      </c>
      <c r="H119" s="4">
        <v>1.0881099999999999</v>
      </c>
      <c r="I119" s="4">
        <f t="shared" si="31"/>
        <v>1.236974</v>
      </c>
      <c r="J119" s="4">
        <f t="shared" si="31"/>
        <v>1.3858379999999999</v>
      </c>
      <c r="K119" s="4">
        <f t="shared" si="31"/>
        <v>1.534702</v>
      </c>
      <c r="L119" s="4">
        <f t="shared" si="31"/>
        <v>1.6835659999999999</v>
      </c>
      <c r="M119" s="4">
        <v>1.83243</v>
      </c>
      <c r="N119" s="4">
        <f t="shared" si="32"/>
        <v>1.919878</v>
      </c>
      <c r="O119" s="4">
        <f t="shared" si="32"/>
        <v>2.0073259999999999</v>
      </c>
      <c r="P119" s="4">
        <f t="shared" si="32"/>
        <v>2.0947740000000001</v>
      </c>
      <c r="Q119" s="4">
        <f t="shared" si="32"/>
        <v>2.1822219999999999</v>
      </c>
      <c r="R119" s="4">
        <v>2.2696700000000001</v>
      </c>
      <c r="S119" s="4">
        <f t="shared" si="33"/>
        <v>2.381224</v>
      </c>
      <c r="T119" s="4">
        <f t="shared" si="33"/>
        <v>2.4927779999999999</v>
      </c>
      <c r="U119" s="4">
        <f t="shared" si="33"/>
        <v>2.6043320000000003</v>
      </c>
      <c r="V119" s="4">
        <f t="shared" si="33"/>
        <v>2.7158860000000002</v>
      </c>
      <c r="W119" s="4">
        <v>2.8274400000000002</v>
      </c>
      <c r="X119" s="4">
        <f t="shared" si="34"/>
        <v>2.9159580000000003</v>
      </c>
      <c r="Y119" s="4">
        <f t="shared" si="34"/>
        <v>3.0044760000000004</v>
      </c>
      <c r="Z119" s="4">
        <f t="shared" si="34"/>
        <v>3.092994</v>
      </c>
      <c r="AA119" s="4">
        <f t="shared" si="34"/>
        <v>3.1815120000000001</v>
      </c>
      <c r="AB119" s="4">
        <v>3.2700300000000002</v>
      </c>
      <c r="AC119" s="4">
        <f t="shared" si="35"/>
        <v>3.3023980000000002</v>
      </c>
      <c r="AD119" s="4">
        <f t="shared" si="35"/>
        <v>3.3347660000000001</v>
      </c>
      <c r="AE119" s="4">
        <f t="shared" si="35"/>
        <v>3.3671340000000001</v>
      </c>
      <c r="AF119" s="4">
        <f t="shared" si="35"/>
        <v>3.399502</v>
      </c>
      <c r="AG119" s="4">
        <v>3.43187</v>
      </c>
      <c r="AH119" s="5">
        <f>SUM(Tableau2[[#This Row],[2022]:[2050]])</f>
        <v>66.834483999999989</v>
      </c>
    </row>
    <row r="120" spans="1:36" x14ac:dyDescent="0.3">
      <c r="A120" s="2" t="s">
        <v>77</v>
      </c>
      <c r="B120" s="2" t="s">
        <v>78</v>
      </c>
      <c r="C120" s="3" t="s">
        <v>24</v>
      </c>
      <c r="D120" s="2" t="s">
        <v>74</v>
      </c>
      <c r="E120" s="4">
        <v>0.95223400000000002</v>
      </c>
      <c r="F120" s="4">
        <f t="shared" si="30"/>
        <v>1.1941893333333333</v>
      </c>
      <c r="G120" s="4">
        <f t="shared" si="30"/>
        <v>1.4361446666666666</v>
      </c>
      <c r="H120" s="4">
        <v>1.6780999999999999</v>
      </c>
      <c r="I120" s="4">
        <f t="shared" si="31"/>
        <v>2.1871900000000002</v>
      </c>
      <c r="J120" s="4">
        <f t="shared" si="31"/>
        <v>2.6962800000000002</v>
      </c>
      <c r="K120" s="4">
        <f t="shared" si="31"/>
        <v>3.2053700000000003</v>
      </c>
      <c r="L120" s="4">
        <f t="shared" si="31"/>
        <v>3.7144600000000008</v>
      </c>
      <c r="M120" s="4">
        <v>4.2235500000000004</v>
      </c>
      <c r="N120" s="4">
        <f t="shared" si="32"/>
        <v>4.2005300000000005</v>
      </c>
      <c r="O120" s="4">
        <f t="shared" si="32"/>
        <v>4.1775100000000007</v>
      </c>
      <c r="P120" s="4">
        <f t="shared" si="32"/>
        <v>4.15449</v>
      </c>
      <c r="Q120" s="4">
        <f t="shared" si="32"/>
        <v>4.1314700000000002</v>
      </c>
      <c r="R120" s="4">
        <v>4.1084500000000004</v>
      </c>
      <c r="S120" s="4">
        <f t="shared" si="33"/>
        <v>4.0452279999999998</v>
      </c>
      <c r="T120" s="4">
        <f t="shared" si="33"/>
        <v>3.9820060000000002</v>
      </c>
      <c r="U120" s="4">
        <f t="shared" si="33"/>
        <v>3.918784</v>
      </c>
      <c r="V120" s="4">
        <f t="shared" si="33"/>
        <v>3.8555619999999999</v>
      </c>
      <c r="W120" s="4">
        <v>3.7923399999999998</v>
      </c>
      <c r="X120" s="4">
        <f t="shared" si="34"/>
        <v>3.5423499999999999</v>
      </c>
      <c r="Y120" s="4">
        <f t="shared" si="34"/>
        <v>3.29236</v>
      </c>
      <c r="Z120" s="4">
        <f t="shared" si="34"/>
        <v>3.04237</v>
      </c>
      <c r="AA120" s="4">
        <f t="shared" si="34"/>
        <v>2.7923800000000001</v>
      </c>
      <c r="AB120" s="4">
        <v>2.5423900000000001</v>
      </c>
      <c r="AC120" s="4">
        <f t="shared" si="35"/>
        <v>2.8177479999999999</v>
      </c>
      <c r="AD120" s="4">
        <f t="shared" si="35"/>
        <v>3.0931060000000001</v>
      </c>
      <c r="AE120" s="4">
        <f t="shared" si="35"/>
        <v>3.3684639999999999</v>
      </c>
      <c r="AF120" s="4">
        <f t="shared" si="35"/>
        <v>3.6438220000000001</v>
      </c>
      <c r="AG120" s="4">
        <v>3.9191799999999999</v>
      </c>
      <c r="AH120" s="4">
        <f>SUM(Tableau2[[#This Row],[2022]:[2050]])</f>
        <v>93.708058000000008</v>
      </c>
    </row>
    <row r="121" spans="1:36" x14ac:dyDescent="0.3">
      <c r="A121" s="2" t="s">
        <v>77</v>
      </c>
      <c r="B121" s="2" t="s">
        <v>78</v>
      </c>
      <c r="C121" s="3" t="s">
        <v>24</v>
      </c>
      <c r="D121" s="2" t="s">
        <v>72</v>
      </c>
      <c r="E121" s="4">
        <v>0.95223400000000002</v>
      </c>
      <c r="F121" s="4">
        <f t="shared" si="30"/>
        <v>0.98222600000000004</v>
      </c>
      <c r="G121" s="4">
        <f t="shared" si="30"/>
        <v>1.0122180000000001</v>
      </c>
      <c r="H121" s="4">
        <v>1.0422100000000001</v>
      </c>
      <c r="I121" s="4">
        <f t="shared" si="31"/>
        <v>1.1955500000000001</v>
      </c>
      <c r="J121" s="4">
        <f t="shared" si="31"/>
        <v>1.3488899999999999</v>
      </c>
      <c r="K121" s="4">
        <f t="shared" si="31"/>
        <v>1.50223</v>
      </c>
      <c r="L121" s="4">
        <f t="shared" si="31"/>
        <v>1.65557</v>
      </c>
      <c r="M121" s="4">
        <v>1.80891</v>
      </c>
      <c r="N121" s="4">
        <f t="shared" si="32"/>
        <v>1.77207</v>
      </c>
      <c r="O121" s="4">
        <f t="shared" si="32"/>
        <v>1.7352300000000001</v>
      </c>
      <c r="P121" s="4">
        <f t="shared" si="32"/>
        <v>1.6983900000000001</v>
      </c>
      <c r="Q121" s="4">
        <f t="shared" si="32"/>
        <v>1.6615500000000001</v>
      </c>
      <c r="R121" s="4">
        <v>1.6247100000000001</v>
      </c>
      <c r="S121" s="4">
        <f t="shared" si="33"/>
        <v>1.5874160000000002</v>
      </c>
      <c r="T121" s="4">
        <f t="shared" si="33"/>
        <v>1.550122</v>
      </c>
      <c r="U121" s="4">
        <f t="shared" si="33"/>
        <v>1.5128280000000001</v>
      </c>
      <c r="V121" s="4">
        <f t="shared" si="33"/>
        <v>1.4755339999999999</v>
      </c>
      <c r="W121" s="4">
        <v>1.43824</v>
      </c>
      <c r="X121" s="4">
        <f t="shared" si="34"/>
        <v>1.509228</v>
      </c>
      <c r="Y121" s="4">
        <f t="shared" si="34"/>
        <v>1.5802160000000001</v>
      </c>
      <c r="Z121" s="4">
        <f t="shared" si="34"/>
        <v>1.6512039999999999</v>
      </c>
      <c r="AA121" s="4">
        <f t="shared" si="34"/>
        <v>1.7221919999999999</v>
      </c>
      <c r="AB121" s="4">
        <v>1.79318</v>
      </c>
      <c r="AC121" s="4">
        <f t="shared" si="35"/>
        <v>1.869494</v>
      </c>
      <c r="AD121" s="4">
        <f t="shared" si="35"/>
        <v>1.945808</v>
      </c>
      <c r="AE121" s="4">
        <f t="shared" si="35"/>
        <v>2.022122</v>
      </c>
      <c r="AF121" s="4">
        <f t="shared" si="35"/>
        <v>2.098436</v>
      </c>
      <c r="AG121" s="4">
        <v>2.17475</v>
      </c>
      <c r="AH121" s="5">
        <f>SUM(Tableau2[[#This Row],[2022]:[2050]])</f>
        <v>45.922758000000002</v>
      </c>
      <c r="AJ121" s="4"/>
    </row>
    <row r="122" spans="1:36" x14ac:dyDescent="0.3">
      <c r="A122" s="2" t="s">
        <v>85</v>
      </c>
      <c r="B122" s="2" t="s">
        <v>78</v>
      </c>
      <c r="C122" s="3" t="s">
        <v>24</v>
      </c>
      <c r="D122" s="2" t="s">
        <v>74</v>
      </c>
      <c r="E122" s="4">
        <v>0.59429200000000004</v>
      </c>
      <c r="F122" s="4">
        <f t="shared" ref="F122:G141" si="36">(($H122-$E122)/($H$1-$E$1))*(F$1-$E$1)+$E122</f>
        <v>1.0445980000000001</v>
      </c>
      <c r="G122" s="4">
        <f t="shared" si="36"/>
        <v>1.494904</v>
      </c>
      <c r="H122" s="4">
        <v>1.9452100000000001</v>
      </c>
      <c r="I122" s="4">
        <f t="shared" ref="I122:L141" si="37">(($M122-$H122)/($M$1-$H$1))*(I$1-$H$1)+$H122</f>
        <v>2.3453220000000004</v>
      </c>
      <c r="J122" s="4">
        <f t="shared" si="37"/>
        <v>2.7454340000000004</v>
      </c>
      <c r="K122" s="4">
        <f t="shared" si="37"/>
        <v>3.1455460000000004</v>
      </c>
      <c r="L122" s="4">
        <f t="shared" si="37"/>
        <v>3.5456580000000004</v>
      </c>
      <c r="M122" s="4">
        <v>3.94577</v>
      </c>
      <c r="N122" s="4">
        <f t="shared" ref="N122:Q141" si="38">(($R122-$M122)/($R$1-$M$1))*(N$1-$M$1)+$M122</f>
        <v>4.2070499999999997</v>
      </c>
      <c r="O122" s="4">
        <f t="shared" si="38"/>
        <v>4.4683299999999999</v>
      </c>
      <c r="P122" s="4">
        <f t="shared" si="38"/>
        <v>4.7296099999999992</v>
      </c>
      <c r="Q122" s="4">
        <f t="shared" si="38"/>
        <v>4.9908899999999994</v>
      </c>
      <c r="R122" s="4">
        <v>5.2521699999999996</v>
      </c>
      <c r="S122" s="4">
        <f t="shared" ref="S122:V141" si="39">(($W122-$R122)/($W$1-$R$1))*(S$1-$R$1)+$R122</f>
        <v>5.2196379999999998</v>
      </c>
      <c r="T122" s="4">
        <f t="shared" si="39"/>
        <v>5.187106</v>
      </c>
      <c r="U122" s="4">
        <f t="shared" si="39"/>
        <v>5.1545739999999993</v>
      </c>
      <c r="V122" s="4">
        <f t="shared" si="39"/>
        <v>5.1220419999999995</v>
      </c>
      <c r="W122" s="4">
        <v>5.0895099999999998</v>
      </c>
      <c r="X122" s="4">
        <f t="shared" ref="X122:AA141" si="40">(($AB122-$W122)/($AB$1-$W$1))*(X$1-$W$1)+$W122</f>
        <v>5.171532</v>
      </c>
      <c r="Y122" s="4">
        <f t="shared" si="40"/>
        <v>5.2535540000000003</v>
      </c>
      <c r="Z122" s="4">
        <f t="shared" si="40"/>
        <v>5.3355759999999997</v>
      </c>
      <c r="AA122" s="4">
        <f t="shared" si="40"/>
        <v>5.4175979999999999</v>
      </c>
      <c r="AB122" s="4">
        <v>5.4996200000000002</v>
      </c>
      <c r="AC122" s="4">
        <f t="shared" ref="AC122:AF141" si="41">(($AG122-$AB122)/($AG$1-$AB$1))*(AC$1-$AB$1)+$AB122</f>
        <v>5.5235940000000001</v>
      </c>
      <c r="AD122" s="4">
        <f t="shared" si="41"/>
        <v>5.5475680000000001</v>
      </c>
      <c r="AE122" s="4">
        <f t="shared" si="41"/>
        <v>5.571542</v>
      </c>
      <c r="AF122" s="4">
        <f t="shared" si="41"/>
        <v>5.5955159999999999</v>
      </c>
      <c r="AG122" s="4">
        <v>5.6194899999999999</v>
      </c>
      <c r="AH122" s="4">
        <f>SUM(Tableau2[[#This Row],[2022]:[2050]])</f>
        <v>124.76324399999999</v>
      </c>
    </row>
    <row r="123" spans="1:36" hidden="1" x14ac:dyDescent="0.3">
      <c r="A123" s="2" t="s">
        <v>77</v>
      </c>
      <c r="B123" s="2" t="s">
        <v>78</v>
      </c>
      <c r="C123" s="3" t="s">
        <v>24</v>
      </c>
      <c r="D123" s="2" t="s">
        <v>73</v>
      </c>
      <c r="E123" s="6">
        <v>0.95223400000000002</v>
      </c>
      <c r="F123" s="6">
        <f t="shared" si="36"/>
        <v>1.0811759999999999</v>
      </c>
      <c r="G123" s="6">
        <f t="shared" si="36"/>
        <v>1.210118</v>
      </c>
      <c r="H123">
        <v>1.3390599999999999</v>
      </c>
      <c r="I123" s="6">
        <f t="shared" si="37"/>
        <v>1.5437859999999999</v>
      </c>
      <c r="J123" s="6">
        <f t="shared" si="37"/>
        <v>1.7485120000000001</v>
      </c>
      <c r="K123" s="6">
        <f t="shared" si="37"/>
        <v>1.953238</v>
      </c>
      <c r="L123" s="6">
        <f t="shared" si="37"/>
        <v>2.1579640000000002</v>
      </c>
      <c r="M123">
        <v>2.3626900000000002</v>
      </c>
      <c r="N123" s="6">
        <f t="shared" si="38"/>
        <v>2.4268140000000002</v>
      </c>
      <c r="O123" s="6">
        <f t="shared" si="38"/>
        <v>2.4909380000000003</v>
      </c>
      <c r="P123" s="6">
        <f t="shared" si="38"/>
        <v>2.5550619999999999</v>
      </c>
      <c r="Q123" s="6">
        <f t="shared" si="38"/>
        <v>2.619186</v>
      </c>
      <c r="R123">
        <v>2.6833100000000001</v>
      </c>
      <c r="S123" s="6">
        <f t="shared" si="39"/>
        <v>2.6921900000000001</v>
      </c>
      <c r="T123" s="6">
        <f t="shared" si="39"/>
        <v>2.7010700000000001</v>
      </c>
      <c r="U123" s="6">
        <f t="shared" si="39"/>
        <v>2.7099500000000001</v>
      </c>
      <c r="V123" s="6">
        <f t="shared" si="39"/>
        <v>2.7188300000000001</v>
      </c>
      <c r="W123">
        <v>2.7277100000000001</v>
      </c>
      <c r="X123" s="6">
        <f t="shared" si="40"/>
        <v>2.7669480000000002</v>
      </c>
      <c r="Y123" s="6">
        <f t="shared" si="40"/>
        <v>2.8061860000000003</v>
      </c>
      <c r="Z123" s="6">
        <f t="shared" si="40"/>
        <v>2.845424</v>
      </c>
      <c r="AA123" s="6">
        <f t="shared" si="40"/>
        <v>2.8846620000000001</v>
      </c>
      <c r="AB123">
        <v>2.9239000000000002</v>
      </c>
      <c r="AC123" s="6">
        <f t="shared" si="41"/>
        <v>3.0191020000000002</v>
      </c>
      <c r="AD123" s="6">
        <f t="shared" si="41"/>
        <v>3.1143040000000002</v>
      </c>
      <c r="AE123" s="6">
        <f t="shared" si="41"/>
        <v>3.2095060000000002</v>
      </c>
      <c r="AF123" s="6">
        <f t="shared" si="41"/>
        <v>3.3047080000000002</v>
      </c>
      <c r="AG123">
        <v>3.3999100000000002</v>
      </c>
      <c r="AH123" s="5">
        <f>SUM(Tableau2[[#This Row],[2022]:[2050]])</f>
        <v>70.948488000000012</v>
      </c>
    </row>
    <row r="124" spans="1:36" x14ac:dyDescent="0.3">
      <c r="A124" s="2" t="s">
        <v>75</v>
      </c>
      <c r="B124" s="2" t="s">
        <v>90</v>
      </c>
      <c r="C124" s="3" t="s">
        <v>26</v>
      </c>
      <c r="D124" s="2" t="s">
        <v>72</v>
      </c>
      <c r="E124" s="4">
        <v>7.5997999999999996E-2</v>
      </c>
      <c r="F124" s="4">
        <f t="shared" si="36"/>
        <v>7.8289566666666657E-2</v>
      </c>
      <c r="G124" s="4">
        <f t="shared" si="36"/>
        <v>8.0581133333333332E-2</v>
      </c>
      <c r="H124" s="4">
        <v>8.2872699999999994E-2</v>
      </c>
      <c r="I124" s="4">
        <f t="shared" si="37"/>
        <v>8.1573719999999988E-2</v>
      </c>
      <c r="J124" s="4">
        <f t="shared" si="37"/>
        <v>8.0274739999999997E-2</v>
      </c>
      <c r="K124" s="4">
        <f t="shared" si="37"/>
        <v>7.8975759999999992E-2</v>
      </c>
      <c r="L124" s="4">
        <f t="shared" si="37"/>
        <v>7.7676780000000001E-2</v>
      </c>
      <c r="M124" s="4">
        <v>7.6377799999999996E-2</v>
      </c>
      <c r="N124" s="4">
        <f t="shared" si="38"/>
        <v>7.5694239999999996E-2</v>
      </c>
      <c r="O124" s="4">
        <f t="shared" si="38"/>
        <v>7.5010679999999996E-2</v>
      </c>
      <c r="P124" s="4">
        <f t="shared" si="38"/>
        <v>7.4327119999999997E-2</v>
      </c>
      <c r="Q124" s="4">
        <f t="shared" si="38"/>
        <v>7.3643559999999997E-2</v>
      </c>
      <c r="R124" s="4">
        <v>7.2959999999999997E-2</v>
      </c>
      <c r="S124" s="4">
        <f t="shared" si="39"/>
        <v>7.1873439999999997E-2</v>
      </c>
      <c r="T124" s="4">
        <f t="shared" si="39"/>
        <v>7.0786879999999996E-2</v>
      </c>
      <c r="U124" s="4">
        <f t="shared" si="39"/>
        <v>6.9700319999999996E-2</v>
      </c>
      <c r="V124" s="4">
        <f t="shared" si="39"/>
        <v>6.8613759999999996E-2</v>
      </c>
      <c r="W124" s="4">
        <v>6.7527199999999996E-2</v>
      </c>
      <c r="X124" s="4">
        <f t="shared" si="40"/>
        <v>6.6476380000000002E-2</v>
      </c>
      <c r="Y124" s="4">
        <f t="shared" si="40"/>
        <v>6.5425559999999994E-2</v>
      </c>
      <c r="Z124" s="4">
        <f t="shared" si="40"/>
        <v>6.437474E-2</v>
      </c>
      <c r="AA124" s="4">
        <f t="shared" si="40"/>
        <v>6.3323919999999992E-2</v>
      </c>
      <c r="AB124" s="4">
        <v>6.2273099999999998E-2</v>
      </c>
      <c r="AC124" s="4">
        <f t="shared" si="41"/>
        <v>6.0225620000000001E-2</v>
      </c>
      <c r="AD124" s="4">
        <f t="shared" si="41"/>
        <v>5.8178139999999996E-2</v>
      </c>
      <c r="AE124" s="4">
        <f t="shared" si="41"/>
        <v>5.6130659999999999E-2</v>
      </c>
      <c r="AF124" s="4">
        <f t="shared" si="41"/>
        <v>5.4083179999999995E-2</v>
      </c>
      <c r="AG124" s="4">
        <v>5.2035699999999997E-2</v>
      </c>
      <c r="AH124" s="5">
        <f>SUM(Tableau2[[#This Row],[2022]:[2050]])</f>
        <v>2.0352844000000001</v>
      </c>
    </row>
    <row r="125" spans="1:36" hidden="1" x14ac:dyDescent="0.3">
      <c r="A125" s="2" t="s">
        <v>75</v>
      </c>
      <c r="B125" s="2" t="s">
        <v>90</v>
      </c>
      <c r="C125" s="3" t="s">
        <v>26</v>
      </c>
      <c r="D125" s="2" t="s">
        <v>73</v>
      </c>
      <c r="E125" s="6">
        <v>7.5997999999999996E-2</v>
      </c>
      <c r="F125" s="6">
        <f t="shared" si="36"/>
        <v>8.339036666666666E-2</v>
      </c>
      <c r="G125" s="6">
        <f t="shared" si="36"/>
        <v>9.0782733333333337E-2</v>
      </c>
      <c r="H125" s="6">
        <v>9.8175100000000001E-2</v>
      </c>
      <c r="I125" s="6">
        <f t="shared" si="37"/>
        <v>9.7833199999999995E-2</v>
      </c>
      <c r="J125" s="6">
        <f t="shared" si="37"/>
        <v>9.7491300000000003E-2</v>
      </c>
      <c r="K125" s="6">
        <f t="shared" si="37"/>
        <v>9.7149399999999997E-2</v>
      </c>
      <c r="L125" s="6">
        <f t="shared" si="37"/>
        <v>9.6807500000000005E-2</v>
      </c>
      <c r="M125" s="6">
        <v>9.6465599999999999E-2</v>
      </c>
      <c r="N125" s="6">
        <f t="shared" si="38"/>
        <v>9.7800280000000003E-2</v>
      </c>
      <c r="O125" s="6">
        <f t="shared" si="38"/>
        <v>9.9134959999999994E-2</v>
      </c>
      <c r="P125" s="6">
        <f t="shared" si="38"/>
        <v>0.10046964</v>
      </c>
      <c r="Q125" s="6">
        <f t="shared" si="38"/>
        <v>0.10180431999999999</v>
      </c>
      <c r="R125" s="6">
        <v>0.10313899999999999</v>
      </c>
      <c r="S125" s="6">
        <f t="shared" si="39"/>
        <v>0.10096651999999999</v>
      </c>
      <c r="T125" s="6">
        <f t="shared" si="39"/>
        <v>9.879404E-2</v>
      </c>
      <c r="U125" s="6">
        <f t="shared" si="39"/>
        <v>9.6621559999999995E-2</v>
      </c>
      <c r="V125" s="6">
        <f t="shared" si="39"/>
        <v>9.4449080000000005E-2</v>
      </c>
      <c r="W125" s="6">
        <v>9.22766E-2</v>
      </c>
      <c r="X125" s="6">
        <f t="shared" si="40"/>
        <v>8.9478660000000002E-2</v>
      </c>
      <c r="Y125" s="6">
        <f t="shared" si="40"/>
        <v>8.6680720000000003E-2</v>
      </c>
      <c r="Z125" s="6">
        <f t="shared" si="40"/>
        <v>8.3882780000000004E-2</v>
      </c>
      <c r="AA125" s="6">
        <f t="shared" si="40"/>
        <v>8.1084840000000005E-2</v>
      </c>
      <c r="AB125" s="6">
        <v>7.8286900000000006E-2</v>
      </c>
      <c r="AC125" s="6">
        <f t="shared" si="41"/>
        <v>7.4959280000000003E-2</v>
      </c>
      <c r="AD125" s="6">
        <f t="shared" si="41"/>
        <v>7.163166E-2</v>
      </c>
      <c r="AE125" s="6">
        <f t="shared" si="41"/>
        <v>6.8304039999999996E-2</v>
      </c>
      <c r="AF125" s="6">
        <f t="shared" si="41"/>
        <v>6.4976419999999993E-2</v>
      </c>
      <c r="AG125" s="6">
        <v>6.1648799999999997E-2</v>
      </c>
      <c r="AH125" s="5">
        <f>SUM(Tableau2[[#This Row],[2022]:[2050]])</f>
        <v>2.5804833</v>
      </c>
    </row>
    <row r="126" spans="1:36" x14ac:dyDescent="0.3">
      <c r="A126" s="2" t="s">
        <v>75</v>
      </c>
      <c r="B126" s="2" t="s">
        <v>90</v>
      </c>
      <c r="C126" s="3" t="s">
        <v>26</v>
      </c>
      <c r="D126" s="2" t="s">
        <v>74</v>
      </c>
      <c r="E126" s="4">
        <v>7.5997999999999996E-2</v>
      </c>
      <c r="F126" s="4">
        <f t="shared" si="36"/>
        <v>9.8034333333333334E-2</v>
      </c>
      <c r="G126" s="4">
        <f t="shared" si="36"/>
        <v>0.12007066666666667</v>
      </c>
      <c r="H126" s="4">
        <v>0.14210700000000001</v>
      </c>
      <c r="I126" s="4">
        <f t="shared" si="37"/>
        <v>0.15250280000000002</v>
      </c>
      <c r="J126" s="4">
        <f t="shared" si="37"/>
        <v>0.1628986</v>
      </c>
      <c r="K126" s="4">
        <f t="shared" si="37"/>
        <v>0.17329440000000002</v>
      </c>
      <c r="L126" s="4">
        <f t="shared" si="37"/>
        <v>0.18369020000000003</v>
      </c>
      <c r="M126" s="4">
        <v>0.19408600000000001</v>
      </c>
      <c r="N126" s="4">
        <f t="shared" si="38"/>
        <v>0.19173500000000002</v>
      </c>
      <c r="O126" s="4">
        <f t="shared" si="38"/>
        <v>0.189384</v>
      </c>
      <c r="P126" s="4">
        <f t="shared" si="38"/>
        <v>0.187033</v>
      </c>
      <c r="Q126" s="4">
        <f t="shared" si="38"/>
        <v>0.18468199999999999</v>
      </c>
      <c r="R126" s="4">
        <v>0.18233099999999999</v>
      </c>
      <c r="S126" s="4">
        <f t="shared" si="39"/>
        <v>0.1760784</v>
      </c>
      <c r="T126" s="4">
        <f t="shared" si="39"/>
        <v>0.1698258</v>
      </c>
      <c r="U126" s="4">
        <f t="shared" si="39"/>
        <v>0.1635732</v>
      </c>
      <c r="V126" s="4">
        <f t="shared" si="39"/>
        <v>0.1573206</v>
      </c>
      <c r="W126" s="4">
        <v>0.15106800000000001</v>
      </c>
      <c r="X126" s="4">
        <f t="shared" si="40"/>
        <v>0.13801044000000001</v>
      </c>
      <c r="Y126" s="4">
        <f t="shared" si="40"/>
        <v>0.12495288</v>
      </c>
      <c r="Z126" s="4">
        <f t="shared" si="40"/>
        <v>0.11189532000000001</v>
      </c>
      <c r="AA126" s="4">
        <f t="shared" si="40"/>
        <v>9.8837759999999997E-2</v>
      </c>
      <c r="AB126" s="4">
        <v>8.5780200000000001E-2</v>
      </c>
      <c r="AC126" s="4">
        <f t="shared" si="41"/>
        <v>7.976838E-2</v>
      </c>
      <c r="AD126" s="4">
        <f t="shared" si="41"/>
        <v>7.3756559999999999E-2</v>
      </c>
      <c r="AE126" s="4">
        <f t="shared" si="41"/>
        <v>6.7744739999999998E-2</v>
      </c>
      <c r="AF126" s="4">
        <f t="shared" si="41"/>
        <v>6.1732920000000004E-2</v>
      </c>
      <c r="AG126" s="4">
        <v>5.5721100000000003E-2</v>
      </c>
      <c r="AH126" s="4">
        <f>SUM(Tableau2[[#This Row],[2022]:[2050]])</f>
        <v>3.9539132999999995</v>
      </c>
    </row>
    <row r="127" spans="1:36" x14ac:dyDescent="0.3">
      <c r="A127" s="2" t="s">
        <v>83</v>
      </c>
      <c r="B127" s="2" t="s">
        <v>84</v>
      </c>
      <c r="C127" s="3" t="s">
        <v>27</v>
      </c>
      <c r="D127" s="2" t="s">
        <v>72</v>
      </c>
      <c r="E127" s="7">
        <v>6.9968500000000003E-2</v>
      </c>
      <c r="F127" s="4">
        <f t="shared" si="36"/>
        <v>0.10830066666666666</v>
      </c>
      <c r="G127" s="4">
        <f t="shared" si="36"/>
        <v>0.14663283333333332</v>
      </c>
      <c r="H127" s="4">
        <v>0.18496499999999999</v>
      </c>
      <c r="I127" s="4">
        <f t="shared" si="37"/>
        <v>0.37447200000000003</v>
      </c>
      <c r="J127" s="4">
        <f t="shared" si="37"/>
        <v>0.56397900000000001</v>
      </c>
      <c r="K127" s="4">
        <f t="shared" si="37"/>
        <v>0.7534860000000001</v>
      </c>
      <c r="L127" s="4">
        <f t="shared" si="37"/>
        <v>0.94299299999999997</v>
      </c>
      <c r="M127" s="4">
        <v>1.1325000000000001</v>
      </c>
      <c r="N127" s="4">
        <f t="shared" si="38"/>
        <v>1.4452800000000001</v>
      </c>
      <c r="O127" s="4">
        <f t="shared" si="38"/>
        <v>1.75806</v>
      </c>
      <c r="P127" s="4">
        <f t="shared" si="38"/>
        <v>2.07084</v>
      </c>
      <c r="Q127" s="4">
        <f t="shared" si="38"/>
        <v>2.3836200000000001</v>
      </c>
      <c r="R127" s="4">
        <v>2.6964000000000001</v>
      </c>
      <c r="S127" s="4">
        <f t="shared" si="39"/>
        <v>3.137848</v>
      </c>
      <c r="T127" s="4">
        <f t="shared" si="39"/>
        <v>3.5792960000000003</v>
      </c>
      <c r="U127" s="4">
        <f t="shared" si="39"/>
        <v>4.0207440000000005</v>
      </c>
      <c r="V127" s="4">
        <f t="shared" si="39"/>
        <v>4.4621919999999999</v>
      </c>
      <c r="W127" s="4">
        <v>4.9036400000000002</v>
      </c>
      <c r="X127" s="4">
        <f t="shared" si="40"/>
        <v>5.2025639999999997</v>
      </c>
      <c r="Y127" s="4">
        <f t="shared" si="40"/>
        <v>5.5014880000000002</v>
      </c>
      <c r="Z127" s="4">
        <f t="shared" si="40"/>
        <v>5.8004119999999997</v>
      </c>
      <c r="AA127" s="4">
        <f t="shared" si="40"/>
        <v>6.0993359999999992</v>
      </c>
      <c r="AB127" s="4">
        <v>6.3982599999999996</v>
      </c>
      <c r="AC127" s="4">
        <f t="shared" si="41"/>
        <v>6.3459659999999998</v>
      </c>
      <c r="AD127" s="4">
        <f t="shared" si="41"/>
        <v>6.2936719999999999</v>
      </c>
      <c r="AE127" s="4">
        <f t="shared" si="41"/>
        <v>6.2413780000000001</v>
      </c>
      <c r="AF127" s="4">
        <f t="shared" si="41"/>
        <v>6.1890840000000003</v>
      </c>
      <c r="AG127" s="4">
        <v>6.1367900000000004</v>
      </c>
      <c r="AH127" s="5">
        <f>SUM(Tableau2[[#This Row],[2022]:[2050]])</f>
        <v>94.944167000000007</v>
      </c>
    </row>
    <row r="128" spans="1:36" hidden="1" x14ac:dyDescent="0.3">
      <c r="A128" s="2" t="s">
        <v>83</v>
      </c>
      <c r="B128" s="2" t="s">
        <v>84</v>
      </c>
      <c r="C128" s="3" t="s">
        <v>27</v>
      </c>
      <c r="D128" s="2" t="s">
        <v>73</v>
      </c>
      <c r="E128" s="2">
        <v>6.9968500000000003E-2</v>
      </c>
      <c r="F128" s="6">
        <f t="shared" si="36"/>
        <v>0.13029533333333332</v>
      </c>
      <c r="G128" s="6">
        <f t="shared" si="36"/>
        <v>0.19062216666666665</v>
      </c>
      <c r="H128">
        <v>0.25094899999999998</v>
      </c>
      <c r="I128" s="6">
        <f t="shared" si="37"/>
        <v>0.55548719999999996</v>
      </c>
      <c r="J128" s="6">
        <f t="shared" si="37"/>
        <v>0.86002539999999994</v>
      </c>
      <c r="K128" s="6">
        <f t="shared" si="37"/>
        <v>1.1645635999999999</v>
      </c>
      <c r="L128" s="6">
        <f t="shared" si="37"/>
        <v>1.4691017999999998</v>
      </c>
      <c r="M128">
        <v>1.7736400000000001</v>
      </c>
      <c r="N128" s="6">
        <f t="shared" si="38"/>
        <v>2.2276739999999999</v>
      </c>
      <c r="O128" s="6">
        <f t="shared" si="38"/>
        <v>2.681708</v>
      </c>
      <c r="P128" s="6">
        <f t="shared" si="38"/>
        <v>3.1357419999999996</v>
      </c>
      <c r="Q128" s="6">
        <f t="shared" si="38"/>
        <v>3.5897759999999996</v>
      </c>
      <c r="R128">
        <v>4.0438099999999997</v>
      </c>
      <c r="S128" s="6">
        <f t="shared" si="39"/>
        <v>4.8705959999999999</v>
      </c>
      <c r="T128" s="6">
        <f t="shared" si="39"/>
        <v>5.6973819999999993</v>
      </c>
      <c r="U128" s="6">
        <f t="shared" si="39"/>
        <v>6.5241679999999995</v>
      </c>
      <c r="V128" s="6">
        <f t="shared" si="39"/>
        <v>7.3509539999999998</v>
      </c>
      <c r="W128">
        <v>8.17774</v>
      </c>
      <c r="X128" s="6">
        <f t="shared" si="40"/>
        <v>8.7560920000000007</v>
      </c>
      <c r="Y128" s="6">
        <f t="shared" si="40"/>
        <v>9.3344439999999995</v>
      </c>
      <c r="Z128" s="6">
        <f t="shared" si="40"/>
        <v>9.9127960000000002</v>
      </c>
      <c r="AA128" s="6">
        <f t="shared" si="40"/>
        <v>10.491147999999999</v>
      </c>
      <c r="AB128">
        <v>11.0695</v>
      </c>
      <c r="AC128" s="6">
        <f t="shared" si="41"/>
        <v>11.33466</v>
      </c>
      <c r="AD128" s="6">
        <f t="shared" si="41"/>
        <v>11.599819999999999</v>
      </c>
      <c r="AE128" s="6">
        <f t="shared" si="41"/>
        <v>11.864980000000001</v>
      </c>
      <c r="AF128" s="6">
        <f t="shared" si="41"/>
        <v>12.130140000000001</v>
      </c>
      <c r="AG128">
        <v>12.395300000000001</v>
      </c>
      <c r="AH128" s="5">
        <f>SUM(Tableau2[[#This Row],[2022]:[2050]])</f>
        <v>163.65308299999998</v>
      </c>
    </row>
    <row r="129" spans="1:34" x14ac:dyDescent="0.3">
      <c r="A129" s="2" t="s">
        <v>75</v>
      </c>
      <c r="B129" s="2" t="s">
        <v>92</v>
      </c>
      <c r="C129" s="3" t="s">
        <v>27</v>
      </c>
      <c r="D129" s="2" t="s">
        <v>74</v>
      </c>
      <c r="E129" s="4">
        <v>756.327</v>
      </c>
      <c r="F129" s="4">
        <f t="shared" si="36"/>
        <v>969.07799999999997</v>
      </c>
      <c r="G129" s="4">
        <f t="shared" si="36"/>
        <v>1181.829</v>
      </c>
      <c r="H129" s="4">
        <v>1394.58</v>
      </c>
      <c r="I129" s="4">
        <f t="shared" si="37"/>
        <v>1543.924</v>
      </c>
      <c r="J129" s="4">
        <f t="shared" si="37"/>
        <v>1693.268</v>
      </c>
      <c r="K129" s="4">
        <f t="shared" si="37"/>
        <v>1842.6120000000001</v>
      </c>
      <c r="L129" s="4">
        <f t="shared" si="37"/>
        <v>1991.9560000000001</v>
      </c>
      <c r="M129" s="4">
        <v>2141.3000000000002</v>
      </c>
      <c r="N129" s="4">
        <f t="shared" si="38"/>
        <v>2122.998</v>
      </c>
      <c r="O129" s="4">
        <f t="shared" si="38"/>
        <v>2104.6959999999999</v>
      </c>
      <c r="P129" s="4">
        <f t="shared" si="38"/>
        <v>2086.3940000000002</v>
      </c>
      <c r="Q129" s="4">
        <f t="shared" si="38"/>
        <v>2068.0920000000001</v>
      </c>
      <c r="R129" s="4">
        <v>2049.79</v>
      </c>
      <c r="S129" s="4">
        <f t="shared" si="39"/>
        <v>2012.6299999999999</v>
      </c>
      <c r="T129" s="4">
        <f t="shared" si="39"/>
        <v>1975.47</v>
      </c>
      <c r="U129" s="4">
        <f t="shared" si="39"/>
        <v>1938.31</v>
      </c>
      <c r="V129" s="4">
        <f t="shared" si="39"/>
        <v>1901.15</v>
      </c>
      <c r="W129" s="4">
        <v>1863.99</v>
      </c>
      <c r="X129" s="4">
        <f t="shared" si="40"/>
        <v>1768.7639999999999</v>
      </c>
      <c r="Y129" s="4">
        <f t="shared" si="40"/>
        <v>1673.538</v>
      </c>
      <c r="Z129" s="4">
        <f t="shared" si="40"/>
        <v>1578.3119999999999</v>
      </c>
      <c r="AA129" s="4">
        <f t="shared" si="40"/>
        <v>1483.0859999999998</v>
      </c>
      <c r="AB129" s="4">
        <v>1387.86</v>
      </c>
      <c r="AC129" s="4">
        <f t="shared" si="41"/>
        <v>1391.4179999999999</v>
      </c>
      <c r="AD129" s="4">
        <f t="shared" si="41"/>
        <v>1394.9759999999999</v>
      </c>
      <c r="AE129" s="4">
        <f t="shared" si="41"/>
        <v>1398.5340000000001</v>
      </c>
      <c r="AF129" s="4">
        <f t="shared" si="41"/>
        <v>1402.0920000000001</v>
      </c>
      <c r="AG129" s="4">
        <v>1405.65</v>
      </c>
      <c r="AH129" s="4">
        <f>SUM(Tableau2[[#This Row],[2022]:[2050]])</f>
        <v>48522.624000000011</v>
      </c>
    </row>
    <row r="130" spans="1:34" x14ac:dyDescent="0.3">
      <c r="A130" s="2" t="s">
        <v>85</v>
      </c>
      <c r="B130" s="2" t="s">
        <v>84</v>
      </c>
      <c r="C130" s="3" t="s">
        <v>27</v>
      </c>
      <c r="D130" s="2" t="s">
        <v>72</v>
      </c>
      <c r="E130" s="4">
        <v>8.6998200000000008</v>
      </c>
      <c r="F130" s="4">
        <f t="shared" si="36"/>
        <v>19.298946666666666</v>
      </c>
      <c r="G130" s="4">
        <f t="shared" si="36"/>
        <v>29.898073333333329</v>
      </c>
      <c r="H130" s="4">
        <v>40.497199999999999</v>
      </c>
      <c r="I130" s="4">
        <f t="shared" si="37"/>
        <v>60.100960000000001</v>
      </c>
      <c r="J130" s="4">
        <f t="shared" si="37"/>
        <v>79.704720000000009</v>
      </c>
      <c r="K130" s="4">
        <f t="shared" si="37"/>
        <v>99.308480000000003</v>
      </c>
      <c r="L130" s="4">
        <f t="shared" si="37"/>
        <v>118.91224</v>
      </c>
      <c r="M130" s="4">
        <v>138.51599999999999</v>
      </c>
      <c r="N130" s="4">
        <f t="shared" si="38"/>
        <v>155.6574</v>
      </c>
      <c r="O130" s="4">
        <f t="shared" si="38"/>
        <v>172.7988</v>
      </c>
      <c r="P130" s="4">
        <f t="shared" si="38"/>
        <v>189.9402</v>
      </c>
      <c r="Q130" s="4">
        <f t="shared" si="38"/>
        <v>207.08160000000001</v>
      </c>
      <c r="R130" s="4">
        <v>224.22300000000001</v>
      </c>
      <c r="S130" s="4">
        <f t="shared" si="39"/>
        <v>249.7758</v>
      </c>
      <c r="T130" s="4">
        <f t="shared" si="39"/>
        <v>275.32859999999999</v>
      </c>
      <c r="U130" s="4">
        <f t="shared" si="39"/>
        <v>300.88139999999999</v>
      </c>
      <c r="V130" s="4">
        <f t="shared" si="39"/>
        <v>326.43420000000003</v>
      </c>
      <c r="W130" s="4">
        <v>351.98700000000002</v>
      </c>
      <c r="X130" s="4">
        <f t="shared" si="40"/>
        <v>356.40380000000005</v>
      </c>
      <c r="Y130" s="4">
        <f t="shared" si="40"/>
        <v>360.82060000000001</v>
      </c>
      <c r="Z130" s="4">
        <f t="shared" si="40"/>
        <v>365.23740000000004</v>
      </c>
      <c r="AA130" s="4">
        <f t="shared" si="40"/>
        <v>369.6542</v>
      </c>
      <c r="AB130" s="4">
        <v>374.07100000000003</v>
      </c>
      <c r="AC130" s="4">
        <f t="shared" si="41"/>
        <v>373.9538</v>
      </c>
      <c r="AD130" s="4">
        <f t="shared" si="41"/>
        <v>373.83660000000003</v>
      </c>
      <c r="AE130" s="4">
        <f t="shared" si="41"/>
        <v>373.71940000000001</v>
      </c>
      <c r="AF130" s="4">
        <f t="shared" si="41"/>
        <v>373.60220000000004</v>
      </c>
      <c r="AG130" s="4">
        <v>373.48500000000001</v>
      </c>
      <c r="AH130" s="5">
        <f>SUM(Tableau2[[#This Row],[2022]:[2050]])</f>
        <v>6743.8284400000002</v>
      </c>
    </row>
    <row r="131" spans="1:34" hidden="1" x14ac:dyDescent="0.3">
      <c r="A131" s="2" t="s">
        <v>85</v>
      </c>
      <c r="B131" s="2" t="s">
        <v>84</v>
      </c>
      <c r="C131" s="3" t="s">
        <v>27</v>
      </c>
      <c r="D131" s="2" t="s">
        <v>73</v>
      </c>
      <c r="E131" s="6">
        <v>8.6998200000000008</v>
      </c>
      <c r="F131" s="6">
        <f t="shared" si="36"/>
        <v>21.349813333333334</v>
      </c>
      <c r="G131" s="6">
        <f t="shared" si="36"/>
        <v>33.999806666666665</v>
      </c>
      <c r="H131">
        <v>46.649799999999999</v>
      </c>
      <c r="I131" s="6">
        <f t="shared" si="37"/>
        <v>79.076840000000004</v>
      </c>
      <c r="J131" s="6">
        <f t="shared" si="37"/>
        <v>111.50388</v>
      </c>
      <c r="K131" s="6">
        <f t="shared" si="37"/>
        <v>143.93091999999999</v>
      </c>
      <c r="L131" s="6">
        <f t="shared" si="37"/>
        <v>176.35795999999999</v>
      </c>
      <c r="M131">
        <v>208.785</v>
      </c>
      <c r="N131" s="6">
        <f t="shared" si="38"/>
        <v>255.46080000000001</v>
      </c>
      <c r="O131" s="6">
        <f t="shared" si="38"/>
        <v>302.13659999999999</v>
      </c>
      <c r="P131" s="6">
        <f t="shared" si="38"/>
        <v>348.81240000000003</v>
      </c>
      <c r="Q131" s="6">
        <f t="shared" si="38"/>
        <v>395.48820000000001</v>
      </c>
      <c r="R131">
        <v>442.16399999999999</v>
      </c>
      <c r="S131" s="6">
        <f t="shared" si="39"/>
        <v>492.04239999999999</v>
      </c>
      <c r="T131" s="6">
        <f t="shared" si="39"/>
        <v>541.92079999999999</v>
      </c>
      <c r="U131" s="6">
        <f t="shared" si="39"/>
        <v>591.79920000000004</v>
      </c>
      <c r="V131" s="6">
        <f t="shared" si="39"/>
        <v>641.67759999999998</v>
      </c>
      <c r="W131">
        <v>691.55600000000004</v>
      </c>
      <c r="X131" s="6">
        <f t="shared" si="40"/>
        <v>696.99300000000005</v>
      </c>
      <c r="Y131" s="6">
        <f t="shared" si="40"/>
        <v>702.43000000000006</v>
      </c>
      <c r="Z131" s="6">
        <f t="shared" si="40"/>
        <v>707.86699999999996</v>
      </c>
      <c r="AA131" s="6">
        <f t="shared" si="40"/>
        <v>713.30399999999997</v>
      </c>
      <c r="AB131">
        <v>718.74099999999999</v>
      </c>
      <c r="AC131" s="6">
        <f t="shared" si="41"/>
        <v>732.20839999999998</v>
      </c>
      <c r="AD131" s="6">
        <f t="shared" si="41"/>
        <v>745.67579999999998</v>
      </c>
      <c r="AE131" s="6">
        <f t="shared" si="41"/>
        <v>759.14319999999998</v>
      </c>
      <c r="AF131" s="6">
        <f t="shared" si="41"/>
        <v>772.61059999999998</v>
      </c>
      <c r="AG131">
        <v>786.07799999999997</v>
      </c>
      <c r="AH131" s="5">
        <f>SUM(Tableau2[[#This Row],[2022]:[2050]])</f>
        <v>12868.46284</v>
      </c>
    </row>
    <row r="132" spans="1:34" x14ac:dyDescent="0.3">
      <c r="A132" s="2" t="s">
        <v>85</v>
      </c>
      <c r="B132" s="2" t="s">
        <v>84</v>
      </c>
      <c r="C132" s="3" t="s">
        <v>27</v>
      </c>
      <c r="D132" s="2" t="s">
        <v>74</v>
      </c>
      <c r="E132" s="4">
        <v>8.6998200000000008</v>
      </c>
      <c r="F132" s="4">
        <f t="shared" si="36"/>
        <v>30.644946666666669</v>
      </c>
      <c r="G132" s="4">
        <f t="shared" si="36"/>
        <v>52.590073333333336</v>
      </c>
      <c r="H132" s="4">
        <v>74.535200000000003</v>
      </c>
      <c r="I132" s="4">
        <f t="shared" si="37"/>
        <v>125.37756</v>
      </c>
      <c r="J132" s="4">
        <f t="shared" si="37"/>
        <v>176.21992</v>
      </c>
      <c r="K132" s="4">
        <f t="shared" si="37"/>
        <v>227.06228000000002</v>
      </c>
      <c r="L132" s="4">
        <f t="shared" si="37"/>
        <v>277.90463999999997</v>
      </c>
      <c r="M132" s="4">
        <v>328.74700000000001</v>
      </c>
      <c r="N132" s="4">
        <f t="shared" si="38"/>
        <v>381.93979999999999</v>
      </c>
      <c r="O132" s="4">
        <f t="shared" si="38"/>
        <v>435.13260000000002</v>
      </c>
      <c r="P132" s="4">
        <f t="shared" si="38"/>
        <v>488.3254</v>
      </c>
      <c r="Q132" s="4">
        <f t="shared" si="38"/>
        <v>541.51819999999998</v>
      </c>
      <c r="R132" s="4">
        <v>594.71100000000001</v>
      </c>
      <c r="S132" s="4">
        <f t="shared" si="39"/>
        <v>626.92320000000007</v>
      </c>
      <c r="T132" s="4">
        <f t="shared" si="39"/>
        <v>659.1354</v>
      </c>
      <c r="U132" s="4">
        <f t="shared" si="39"/>
        <v>691.34760000000006</v>
      </c>
      <c r="V132" s="4">
        <f t="shared" si="39"/>
        <v>723.5598</v>
      </c>
      <c r="W132" s="4">
        <v>755.77200000000005</v>
      </c>
      <c r="X132" s="4">
        <f t="shared" si="40"/>
        <v>758.9434</v>
      </c>
      <c r="Y132" s="4">
        <f t="shared" si="40"/>
        <v>762.11480000000006</v>
      </c>
      <c r="Z132" s="4">
        <f t="shared" si="40"/>
        <v>765.28620000000001</v>
      </c>
      <c r="AA132" s="4">
        <f t="shared" si="40"/>
        <v>768.45760000000007</v>
      </c>
      <c r="AB132" s="4">
        <v>771.62900000000002</v>
      </c>
      <c r="AC132" s="4">
        <f t="shared" si="41"/>
        <v>776.31000000000006</v>
      </c>
      <c r="AD132" s="4">
        <f t="shared" si="41"/>
        <v>780.99099999999999</v>
      </c>
      <c r="AE132" s="4">
        <f t="shared" si="41"/>
        <v>785.67200000000003</v>
      </c>
      <c r="AF132" s="4">
        <f t="shared" si="41"/>
        <v>790.35299999999995</v>
      </c>
      <c r="AG132" s="4">
        <v>795.03399999999999</v>
      </c>
      <c r="AH132" s="4">
        <f>SUM(Tableau2[[#This Row],[2022]:[2050]])</f>
        <v>14954.93744</v>
      </c>
    </row>
    <row r="133" spans="1:34" x14ac:dyDescent="0.3">
      <c r="A133" s="2" t="s">
        <v>75</v>
      </c>
      <c r="B133" s="2" t="s">
        <v>92</v>
      </c>
      <c r="C133" s="3" t="s">
        <v>27</v>
      </c>
      <c r="D133" s="2" t="s">
        <v>72</v>
      </c>
      <c r="E133" s="4">
        <v>756.327</v>
      </c>
      <c r="F133" s="4">
        <f t="shared" si="36"/>
        <v>773.48933333333332</v>
      </c>
      <c r="G133" s="4">
        <f t="shared" si="36"/>
        <v>790.65166666666664</v>
      </c>
      <c r="H133" s="4">
        <v>807.81399999999996</v>
      </c>
      <c r="I133" s="4">
        <f t="shared" si="37"/>
        <v>814.88379999999995</v>
      </c>
      <c r="J133" s="4">
        <f t="shared" si="37"/>
        <v>821.95359999999994</v>
      </c>
      <c r="K133" s="4">
        <f t="shared" si="37"/>
        <v>829.02340000000004</v>
      </c>
      <c r="L133" s="4">
        <f t="shared" si="37"/>
        <v>836.09320000000002</v>
      </c>
      <c r="M133" s="4">
        <v>843.16300000000001</v>
      </c>
      <c r="N133" s="4">
        <f t="shared" si="38"/>
        <v>839.18399999999997</v>
      </c>
      <c r="O133" s="4">
        <f t="shared" si="38"/>
        <v>835.20500000000004</v>
      </c>
      <c r="P133" s="4">
        <f t="shared" si="38"/>
        <v>831.226</v>
      </c>
      <c r="Q133" s="4">
        <f t="shared" si="38"/>
        <v>827.24700000000007</v>
      </c>
      <c r="R133" s="4">
        <v>823.26800000000003</v>
      </c>
      <c r="S133" s="4">
        <f t="shared" si="39"/>
        <v>824.21500000000003</v>
      </c>
      <c r="T133" s="4">
        <f t="shared" si="39"/>
        <v>825.16200000000003</v>
      </c>
      <c r="U133" s="4">
        <f t="shared" si="39"/>
        <v>826.10900000000004</v>
      </c>
      <c r="V133" s="4">
        <f t="shared" si="39"/>
        <v>827.05600000000004</v>
      </c>
      <c r="W133" s="4">
        <v>828.00300000000004</v>
      </c>
      <c r="X133" s="4">
        <f t="shared" si="40"/>
        <v>845.54520000000002</v>
      </c>
      <c r="Y133" s="4">
        <f t="shared" si="40"/>
        <v>863.0874</v>
      </c>
      <c r="Z133" s="4">
        <f t="shared" si="40"/>
        <v>880.6296000000001</v>
      </c>
      <c r="AA133" s="4">
        <f t="shared" si="40"/>
        <v>898.17180000000008</v>
      </c>
      <c r="AB133" s="4">
        <v>915.71400000000006</v>
      </c>
      <c r="AC133" s="4">
        <f t="shared" si="41"/>
        <v>929.93860000000006</v>
      </c>
      <c r="AD133" s="4">
        <f t="shared" si="41"/>
        <v>944.16320000000007</v>
      </c>
      <c r="AE133" s="4">
        <f t="shared" si="41"/>
        <v>958.38779999999997</v>
      </c>
      <c r="AF133" s="4">
        <f t="shared" si="41"/>
        <v>972.61239999999998</v>
      </c>
      <c r="AG133" s="4">
        <v>986.83699999999999</v>
      </c>
      <c r="AH133" s="5">
        <f>SUM(Tableau2[[#This Row],[2022]:[2050]])</f>
        <v>24755.161</v>
      </c>
    </row>
    <row r="134" spans="1:34" hidden="1" x14ac:dyDescent="0.3">
      <c r="A134" s="2" t="s">
        <v>75</v>
      </c>
      <c r="B134" s="2" t="s">
        <v>92</v>
      </c>
      <c r="C134" s="3" t="s">
        <v>27</v>
      </c>
      <c r="D134" s="2" t="s">
        <v>73</v>
      </c>
      <c r="E134" s="6">
        <v>756.327</v>
      </c>
      <c r="F134" s="6">
        <f t="shared" si="36"/>
        <v>824.53800000000001</v>
      </c>
      <c r="G134" s="6">
        <f t="shared" si="36"/>
        <v>892.74900000000002</v>
      </c>
      <c r="H134" s="6">
        <v>960.96</v>
      </c>
      <c r="I134" s="6">
        <f t="shared" si="37"/>
        <v>990.50400000000002</v>
      </c>
      <c r="J134" s="6">
        <f t="shared" si="37"/>
        <v>1020.048</v>
      </c>
      <c r="K134" s="6">
        <f t="shared" si="37"/>
        <v>1049.5920000000001</v>
      </c>
      <c r="L134" s="6">
        <f t="shared" si="37"/>
        <v>1079.136</v>
      </c>
      <c r="M134" s="6">
        <v>1108.68</v>
      </c>
      <c r="N134" s="6">
        <f t="shared" si="38"/>
        <v>1134.222</v>
      </c>
      <c r="O134" s="6">
        <f t="shared" si="38"/>
        <v>1159.7640000000001</v>
      </c>
      <c r="P134" s="6">
        <f t="shared" si="38"/>
        <v>1185.306</v>
      </c>
      <c r="Q134" s="6">
        <f t="shared" si="38"/>
        <v>1210.8480000000002</v>
      </c>
      <c r="R134" s="6">
        <v>1236.3900000000001</v>
      </c>
      <c r="S134" s="6">
        <f t="shared" si="39"/>
        <v>1230.308</v>
      </c>
      <c r="T134" s="6">
        <f t="shared" si="39"/>
        <v>1224.2260000000001</v>
      </c>
      <c r="U134" s="6">
        <f t="shared" si="39"/>
        <v>1218.144</v>
      </c>
      <c r="V134" s="6">
        <f t="shared" si="39"/>
        <v>1212.0620000000001</v>
      </c>
      <c r="W134" s="6">
        <v>1205.98</v>
      </c>
      <c r="X134" s="6">
        <f t="shared" si="40"/>
        <v>1231.0940000000001</v>
      </c>
      <c r="Y134" s="6">
        <f t="shared" si="40"/>
        <v>1256.2080000000001</v>
      </c>
      <c r="Z134" s="6">
        <f t="shared" si="40"/>
        <v>1281.3219999999999</v>
      </c>
      <c r="AA134" s="6">
        <f t="shared" si="40"/>
        <v>1306.4359999999999</v>
      </c>
      <c r="AB134" s="6">
        <v>1331.55</v>
      </c>
      <c r="AC134" s="6">
        <f t="shared" si="41"/>
        <v>1345.646</v>
      </c>
      <c r="AD134" s="6">
        <f t="shared" si="41"/>
        <v>1359.742</v>
      </c>
      <c r="AE134" s="6">
        <f t="shared" si="41"/>
        <v>1373.838</v>
      </c>
      <c r="AF134" s="6">
        <f t="shared" si="41"/>
        <v>1387.934</v>
      </c>
      <c r="AG134" s="6">
        <v>1402.03</v>
      </c>
      <c r="AH134" s="5">
        <f>SUM(Tableau2[[#This Row],[2022]:[2050]])</f>
        <v>33975.584000000003</v>
      </c>
    </row>
    <row r="135" spans="1:34" x14ac:dyDescent="0.3">
      <c r="A135" s="2" t="s">
        <v>83</v>
      </c>
      <c r="B135" s="2" t="s">
        <v>84</v>
      </c>
      <c r="C135" s="3" t="s">
        <v>27</v>
      </c>
      <c r="D135" s="2" t="s">
        <v>74</v>
      </c>
      <c r="E135" s="7">
        <v>6.9968500000000003E-2</v>
      </c>
      <c r="F135" s="4">
        <f t="shared" si="36"/>
        <v>0.17093</v>
      </c>
      <c r="G135" s="4">
        <f t="shared" si="36"/>
        <v>0.27189150000000001</v>
      </c>
      <c r="H135" s="4">
        <v>0.37285299999999999</v>
      </c>
      <c r="I135" s="4">
        <f t="shared" si="37"/>
        <v>1.0050683999999999</v>
      </c>
      <c r="J135" s="4">
        <f t="shared" si="37"/>
        <v>1.6372838000000001</v>
      </c>
      <c r="K135" s="4">
        <f t="shared" si="37"/>
        <v>2.2694991999999998</v>
      </c>
      <c r="L135" s="4">
        <f t="shared" si="37"/>
        <v>2.9017146</v>
      </c>
      <c r="M135" s="4">
        <v>3.5339299999999998</v>
      </c>
      <c r="N135" s="4">
        <f t="shared" si="38"/>
        <v>4.3751059999999997</v>
      </c>
      <c r="O135" s="4">
        <f t="shared" si="38"/>
        <v>5.2162819999999996</v>
      </c>
      <c r="P135" s="4">
        <f t="shared" si="38"/>
        <v>6.0574580000000005</v>
      </c>
      <c r="Q135" s="4">
        <f t="shared" si="38"/>
        <v>6.8986340000000004</v>
      </c>
      <c r="R135" s="4">
        <v>7.7398100000000003</v>
      </c>
      <c r="S135" s="4">
        <f t="shared" si="39"/>
        <v>9.1756480000000007</v>
      </c>
      <c r="T135" s="4">
        <f t="shared" si="39"/>
        <v>10.611485999999999</v>
      </c>
      <c r="U135" s="4">
        <f t="shared" si="39"/>
        <v>12.047324</v>
      </c>
      <c r="V135" s="4">
        <f t="shared" si="39"/>
        <v>13.483162</v>
      </c>
      <c r="W135" s="4">
        <v>14.919</v>
      </c>
      <c r="X135" s="4">
        <f t="shared" si="40"/>
        <v>15.872780000000001</v>
      </c>
      <c r="Y135" s="4">
        <f t="shared" si="40"/>
        <v>16.826560000000001</v>
      </c>
      <c r="Z135" s="4">
        <f t="shared" si="40"/>
        <v>17.780339999999999</v>
      </c>
      <c r="AA135" s="4">
        <f t="shared" si="40"/>
        <v>18.734120000000001</v>
      </c>
      <c r="AB135" s="4">
        <v>19.687899999999999</v>
      </c>
      <c r="AC135" s="4">
        <f t="shared" si="41"/>
        <v>19.465820000000001</v>
      </c>
      <c r="AD135" s="4">
        <f t="shared" si="41"/>
        <v>19.243739999999999</v>
      </c>
      <c r="AE135" s="4">
        <f t="shared" si="41"/>
        <v>19.021660000000001</v>
      </c>
      <c r="AF135" s="4">
        <f t="shared" si="41"/>
        <v>18.799579999999999</v>
      </c>
      <c r="AG135" s="4">
        <v>18.577500000000001</v>
      </c>
      <c r="AH135" s="4">
        <f>SUM(Tableau2[[#This Row],[2022]:[2050]])</f>
        <v>286.76704899999999</v>
      </c>
    </row>
    <row r="136" spans="1:34" x14ac:dyDescent="0.3">
      <c r="A136" s="2" t="s">
        <v>75</v>
      </c>
      <c r="B136" s="2" t="s">
        <v>93</v>
      </c>
      <c r="C136" s="3" t="s">
        <v>28</v>
      </c>
      <c r="D136" s="2" t="s">
        <v>72</v>
      </c>
      <c r="E136" s="4">
        <v>3.831</v>
      </c>
      <c r="F136" s="4">
        <f t="shared" si="36"/>
        <v>3.8975833333333334</v>
      </c>
      <c r="G136" s="4">
        <f t="shared" si="36"/>
        <v>3.9641666666666668</v>
      </c>
      <c r="H136" s="4">
        <v>4.0307500000000003</v>
      </c>
      <c r="I136" s="4">
        <f t="shared" si="37"/>
        <v>4.0402180000000003</v>
      </c>
      <c r="J136" s="4">
        <f t="shared" si="37"/>
        <v>4.0496860000000003</v>
      </c>
      <c r="K136" s="4">
        <f t="shared" si="37"/>
        <v>4.0591540000000004</v>
      </c>
      <c r="L136" s="4">
        <f t="shared" si="37"/>
        <v>4.0686220000000004</v>
      </c>
      <c r="M136" s="4">
        <v>4.0780900000000004</v>
      </c>
      <c r="N136" s="4">
        <f t="shared" si="38"/>
        <v>3.9487140000000003</v>
      </c>
      <c r="O136" s="4">
        <f t="shared" si="38"/>
        <v>3.8193380000000001</v>
      </c>
      <c r="P136" s="4">
        <f t="shared" si="38"/>
        <v>3.6899620000000004</v>
      </c>
      <c r="Q136" s="4">
        <f t="shared" si="38"/>
        <v>3.5605860000000003</v>
      </c>
      <c r="R136" s="4">
        <v>3.4312100000000001</v>
      </c>
      <c r="S136" s="4">
        <f t="shared" si="39"/>
        <v>3.315458</v>
      </c>
      <c r="T136" s="4">
        <f t="shared" si="39"/>
        <v>3.1997059999999999</v>
      </c>
      <c r="U136" s="4">
        <f t="shared" si="39"/>
        <v>3.0839540000000003</v>
      </c>
      <c r="V136" s="4">
        <f t="shared" si="39"/>
        <v>2.9682020000000002</v>
      </c>
      <c r="W136" s="4">
        <v>2.8524500000000002</v>
      </c>
      <c r="X136" s="4">
        <f t="shared" si="40"/>
        <v>2.7696719999999999</v>
      </c>
      <c r="Y136" s="4">
        <f t="shared" si="40"/>
        <v>2.6868940000000001</v>
      </c>
      <c r="Z136" s="4">
        <f t="shared" si="40"/>
        <v>2.6041159999999999</v>
      </c>
      <c r="AA136" s="4">
        <f t="shared" si="40"/>
        <v>2.5213380000000001</v>
      </c>
      <c r="AB136" s="4">
        <v>2.4385599999999998</v>
      </c>
      <c r="AC136" s="4">
        <f t="shared" si="41"/>
        <v>2.308338</v>
      </c>
      <c r="AD136" s="4">
        <f t="shared" si="41"/>
        <v>2.1781159999999997</v>
      </c>
      <c r="AE136" s="4">
        <f t="shared" si="41"/>
        <v>2.0478939999999999</v>
      </c>
      <c r="AF136" s="4">
        <f t="shared" si="41"/>
        <v>1.917672</v>
      </c>
      <c r="AG136" s="4">
        <v>1.78745</v>
      </c>
      <c r="AH136" s="5">
        <f>SUM(Tableau2[[#This Row],[2022]:[2050]])</f>
        <v>93.148900000000026</v>
      </c>
    </row>
    <row r="137" spans="1:34" hidden="1" x14ac:dyDescent="0.3">
      <c r="A137" s="2" t="s">
        <v>75</v>
      </c>
      <c r="B137" s="2" t="s">
        <v>93</v>
      </c>
      <c r="C137" s="3" t="s">
        <v>28</v>
      </c>
      <c r="D137" s="2" t="s">
        <v>73</v>
      </c>
      <c r="E137" s="6">
        <v>3.831</v>
      </c>
      <c r="F137" s="6">
        <f t="shared" si="36"/>
        <v>4.1418833333333334</v>
      </c>
      <c r="G137" s="6">
        <f t="shared" si="36"/>
        <v>4.4527666666666672</v>
      </c>
      <c r="H137" s="6">
        <v>4.7636500000000002</v>
      </c>
      <c r="I137" s="6">
        <f t="shared" si="37"/>
        <v>4.8608219999999998</v>
      </c>
      <c r="J137" s="6">
        <f t="shared" si="37"/>
        <v>4.9579940000000002</v>
      </c>
      <c r="K137" s="6">
        <f t="shared" si="37"/>
        <v>5.0551659999999998</v>
      </c>
      <c r="L137" s="6">
        <f t="shared" si="37"/>
        <v>5.1523380000000003</v>
      </c>
      <c r="M137" s="6">
        <v>5.2495099999999999</v>
      </c>
      <c r="N137" s="6">
        <f t="shared" si="38"/>
        <v>5.1846019999999999</v>
      </c>
      <c r="O137" s="6">
        <f t="shared" si="38"/>
        <v>5.119694</v>
      </c>
      <c r="P137" s="6">
        <f t="shared" si="38"/>
        <v>5.054786</v>
      </c>
      <c r="Q137" s="6">
        <f t="shared" si="38"/>
        <v>4.989878</v>
      </c>
      <c r="R137" s="6">
        <v>4.9249700000000001</v>
      </c>
      <c r="S137" s="6">
        <f t="shared" si="39"/>
        <v>4.7008380000000001</v>
      </c>
      <c r="T137" s="6">
        <f t="shared" si="39"/>
        <v>4.4767060000000001</v>
      </c>
      <c r="U137" s="6">
        <f t="shared" si="39"/>
        <v>4.2525740000000001</v>
      </c>
      <c r="V137" s="6">
        <f t="shared" si="39"/>
        <v>4.0284420000000001</v>
      </c>
      <c r="W137" s="6">
        <v>3.8043100000000001</v>
      </c>
      <c r="X137" s="6">
        <f t="shared" si="40"/>
        <v>3.6357159999999999</v>
      </c>
      <c r="Y137" s="6">
        <f t="shared" si="40"/>
        <v>3.4671219999999998</v>
      </c>
      <c r="Z137" s="6">
        <f t="shared" si="40"/>
        <v>3.2985280000000001</v>
      </c>
      <c r="AA137" s="6">
        <f t="shared" si="40"/>
        <v>3.129934</v>
      </c>
      <c r="AB137" s="6">
        <v>2.9613399999999999</v>
      </c>
      <c r="AC137" s="6">
        <f t="shared" si="41"/>
        <v>2.6986559999999997</v>
      </c>
      <c r="AD137" s="6">
        <f t="shared" si="41"/>
        <v>2.435972</v>
      </c>
      <c r="AE137" s="6">
        <f t="shared" si="41"/>
        <v>2.1732879999999999</v>
      </c>
      <c r="AF137" s="6">
        <f t="shared" si="41"/>
        <v>1.910604</v>
      </c>
      <c r="AG137" s="6">
        <v>1.6479200000000001</v>
      </c>
      <c r="AH137" s="5">
        <f>SUM(Tableau2[[#This Row],[2022]:[2050]])</f>
        <v>116.36101000000002</v>
      </c>
    </row>
    <row r="138" spans="1:34" x14ac:dyDescent="0.3">
      <c r="A138" s="2" t="s">
        <v>75</v>
      </c>
      <c r="B138" s="2" t="s">
        <v>93</v>
      </c>
      <c r="C138" s="3" t="s">
        <v>28</v>
      </c>
      <c r="D138" s="2" t="s">
        <v>74</v>
      </c>
      <c r="E138" s="4">
        <v>3.831</v>
      </c>
      <c r="F138" s="4">
        <f t="shared" si="36"/>
        <v>4.7768466666666667</v>
      </c>
      <c r="G138" s="4">
        <f t="shared" si="36"/>
        <v>5.7226933333333339</v>
      </c>
      <c r="H138" s="4">
        <v>6.6685400000000001</v>
      </c>
      <c r="I138" s="4">
        <f t="shared" si="37"/>
        <v>7.1542599999999998</v>
      </c>
      <c r="J138" s="4">
        <f t="shared" si="37"/>
        <v>7.6399799999999995</v>
      </c>
      <c r="K138" s="4">
        <f t="shared" si="37"/>
        <v>8.1257000000000001</v>
      </c>
      <c r="L138" s="4">
        <f t="shared" si="37"/>
        <v>8.611419999999999</v>
      </c>
      <c r="M138" s="4">
        <v>9.0971399999999996</v>
      </c>
      <c r="N138" s="4">
        <f t="shared" si="38"/>
        <v>8.7626720000000002</v>
      </c>
      <c r="O138" s="4">
        <f t="shared" si="38"/>
        <v>8.4282039999999991</v>
      </c>
      <c r="P138" s="4">
        <f t="shared" si="38"/>
        <v>8.0937359999999998</v>
      </c>
      <c r="Q138" s="4">
        <f t="shared" si="38"/>
        <v>7.7592680000000005</v>
      </c>
      <c r="R138" s="4">
        <v>7.4248000000000003</v>
      </c>
      <c r="S138" s="4">
        <f t="shared" si="39"/>
        <v>7.0136060000000002</v>
      </c>
      <c r="T138" s="4">
        <f t="shared" si="39"/>
        <v>6.6024120000000002</v>
      </c>
      <c r="U138" s="4">
        <f t="shared" si="39"/>
        <v>6.1912180000000001</v>
      </c>
      <c r="V138" s="4">
        <f t="shared" si="39"/>
        <v>5.7800240000000001</v>
      </c>
      <c r="W138" s="4">
        <v>5.36883</v>
      </c>
      <c r="X138" s="4">
        <f t="shared" si="40"/>
        <v>4.843172</v>
      </c>
      <c r="Y138" s="4">
        <f t="shared" si="40"/>
        <v>4.3175140000000001</v>
      </c>
      <c r="Z138" s="4">
        <f t="shared" si="40"/>
        <v>3.7918560000000001</v>
      </c>
      <c r="AA138" s="4">
        <f t="shared" si="40"/>
        <v>3.2661980000000002</v>
      </c>
      <c r="AB138" s="4">
        <v>2.7405400000000002</v>
      </c>
      <c r="AC138" s="4">
        <f t="shared" si="41"/>
        <v>2.4311540000000003</v>
      </c>
      <c r="AD138" s="4">
        <f t="shared" si="41"/>
        <v>2.1217680000000003</v>
      </c>
      <c r="AE138" s="4">
        <f t="shared" si="41"/>
        <v>1.8123819999999999</v>
      </c>
      <c r="AF138" s="4">
        <f t="shared" si="41"/>
        <v>1.502996</v>
      </c>
      <c r="AG138" s="4">
        <v>1.1936100000000001</v>
      </c>
      <c r="AH138" s="4">
        <f>SUM(Tableau2[[#This Row],[2022]:[2050]])</f>
        <v>161.07354000000001</v>
      </c>
    </row>
    <row r="139" spans="1:34" x14ac:dyDescent="0.3">
      <c r="A139" s="2" t="s">
        <v>75</v>
      </c>
      <c r="B139" s="2" t="s">
        <v>79</v>
      </c>
      <c r="C139" s="3" t="s">
        <v>29</v>
      </c>
      <c r="D139" s="2" t="s">
        <v>72</v>
      </c>
      <c r="E139" s="4">
        <v>0.422543</v>
      </c>
      <c r="F139" s="4">
        <f t="shared" si="36"/>
        <v>0.42335766666666669</v>
      </c>
      <c r="G139" s="4">
        <f t="shared" si="36"/>
        <v>0.42417233333333332</v>
      </c>
      <c r="H139" s="4">
        <v>0.424987</v>
      </c>
      <c r="I139" s="4">
        <f t="shared" si="37"/>
        <v>0.41452800000000001</v>
      </c>
      <c r="J139" s="4">
        <f t="shared" si="37"/>
        <v>0.40406900000000001</v>
      </c>
      <c r="K139" s="4">
        <f t="shared" si="37"/>
        <v>0.39361000000000002</v>
      </c>
      <c r="L139" s="4">
        <f t="shared" si="37"/>
        <v>0.38315100000000002</v>
      </c>
      <c r="M139" s="4">
        <v>0.37269200000000002</v>
      </c>
      <c r="N139" s="4">
        <f t="shared" si="38"/>
        <v>0.37102400000000002</v>
      </c>
      <c r="O139" s="4">
        <f t="shared" si="38"/>
        <v>0.36935600000000002</v>
      </c>
      <c r="P139" s="4">
        <f t="shared" si="38"/>
        <v>0.36768800000000001</v>
      </c>
      <c r="Q139" s="4">
        <f t="shared" si="38"/>
        <v>0.36602000000000001</v>
      </c>
      <c r="R139" s="4">
        <v>0.36435200000000001</v>
      </c>
      <c r="S139" s="4">
        <f t="shared" si="39"/>
        <v>0.36450300000000002</v>
      </c>
      <c r="T139" s="4">
        <f t="shared" si="39"/>
        <v>0.36465400000000003</v>
      </c>
      <c r="U139" s="4">
        <f t="shared" si="39"/>
        <v>0.36480499999999999</v>
      </c>
      <c r="V139" s="4">
        <f t="shared" si="39"/>
        <v>0.364956</v>
      </c>
      <c r="W139" s="4">
        <v>0.36510700000000001</v>
      </c>
      <c r="X139" s="4">
        <f t="shared" si="40"/>
        <v>0.36842259999999999</v>
      </c>
      <c r="Y139" s="4">
        <f t="shared" si="40"/>
        <v>0.37173820000000002</v>
      </c>
      <c r="Z139" s="4">
        <f t="shared" si="40"/>
        <v>0.37505379999999999</v>
      </c>
      <c r="AA139" s="4">
        <f t="shared" si="40"/>
        <v>0.37836940000000002</v>
      </c>
      <c r="AB139" s="4">
        <v>0.381685</v>
      </c>
      <c r="AC139" s="4">
        <f t="shared" si="41"/>
        <v>0.38178059999999997</v>
      </c>
      <c r="AD139" s="4">
        <f t="shared" si="41"/>
        <v>0.3818762</v>
      </c>
      <c r="AE139" s="4">
        <f t="shared" si="41"/>
        <v>0.38197179999999997</v>
      </c>
      <c r="AF139" s="4">
        <f t="shared" si="41"/>
        <v>0.3820674</v>
      </c>
      <c r="AG139" s="4">
        <v>0.38216299999999997</v>
      </c>
      <c r="AH139" s="5">
        <f>SUM(Tableau2[[#This Row],[2022]:[2050]])</f>
        <v>11.110703000000001</v>
      </c>
    </row>
    <row r="140" spans="1:34" hidden="1" x14ac:dyDescent="0.3">
      <c r="A140" s="2" t="s">
        <v>75</v>
      </c>
      <c r="B140" s="2" t="s">
        <v>79</v>
      </c>
      <c r="C140" s="3" t="s">
        <v>29</v>
      </c>
      <c r="D140" s="2" t="s">
        <v>73</v>
      </c>
      <c r="E140" s="6">
        <v>0.422543</v>
      </c>
      <c r="F140" s="6">
        <f t="shared" si="36"/>
        <v>0.45050066666666666</v>
      </c>
      <c r="G140" s="6">
        <f t="shared" si="36"/>
        <v>0.47845833333333332</v>
      </c>
      <c r="H140" s="6">
        <v>0.50641599999999998</v>
      </c>
      <c r="I140" s="6">
        <f t="shared" si="37"/>
        <v>0.50372539999999999</v>
      </c>
      <c r="J140" s="6">
        <f t="shared" si="37"/>
        <v>0.5010348</v>
      </c>
      <c r="K140" s="6">
        <f t="shared" si="37"/>
        <v>0.49834419999999996</v>
      </c>
      <c r="L140" s="6">
        <f t="shared" si="37"/>
        <v>0.49565359999999997</v>
      </c>
      <c r="M140" s="6">
        <v>0.49296299999999998</v>
      </c>
      <c r="N140" s="6">
        <f t="shared" si="38"/>
        <v>0.5037258</v>
      </c>
      <c r="O140" s="6">
        <f t="shared" si="38"/>
        <v>0.51448859999999996</v>
      </c>
      <c r="P140" s="6">
        <f t="shared" si="38"/>
        <v>0.52525139999999992</v>
      </c>
      <c r="Q140" s="6">
        <f t="shared" si="38"/>
        <v>0.5360142</v>
      </c>
      <c r="R140" s="6">
        <v>0.54677699999999996</v>
      </c>
      <c r="S140" s="6">
        <f t="shared" si="39"/>
        <v>0.54189159999999992</v>
      </c>
      <c r="T140" s="6">
        <f t="shared" si="39"/>
        <v>0.53700619999999999</v>
      </c>
      <c r="U140" s="6">
        <f t="shared" si="39"/>
        <v>0.53212079999999995</v>
      </c>
      <c r="V140" s="6">
        <f t="shared" si="39"/>
        <v>0.52723540000000002</v>
      </c>
      <c r="W140" s="6">
        <v>0.52234999999999998</v>
      </c>
      <c r="X140" s="6">
        <f t="shared" si="40"/>
        <v>0.52485599999999999</v>
      </c>
      <c r="Y140" s="6">
        <f t="shared" si="40"/>
        <v>0.527362</v>
      </c>
      <c r="Z140" s="6">
        <f t="shared" si="40"/>
        <v>0.52986800000000001</v>
      </c>
      <c r="AA140" s="6">
        <f t="shared" si="40"/>
        <v>0.53237400000000001</v>
      </c>
      <c r="AB140" s="6">
        <v>0.53488000000000002</v>
      </c>
      <c r="AC140" s="6">
        <f t="shared" si="41"/>
        <v>0.52703960000000005</v>
      </c>
      <c r="AD140" s="6">
        <f t="shared" si="41"/>
        <v>0.51919919999999997</v>
      </c>
      <c r="AE140" s="6">
        <f t="shared" si="41"/>
        <v>0.5113588</v>
      </c>
      <c r="AF140" s="6">
        <f t="shared" si="41"/>
        <v>0.50351840000000003</v>
      </c>
      <c r="AG140" s="6">
        <v>0.49567800000000001</v>
      </c>
      <c r="AH140" s="5">
        <f>SUM(Tableau2[[#This Row],[2022]:[2050]])</f>
        <v>14.842633999999999</v>
      </c>
    </row>
    <row r="141" spans="1:34" x14ac:dyDescent="0.3">
      <c r="A141" s="2" t="s">
        <v>75</v>
      </c>
      <c r="B141" s="2" t="s">
        <v>79</v>
      </c>
      <c r="C141" s="3" t="s">
        <v>29</v>
      </c>
      <c r="D141" s="2" t="s">
        <v>74</v>
      </c>
      <c r="E141" s="4">
        <v>0.422543</v>
      </c>
      <c r="F141" s="4">
        <f t="shared" si="36"/>
        <v>0.54512133333333335</v>
      </c>
      <c r="G141" s="4">
        <f t="shared" si="36"/>
        <v>0.66769966666666669</v>
      </c>
      <c r="H141" s="4">
        <v>0.79027800000000004</v>
      </c>
      <c r="I141" s="4">
        <f t="shared" si="37"/>
        <v>0.88014840000000005</v>
      </c>
      <c r="J141" s="4">
        <f t="shared" si="37"/>
        <v>0.97001880000000007</v>
      </c>
      <c r="K141" s="4">
        <f t="shared" si="37"/>
        <v>1.0598892</v>
      </c>
      <c r="L141" s="4">
        <f t="shared" si="37"/>
        <v>1.1497595999999999</v>
      </c>
      <c r="M141" s="4">
        <v>1.23963</v>
      </c>
      <c r="N141" s="4">
        <f t="shared" si="38"/>
        <v>1.2207460000000001</v>
      </c>
      <c r="O141" s="4">
        <f t="shared" si="38"/>
        <v>1.201862</v>
      </c>
      <c r="P141" s="4">
        <f t="shared" si="38"/>
        <v>1.1829780000000001</v>
      </c>
      <c r="Q141" s="4">
        <f t="shared" si="38"/>
        <v>1.164094</v>
      </c>
      <c r="R141" s="4">
        <v>1.1452100000000001</v>
      </c>
      <c r="S141" s="4">
        <f t="shared" si="39"/>
        <v>1.1100084000000001</v>
      </c>
      <c r="T141" s="4">
        <f t="shared" si="39"/>
        <v>1.0748068</v>
      </c>
      <c r="U141" s="4">
        <f t="shared" si="39"/>
        <v>1.0396052</v>
      </c>
      <c r="V141" s="4">
        <f t="shared" si="39"/>
        <v>1.0044036000000001</v>
      </c>
      <c r="W141" s="4">
        <v>0.96920200000000001</v>
      </c>
      <c r="X141" s="4">
        <f t="shared" si="40"/>
        <v>0.89562819999999999</v>
      </c>
      <c r="Y141" s="4">
        <f t="shared" si="40"/>
        <v>0.82205440000000007</v>
      </c>
      <c r="Z141" s="4">
        <f t="shared" si="40"/>
        <v>0.74848060000000005</v>
      </c>
      <c r="AA141" s="4">
        <f t="shared" si="40"/>
        <v>0.67490680000000003</v>
      </c>
      <c r="AB141" s="4">
        <v>0.60133300000000001</v>
      </c>
      <c r="AC141" s="4">
        <f t="shared" si="41"/>
        <v>0.5666892</v>
      </c>
      <c r="AD141" s="4">
        <f t="shared" si="41"/>
        <v>0.5320454</v>
      </c>
      <c r="AE141" s="4">
        <f t="shared" si="41"/>
        <v>0.4974016</v>
      </c>
      <c r="AF141" s="4">
        <f t="shared" si="41"/>
        <v>0.4627578</v>
      </c>
      <c r="AG141" s="4">
        <v>0.42811399999999999</v>
      </c>
      <c r="AH141" s="4">
        <f>SUM(Tableau2[[#This Row],[2022]:[2050]])</f>
        <v>25.067414999999997</v>
      </c>
    </row>
    <row r="142" spans="1:34" hidden="1" x14ac:dyDescent="0.3">
      <c r="A142" s="2" t="s">
        <v>85</v>
      </c>
      <c r="B142" s="2" t="s">
        <v>78</v>
      </c>
      <c r="C142" s="3" t="s">
        <v>30</v>
      </c>
      <c r="D142" s="2" t="s">
        <v>73</v>
      </c>
      <c r="E142" s="6">
        <v>8.0606300000000006E-2</v>
      </c>
      <c r="F142" s="6">
        <f t="shared" ref="F142:G165" si="42">(($H142-$E142)/($H$1-$E$1))*(F$1-$E$1)+$E142</f>
        <v>0.11102586666666667</v>
      </c>
      <c r="G142" s="6">
        <f t="shared" si="42"/>
        <v>0.14144543333333331</v>
      </c>
      <c r="H142">
        <v>0.17186499999999999</v>
      </c>
      <c r="I142" s="6">
        <f t="shared" ref="I142:L165" si="43">(($M142-$H142)/($M$1-$H$1))*(I$1-$H$1)+$H142</f>
        <v>0.2103476</v>
      </c>
      <c r="J142" s="6">
        <f t="shared" si="43"/>
        <v>0.2488302</v>
      </c>
      <c r="K142" s="6">
        <f t="shared" si="43"/>
        <v>0.28731279999999998</v>
      </c>
      <c r="L142" s="6">
        <f t="shared" si="43"/>
        <v>0.32579539999999996</v>
      </c>
      <c r="M142">
        <v>0.36427799999999999</v>
      </c>
      <c r="N142" s="6">
        <f t="shared" ref="N142:Q165" si="44">(($R142-$M142)/($R$1-$M$1))*(N$1-$M$1)+$M142</f>
        <v>0.41676560000000001</v>
      </c>
      <c r="O142" s="6">
        <f t="shared" si="44"/>
        <v>0.46925320000000004</v>
      </c>
      <c r="P142" s="6">
        <f t="shared" si="44"/>
        <v>0.5217408</v>
      </c>
      <c r="Q142" s="6">
        <f t="shared" si="44"/>
        <v>0.57422839999999997</v>
      </c>
      <c r="R142">
        <v>0.62671600000000005</v>
      </c>
      <c r="S142" s="6">
        <f t="shared" ref="S142:V165" si="45">(($W142-$R142)/($W$1-$R$1))*(S$1-$R$1)+$R142</f>
        <v>0.66494720000000007</v>
      </c>
      <c r="T142" s="6">
        <f t="shared" si="45"/>
        <v>0.70317840000000009</v>
      </c>
      <c r="U142" s="6">
        <f t="shared" si="45"/>
        <v>0.74140960000000011</v>
      </c>
      <c r="V142" s="6">
        <f t="shared" si="45"/>
        <v>0.77964080000000002</v>
      </c>
      <c r="W142">
        <v>0.81787200000000004</v>
      </c>
      <c r="X142" s="6">
        <f t="shared" ref="X142:AA165" si="46">(($AB142-$W142)/($AB$1-$W$1))*(X$1-$W$1)+$W142</f>
        <v>0.83779560000000008</v>
      </c>
      <c r="Y142" s="6">
        <f t="shared" si="46"/>
        <v>0.85771920000000001</v>
      </c>
      <c r="Z142" s="6">
        <f t="shared" si="46"/>
        <v>0.87764280000000006</v>
      </c>
      <c r="AA142" s="6">
        <f t="shared" si="46"/>
        <v>0.89756639999999999</v>
      </c>
      <c r="AB142">
        <v>0.91749000000000003</v>
      </c>
      <c r="AC142" s="6">
        <f t="shared" ref="AC142:AF165" si="47">(($AG142-$AB142)/($AG$1-$AB$1))*(AC$1-$AB$1)+$AB142</f>
        <v>0.93567600000000006</v>
      </c>
      <c r="AD142" s="6">
        <f t="shared" si="47"/>
        <v>0.9538620000000001</v>
      </c>
      <c r="AE142" s="6">
        <f t="shared" si="47"/>
        <v>0.97204800000000002</v>
      </c>
      <c r="AF142" s="6">
        <f t="shared" si="47"/>
        <v>0.99023400000000006</v>
      </c>
      <c r="AG142">
        <v>1.0084200000000001</v>
      </c>
      <c r="AH142" s="5">
        <f>SUM(Tableau2[[#This Row],[2022]:[2050]])</f>
        <v>17.505712600000006</v>
      </c>
    </row>
    <row r="143" spans="1:34" x14ac:dyDescent="0.3">
      <c r="A143" s="2" t="s">
        <v>85</v>
      </c>
      <c r="B143" s="2" t="s">
        <v>78</v>
      </c>
      <c r="C143" s="3" t="s">
        <v>30</v>
      </c>
      <c r="D143" s="2" t="s">
        <v>72</v>
      </c>
      <c r="E143" s="4">
        <v>8.0606300000000006E-2</v>
      </c>
      <c r="F143" s="4">
        <f t="shared" si="42"/>
        <v>0.10320520000000001</v>
      </c>
      <c r="G143" s="4">
        <f t="shared" si="42"/>
        <v>0.1258041</v>
      </c>
      <c r="H143" s="4">
        <v>0.14840300000000001</v>
      </c>
      <c r="I143" s="4">
        <f t="shared" si="43"/>
        <v>0.16920380000000002</v>
      </c>
      <c r="J143" s="4">
        <f t="shared" si="43"/>
        <v>0.1900046</v>
      </c>
      <c r="K143" s="4">
        <f t="shared" si="43"/>
        <v>0.2108054</v>
      </c>
      <c r="L143" s="4">
        <f t="shared" si="43"/>
        <v>0.23160619999999998</v>
      </c>
      <c r="M143" s="4">
        <v>0.25240699999999999</v>
      </c>
      <c r="N143" s="4">
        <f t="shared" si="44"/>
        <v>0.26464500000000002</v>
      </c>
      <c r="O143" s="4">
        <f t="shared" si="44"/>
        <v>0.27688299999999999</v>
      </c>
      <c r="P143" s="4">
        <f t="shared" si="44"/>
        <v>0.28912100000000002</v>
      </c>
      <c r="Q143" s="4">
        <f t="shared" si="44"/>
        <v>0.30135899999999999</v>
      </c>
      <c r="R143" s="4">
        <v>0.31359700000000001</v>
      </c>
      <c r="S143" s="4">
        <f t="shared" si="45"/>
        <v>0.3290246</v>
      </c>
      <c r="T143" s="4">
        <f t="shared" si="45"/>
        <v>0.34445219999999999</v>
      </c>
      <c r="U143" s="4">
        <f t="shared" si="45"/>
        <v>0.35987979999999997</v>
      </c>
      <c r="V143" s="4">
        <f t="shared" si="45"/>
        <v>0.37530740000000001</v>
      </c>
      <c r="W143" s="4">
        <v>0.390735</v>
      </c>
      <c r="X143" s="4">
        <f t="shared" si="46"/>
        <v>0.40296739999999998</v>
      </c>
      <c r="Y143" s="4">
        <f t="shared" si="46"/>
        <v>0.41519980000000001</v>
      </c>
      <c r="Z143" s="4">
        <f t="shared" si="46"/>
        <v>0.42743219999999998</v>
      </c>
      <c r="AA143" s="4">
        <f t="shared" si="46"/>
        <v>0.43966460000000002</v>
      </c>
      <c r="AB143" s="4">
        <v>0.45189699999999999</v>
      </c>
      <c r="AC143" s="4">
        <f t="shared" si="47"/>
        <v>0.45635019999999998</v>
      </c>
      <c r="AD143" s="4">
        <f t="shared" si="47"/>
        <v>0.46080339999999997</v>
      </c>
      <c r="AE143" s="4">
        <f t="shared" si="47"/>
        <v>0.46525660000000002</v>
      </c>
      <c r="AF143" s="4">
        <f t="shared" si="47"/>
        <v>0.46970980000000001</v>
      </c>
      <c r="AG143" s="4">
        <v>0.474163</v>
      </c>
      <c r="AH143" s="5">
        <f>SUM(Tableau2[[#This Row],[2022]:[2050]])</f>
        <v>9.2204936000000011</v>
      </c>
    </row>
    <row r="144" spans="1:34" x14ac:dyDescent="0.3">
      <c r="A144" s="2" t="s">
        <v>77</v>
      </c>
      <c r="B144" s="2" t="s">
        <v>78</v>
      </c>
      <c r="C144" s="3" t="s">
        <v>30</v>
      </c>
      <c r="D144" s="2" t="s">
        <v>74</v>
      </c>
      <c r="E144" s="4">
        <v>0.215006</v>
      </c>
      <c r="F144" s="4">
        <f t="shared" si="42"/>
        <v>0.27112933333333333</v>
      </c>
      <c r="G144" s="4">
        <f t="shared" si="42"/>
        <v>0.32725266666666664</v>
      </c>
      <c r="H144" s="4">
        <v>0.38337599999999999</v>
      </c>
      <c r="I144" s="4">
        <f t="shared" si="43"/>
        <v>0.49775820000000004</v>
      </c>
      <c r="J144" s="4">
        <f t="shared" si="43"/>
        <v>0.61214040000000003</v>
      </c>
      <c r="K144" s="4">
        <f t="shared" si="43"/>
        <v>0.72652260000000002</v>
      </c>
      <c r="L144" s="4">
        <f t="shared" si="43"/>
        <v>0.84090480000000012</v>
      </c>
      <c r="M144" s="4">
        <v>0.955287</v>
      </c>
      <c r="N144" s="4">
        <f t="shared" si="44"/>
        <v>0.9528044</v>
      </c>
      <c r="O144" s="4">
        <f t="shared" si="44"/>
        <v>0.95032179999999999</v>
      </c>
      <c r="P144" s="4">
        <f t="shared" si="44"/>
        <v>0.94783919999999999</v>
      </c>
      <c r="Q144" s="4">
        <f t="shared" si="44"/>
        <v>0.94535659999999999</v>
      </c>
      <c r="R144" s="4">
        <v>0.94287399999999999</v>
      </c>
      <c r="S144" s="4">
        <f t="shared" si="45"/>
        <v>0.92901559999999994</v>
      </c>
      <c r="T144" s="4">
        <f t="shared" si="45"/>
        <v>0.9151572</v>
      </c>
      <c r="U144" s="4">
        <f t="shared" si="45"/>
        <v>0.90129879999999996</v>
      </c>
      <c r="V144" s="4">
        <f t="shared" si="45"/>
        <v>0.88744040000000002</v>
      </c>
      <c r="W144" s="4">
        <v>0.87358199999999997</v>
      </c>
      <c r="X144" s="4">
        <f t="shared" si="46"/>
        <v>0.8191138</v>
      </c>
      <c r="Y144" s="4">
        <f t="shared" si="46"/>
        <v>0.76464560000000004</v>
      </c>
      <c r="Z144" s="4">
        <f t="shared" si="46"/>
        <v>0.71017740000000007</v>
      </c>
      <c r="AA144" s="4">
        <f t="shared" si="46"/>
        <v>0.65570919999999999</v>
      </c>
      <c r="AB144" s="4">
        <v>0.60124100000000003</v>
      </c>
      <c r="AC144" s="4">
        <f t="shared" si="47"/>
        <v>0.66981480000000004</v>
      </c>
      <c r="AD144" s="4">
        <f t="shared" si="47"/>
        <v>0.73838859999999995</v>
      </c>
      <c r="AE144" s="4">
        <f t="shared" si="47"/>
        <v>0.80696239999999997</v>
      </c>
      <c r="AF144" s="4">
        <f t="shared" si="47"/>
        <v>0.87553619999999999</v>
      </c>
      <c r="AG144" s="4">
        <v>0.94411</v>
      </c>
      <c r="AH144" s="4">
        <f>SUM(Tableau2[[#This Row],[2022]:[2050]])</f>
        <v>21.660765999999999</v>
      </c>
    </row>
    <row r="145" spans="1:34" x14ac:dyDescent="0.3">
      <c r="A145" s="2" t="s">
        <v>77</v>
      </c>
      <c r="B145" s="2" t="s">
        <v>78</v>
      </c>
      <c r="C145" s="3" t="s">
        <v>30</v>
      </c>
      <c r="D145" s="2" t="s">
        <v>72</v>
      </c>
      <c r="E145" s="4">
        <v>0.215006</v>
      </c>
      <c r="F145" s="4">
        <f t="shared" si="42"/>
        <v>0.22217400000000001</v>
      </c>
      <c r="G145" s="4">
        <f t="shared" si="42"/>
        <v>0.22934199999999999</v>
      </c>
      <c r="H145" s="4">
        <v>0.23651</v>
      </c>
      <c r="I145" s="4">
        <f t="shared" si="43"/>
        <v>0.26950780000000002</v>
      </c>
      <c r="J145" s="4">
        <f t="shared" si="43"/>
        <v>0.30250559999999999</v>
      </c>
      <c r="K145" s="4">
        <f t="shared" si="43"/>
        <v>0.33550340000000001</v>
      </c>
      <c r="L145" s="4">
        <f t="shared" si="43"/>
        <v>0.36850119999999997</v>
      </c>
      <c r="M145" s="4">
        <v>0.40149899999999999</v>
      </c>
      <c r="N145" s="4">
        <f t="shared" si="44"/>
        <v>0.39531879999999997</v>
      </c>
      <c r="O145" s="4">
        <f t="shared" si="44"/>
        <v>0.3891386</v>
      </c>
      <c r="P145" s="4">
        <f t="shared" si="44"/>
        <v>0.38295839999999998</v>
      </c>
      <c r="Q145" s="4">
        <f t="shared" si="44"/>
        <v>0.37677820000000001</v>
      </c>
      <c r="R145" s="4">
        <v>0.37059799999999998</v>
      </c>
      <c r="S145" s="4">
        <f t="shared" si="45"/>
        <v>0.36370179999999996</v>
      </c>
      <c r="T145" s="4">
        <f t="shared" si="45"/>
        <v>0.3568056</v>
      </c>
      <c r="U145" s="4">
        <f t="shared" si="45"/>
        <v>0.34990939999999998</v>
      </c>
      <c r="V145" s="4">
        <f t="shared" si="45"/>
        <v>0.34301320000000002</v>
      </c>
      <c r="W145" s="4">
        <v>0.336117</v>
      </c>
      <c r="X145" s="4">
        <f t="shared" si="46"/>
        <v>0.35420479999999999</v>
      </c>
      <c r="Y145" s="4">
        <f t="shared" si="46"/>
        <v>0.37229259999999997</v>
      </c>
      <c r="Z145" s="4">
        <f t="shared" si="46"/>
        <v>0.39038039999999996</v>
      </c>
      <c r="AA145" s="4">
        <f t="shared" si="46"/>
        <v>0.4084682</v>
      </c>
      <c r="AB145" s="4">
        <v>0.42655599999999999</v>
      </c>
      <c r="AC145" s="4">
        <f t="shared" si="47"/>
        <v>0.44549719999999998</v>
      </c>
      <c r="AD145" s="4">
        <f t="shared" si="47"/>
        <v>0.46443839999999997</v>
      </c>
      <c r="AE145" s="4">
        <f t="shared" si="47"/>
        <v>0.48337960000000002</v>
      </c>
      <c r="AF145" s="4">
        <f t="shared" si="47"/>
        <v>0.50232080000000001</v>
      </c>
      <c r="AG145" s="4">
        <v>0.521262</v>
      </c>
      <c r="AH145" s="5">
        <f>SUM(Tableau2[[#This Row],[2022]:[2050]])</f>
        <v>10.613687999999998</v>
      </c>
    </row>
    <row r="146" spans="1:34" x14ac:dyDescent="0.3">
      <c r="A146" s="2" t="s">
        <v>85</v>
      </c>
      <c r="B146" s="2" t="s">
        <v>78</v>
      </c>
      <c r="C146" s="3" t="s">
        <v>30</v>
      </c>
      <c r="D146" s="2" t="s">
        <v>74</v>
      </c>
      <c r="E146" s="4">
        <v>8.0606300000000006E-2</v>
      </c>
      <c r="F146" s="4">
        <f t="shared" si="42"/>
        <v>0.14207486666666669</v>
      </c>
      <c r="G146" s="4">
        <f t="shared" si="42"/>
        <v>0.20354343333333336</v>
      </c>
      <c r="H146" s="4">
        <v>0.26501200000000003</v>
      </c>
      <c r="I146" s="4">
        <f t="shared" si="43"/>
        <v>0.32054900000000003</v>
      </c>
      <c r="J146" s="4">
        <f t="shared" si="43"/>
        <v>0.37608600000000003</v>
      </c>
      <c r="K146" s="4">
        <f t="shared" si="43"/>
        <v>0.43162299999999998</v>
      </c>
      <c r="L146" s="4">
        <f t="shared" si="43"/>
        <v>0.48715999999999998</v>
      </c>
      <c r="M146" s="4">
        <v>0.54269699999999998</v>
      </c>
      <c r="N146" s="4">
        <f t="shared" si="44"/>
        <v>0.57892880000000002</v>
      </c>
      <c r="O146" s="4">
        <f t="shared" si="44"/>
        <v>0.61516060000000006</v>
      </c>
      <c r="P146" s="4">
        <f t="shared" si="44"/>
        <v>0.65139239999999998</v>
      </c>
      <c r="Q146" s="4">
        <f t="shared" si="44"/>
        <v>0.68762420000000002</v>
      </c>
      <c r="R146" s="4">
        <v>0.72385600000000005</v>
      </c>
      <c r="S146" s="4">
        <f t="shared" si="45"/>
        <v>0.71929580000000004</v>
      </c>
      <c r="T146" s="4">
        <f t="shared" si="45"/>
        <v>0.71473560000000003</v>
      </c>
      <c r="U146" s="4">
        <f t="shared" si="45"/>
        <v>0.71017540000000001</v>
      </c>
      <c r="V146" s="4">
        <f t="shared" si="45"/>
        <v>0.7056152</v>
      </c>
      <c r="W146" s="4">
        <v>0.70105499999999998</v>
      </c>
      <c r="X146" s="4">
        <f t="shared" si="46"/>
        <v>0.71230399999999994</v>
      </c>
      <c r="Y146" s="4">
        <f t="shared" si="46"/>
        <v>0.723553</v>
      </c>
      <c r="Z146" s="4">
        <f t="shared" si="46"/>
        <v>0.73480199999999996</v>
      </c>
      <c r="AA146" s="4">
        <f t="shared" si="46"/>
        <v>0.74605100000000002</v>
      </c>
      <c r="AB146" s="4">
        <v>0.75729999999999997</v>
      </c>
      <c r="AC146" s="4">
        <f t="shared" si="47"/>
        <v>0.76056020000000002</v>
      </c>
      <c r="AD146" s="4">
        <f t="shared" si="47"/>
        <v>0.76382039999999995</v>
      </c>
      <c r="AE146" s="4">
        <f t="shared" si="47"/>
        <v>0.7670806</v>
      </c>
      <c r="AF146" s="4">
        <f t="shared" si="47"/>
        <v>0.77034079999999994</v>
      </c>
      <c r="AG146" s="4">
        <v>0.77360099999999998</v>
      </c>
      <c r="AH146" s="4">
        <f>SUM(Tableau2[[#This Row],[2022]:[2050]])</f>
        <v>17.166603600000002</v>
      </c>
    </row>
    <row r="147" spans="1:34" hidden="1" x14ac:dyDescent="0.3">
      <c r="A147" s="2" t="s">
        <v>77</v>
      </c>
      <c r="B147" s="2" t="s">
        <v>78</v>
      </c>
      <c r="C147" s="3" t="s">
        <v>30</v>
      </c>
      <c r="D147" s="2" t="s">
        <v>73</v>
      </c>
      <c r="E147" s="6">
        <v>0.215006</v>
      </c>
      <c r="F147" s="6">
        <f t="shared" si="42"/>
        <v>0.24416266666666667</v>
      </c>
      <c r="G147" s="6">
        <f t="shared" si="42"/>
        <v>0.27331933333333336</v>
      </c>
      <c r="H147">
        <v>0.30247600000000002</v>
      </c>
      <c r="I147" s="6">
        <f t="shared" si="43"/>
        <v>0.3480586</v>
      </c>
      <c r="J147" s="6">
        <f t="shared" si="43"/>
        <v>0.39364120000000002</v>
      </c>
      <c r="K147" s="6">
        <f t="shared" si="43"/>
        <v>0.4392238</v>
      </c>
      <c r="L147" s="6">
        <f t="shared" si="43"/>
        <v>0.48480639999999997</v>
      </c>
      <c r="M147">
        <v>0.530389</v>
      </c>
      <c r="N147" s="6">
        <f t="shared" si="44"/>
        <v>0.54671879999999995</v>
      </c>
      <c r="O147" s="6">
        <f t="shared" si="44"/>
        <v>0.56304860000000001</v>
      </c>
      <c r="P147" s="6">
        <f t="shared" si="44"/>
        <v>0.57937839999999996</v>
      </c>
      <c r="Q147" s="6">
        <f t="shared" si="44"/>
        <v>0.59570820000000002</v>
      </c>
      <c r="R147">
        <v>0.61203799999999997</v>
      </c>
      <c r="S147" s="6">
        <f t="shared" si="45"/>
        <v>0.61648459999999994</v>
      </c>
      <c r="T147" s="6">
        <f t="shared" si="45"/>
        <v>0.62093120000000002</v>
      </c>
      <c r="U147" s="6">
        <f t="shared" si="45"/>
        <v>0.62537779999999998</v>
      </c>
      <c r="V147" s="6">
        <f t="shared" si="45"/>
        <v>0.62982440000000006</v>
      </c>
      <c r="W147">
        <v>0.63427100000000003</v>
      </c>
      <c r="X147" s="6">
        <f t="shared" si="46"/>
        <v>0.644899</v>
      </c>
      <c r="Y147" s="6">
        <f t="shared" si="46"/>
        <v>0.65552699999999997</v>
      </c>
      <c r="Z147" s="6">
        <f t="shared" si="46"/>
        <v>0.66615500000000005</v>
      </c>
      <c r="AA147" s="6">
        <f t="shared" si="46"/>
        <v>0.67678300000000002</v>
      </c>
      <c r="AB147">
        <v>0.68741099999999999</v>
      </c>
      <c r="AC147" s="6">
        <f t="shared" si="47"/>
        <v>0.71235579999999998</v>
      </c>
      <c r="AD147" s="6">
        <f t="shared" si="47"/>
        <v>0.73730059999999997</v>
      </c>
      <c r="AE147" s="6">
        <f t="shared" si="47"/>
        <v>0.76224540000000007</v>
      </c>
      <c r="AF147" s="6">
        <f t="shared" si="47"/>
        <v>0.78719020000000006</v>
      </c>
      <c r="AG147">
        <v>0.81213500000000005</v>
      </c>
      <c r="AH147" s="5">
        <f>SUM(Tableau2[[#This Row],[2022]:[2050]])</f>
        <v>16.396865999999999</v>
      </c>
    </row>
    <row r="148" spans="1:34" x14ac:dyDescent="0.3">
      <c r="A148" s="2" t="s">
        <v>75</v>
      </c>
      <c r="C148" s="3" t="s">
        <v>31</v>
      </c>
      <c r="D148" s="2" t="s">
        <v>72</v>
      </c>
      <c r="E148" s="4">
        <v>1.2021900000000001</v>
      </c>
      <c r="F148" s="4">
        <f t="shared" si="42"/>
        <v>1.2614033333333334</v>
      </c>
      <c r="G148" s="4">
        <f t="shared" si="42"/>
        <v>1.3206166666666665</v>
      </c>
      <c r="H148" s="4">
        <v>1.3798299999999999</v>
      </c>
      <c r="I148" s="4">
        <f t="shared" si="43"/>
        <v>1.432302</v>
      </c>
      <c r="J148" s="4">
        <f t="shared" si="43"/>
        <v>1.484774</v>
      </c>
      <c r="K148" s="4">
        <f t="shared" si="43"/>
        <v>1.5372460000000001</v>
      </c>
      <c r="L148" s="4">
        <f t="shared" si="43"/>
        <v>1.589718</v>
      </c>
      <c r="M148" s="4">
        <v>1.64219</v>
      </c>
      <c r="N148" s="4">
        <f t="shared" si="44"/>
        <v>1.648628</v>
      </c>
      <c r="O148" s="4">
        <f t="shared" si="44"/>
        <v>1.6550659999999999</v>
      </c>
      <c r="P148" s="4">
        <f t="shared" si="44"/>
        <v>1.6615040000000001</v>
      </c>
      <c r="Q148" s="4">
        <f t="shared" si="44"/>
        <v>1.667942</v>
      </c>
      <c r="R148" s="4">
        <v>1.67438</v>
      </c>
      <c r="S148" s="4">
        <f t="shared" si="45"/>
        <v>1.69191</v>
      </c>
      <c r="T148" s="4">
        <f t="shared" si="45"/>
        <v>1.7094400000000001</v>
      </c>
      <c r="U148" s="4">
        <f t="shared" si="45"/>
        <v>1.7269699999999999</v>
      </c>
      <c r="V148" s="4">
        <f t="shared" si="45"/>
        <v>1.7444999999999999</v>
      </c>
      <c r="W148" s="4">
        <v>1.76203</v>
      </c>
      <c r="X148" s="4">
        <f t="shared" si="46"/>
        <v>1.8174399999999999</v>
      </c>
      <c r="Y148" s="4">
        <f t="shared" si="46"/>
        <v>1.8728499999999999</v>
      </c>
      <c r="Z148" s="4">
        <f t="shared" si="46"/>
        <v>1.9282599999999999</v>
      </c>
      <c r="AA148" s="4">
        <f t="shared" si="46"/>
        <v>1.9836699999999998</v>
      </c>
      <c r="AB148" s="4">
        <v>2.0390799999999998</v>
      </c>
      <c r="AC148" s="4">
        <f t="shared" si="47"/>
        <v>2.0923439999999998</v>
      </c>
      <c r="AD148" s="4">
        <f t="shared" si="47"/>
        <v>2.1456079999999997</v>
      </c>
      <c r="AE148" s="4">
        <f t="shared" si="47"/>
        <v>2.1988720000000002</v>
      </c>
      <c r="AF148" s="4">
        <f t="shared" si="47"/>
        <v>2.2521360000000001</v>
      </c>
      <c r="AG148" s="4">
        <v>2.3054000000000001</v>
      </c>
      <c r="AH148" s="5">
        <f>SUM(Tableau2[[#This Row],[2022]:[2050]])</f>
        <v>50.4283</v>
      </c>
    </row>
    <row r="149" spans="1:34" hidden="1" x14ac:dyDescent="0.3">
      <c r="A149" s="2" t="s">
        <v>75</v>
      </c>
      <c r="C149" s="3" t="s">
        <v>31</v>
      </c>
      <c r="D149" s="2" t="s">
        <v>73</v>
      </c>
      <c r="E149" s="6">
        <v>1.2021900000000001</v>
      </c>
      <c r="F149" s="6">
        <f t="shared" si="42"/>
        <v>1.34849</v>
      </c>
      <c r="G149" s="6">
        <f t="shared" si="42"/>
        <v>1.4947900000000001</v>
      </c>
      <c r="H149" s="6">
        <v>1.6410899999999999</v>
      </c>
      <c r="I149" s="6">
        <f t="shared" si="43"/>
        <v>1.745304</v>
      </c>
      <c r="J149" s="6">
        <f t="shared" si="43"/>
        <v>1.849518</v>
      </c>
      <c r="K149" s="6">
        <f t="shared" si="43"/>
        <v>1.953732</v>
      </c>
      <c r="L149" s="6">
        <f t="shared" si="43"/>
        <v>2.0579460000000003</v>
      </c>
      <c r="M149" s="6">
        <v>2.1621600000000001</v>
      </c>
      <c r="N149" s="6">
        <f t="shared" si="44"/>
        <v>2.235214</v>
      </c>
      <c r="O149" s="6">
        <f t="shared" si="44"/>
        <v>2.308268</v>
      </c>
      <c r="P149" s="6">
        <f t="shared" si="44"/>
        <v>2.3813219999999999</v>
      </c>
      <c r="Q149" s="6">
        <f t="shared" si="44"/>
        <v>2.4543759999999999</v>
      </c>
      <c r="R149" s="6">
        <v>2.5274299999999998</v>
      </c>
      <c r="S149" s="6">
        <f t="shared" si="45"/>
        <v>2.541312</v>
      </c>
      <c r="T149" s="6">
        <f t="shared" si="45"/>
        <v>2.5551939999999997</v>
      </c>
      <c r="U149" s="6">
        <f t="shared" si="45"/>
        <v>2.5690759999999999</v>
      </c>
      <c r="V149" s="6">
        <f t="shared" si="45"/>
        <v>2.5829579999999996</v>
      </c>
      <c r="W149" s="6">
        <v>2.5968399999999998</v>
      </c>
      <c r="X149" s="6">
        <f t="shared" si="46"/>
        <v>2.6815479999999998</v>
      </c>
      <c r="Y149" s="6">
        <f t="shared" si="46"/>
        <v>2.7662559999999998</v>
      </c>
      <c r="Z149" s="6">
        <f t="shared" si="46"/>
        <v>2.8509639999999998</v>
      </c>
      <c r="AA149" s="6">
        <f t="shared" si="46"/>
        <v>2.9356719999999998</v>
      </c>
      <c r="AB149" s="6">
        <v>3.0203799999999998</v>
      </c>
      <c r="AC149" s="6">
        <f t="shared" si="47"/>
        <v>3.0892360000000001</v>
      </c>
      <c r="AD149" s="6">
        <f t="shared" si="47"/>
        <v>3.1580919999999999</v>
      </c>
      <c r="AE149" s="6">
        <f t="shared" si="47"/>
        <v>3.2269480000000001</v>
      </c>
      <c r="AF149" s="6">
        <f t="shared" si="47"/>
        <v>3.295804</v>
      </c>
      <c r="AG149" s="6">
        <v>3.3646600000000002</v>
      </c>
      <c r="AH149" s="5">
        <f>SUM(Tableau2[[#This Row],[2022]:[2050]])</f>
        <v>70.596769999999992</v>
      </c>
    </row>
    <row r="150" spans="1:34" x14ac:dyDescent="0.3">
      <c r="A150" s="2" t="s">
        <v>75</v>
      </c>
      <c r="B150" s="2" t="s">
        <v>94</v>
      </c>
      <c r="C150" s="3" t="s">
        <v>31</v>
      </c>
      <c r="D150" s="2" t="s">
        <v>74</v>
      </c>
      <c r="E150" s="4">
        <v>1.2021900000000001</v>
      </c>
      <c r="F150" s="4">
        <f t="shared" si="42"/>
        <v>1.5675833333333333</v>
      </c>
      <c r="G150" s="4">
        <f t="shared" si="42"/>
        <v>1.9329766666666666</v>
      </c>
      <c r="H150" s="4">
        <v>2.2983699999999998</v>
      </c>
      <c r="I150" s="4">
        <f t="shared" si="43"/>
        <v>2.59131</v>
      </c>
      <c r="J150" s="4">
        <f t="shared" si="43"/>
        <v>2.8842499999999998</v>
      </c>
      <c r="K150" s="4">
        <f t="shared" si="43"/>
        <v>3.17719</v>
      </c>
      <c r="L150" s="4">
        <f t="shared" si="43"/>
        <v>3.4701300000000002</v>
      </c>
      <c r="M150" s="4">
        <v>3.7630699999999999</v>
      </c>
      <c r="N150" s="4">
        <f t="shared" si="44"/>
        <v>3.784036</v>
      </c>
      <c r="O150" s="4">
        <f t="shared" si="44"/>
        <v>3.805002</v>
      </c>
      <c r="P150" s="4">
        <f t="shared" si="44"/>
        <v>3.825968</v>
      </c>
      <c r="Q150" s="4">
        <f t="shared" si="44"/>
        <v>3.8469340000000001</v>
      </c>
      <c r="R150" s="4">
        <v>3.8679000000000001</v>
      </c>
      <c r="S150" s="4">
        <f t="shared" si="45"/>
        <v>3.8569840000000002</v>
      </c>
      <c r="T150" s="4">
        <f t="shared" si="45"/>
        <v>3.8460680000000003</v>
      </c>
      <c r="U150" s="4">
        <f t="shared" si="45"/>
        <v>3.8351519999999999</v>
      </c>
      <c r="V150" s="4">
        <f t="shared" si="45"/>
        <v>3.824236</v>
      </c>
      <c r="W150" s="4">
        <v>3.81332</v>
      </c>
      <c r="X150" s="4">
        <f t="shared" si="46"/>
        <v>3.6700699999999999</v>
      </c>
      <c r="Y150" s="4">
        <f t="shared" si="46"/>
        <v>3.5268199999999998</v>
      </c>
      <c r="Z150" s="4">
        <f t="shared" si="46"/>
        <v>3.3835699999999997</v>
      </c>
      <c r="AA150" s="4">
        <f t="shared" si="46"/>
        <v>3.2403200000000001</v>
      </c>
      <c r="AB150" s="4">
        <v>3.09707</v>
      </c>
      <c r="AC150" s="4">
        <f t="shared" si="47"/>
        <v>3.1703579999999998</v>
      </c>
      <c r="AD150" s="4">
        <f t="shared" si="47"/>
        <v>3.243646</v>
      </c>
      <c r="AE150" s="4">
        <f t="shared" si="47"/>
        <v>3.3169339999999998</v>
      </c>
      <c r="AF150" s="4">
        <f t="shared" si="47"/>
        <v>3.3902220000000001</v>
      </c>
      <c r="AG150" s="4">
        <v>3.4635099999999999</v>
      </c>
      <c r="AH150" s="4">
        <f>SUM(Tableau2[[#This Row],[2022]:[2050]])</f>
        <v>94.695189999999982</v>
      </c>
    </row>
    <row r="151" spans="1:34" x14ac:dyDescent="0.3">
      <c r="A151" s="2" t="s">
        <v>83</v>
      </c>
      <c r="B151" s="2" t="s">
        <v>84</v>
      </c>
      <c r="C151" s="3" t="s">
        <v>32</v>
      </c>
      <c r="D151" s="2" t="s">
        <v>72</v>
      </c>
      <c r="E151" s="7">
        <v>1</v>
      </c>
      <c r="F151" s="4">
        <f t="shared" si="42"/>
        <v>0.66666666666666674</v>
      </c>
      <c r="G151" s="4">
        <f t="shared" si="42"/>
        <v>0.33333333333333337</v>
      </c>
      <c r="H151" s="4">
        <v>0</v>
      </c>
      <c r="I151" s="4">
        <f t="shared" si="43"/>
        <v>3.07544</v>
      </c>
      <c r="J151" s="4">
        <f t="shared" si="43"/>
        <v>6.1508799999999999</v>
      </c>
      <c r="K151" s="4">
        <f t="shared" si="43"/>
        <v>9.2263199999999994</v>
      </c>
      <c r="L151" s="4">
        <f t="shared" si="43"/>
        <v>12.30176</v>
      </c>
      <c r="M151" s="4">
        <v>15.3772</v>
      </c>
      <c r="N151" s="4">
        <f t="shared" si="44"/>
        <v>27.187779999999997</v>
      </c>
      <c r="O151" s="4">
        <f t="shared" si="44"/>
        <v>38.998359999999998</v>
      </c>
      <c r="P151" s="4">
        <f t="shared" si="44"/>
        <v>50.808939999999993</v>
      </c>
      <c r="Q151" s="4">
        <f t="shared" si="44"/>
        <v>62.619519999999994</v>
      </c>
      <c r="R151" s="4">
        <v>74.430099999999996</v>
      </c>
      <c r="S151" s="4">
        <f t="shared" si="45"/>
        <v>103.66507999999999</v>
      </c>
      <c r="T151" s="4">
        <f t="shared" si="45"/>
        <v>132.90006</v>
      </c>
      <c r="U151" s="4">
        <f t="shared" si="45"/>
        <v>162.13504</v>
      </c>
      <c r="V151" s="4">
        <f t="shared" si="45"/>
        <v>191.37001999999998</v>
      </c>
      <c r="W151" s="4">
        <v>220.60499999999999</v>
      </c>
      <c r="X151" s="4">
        <f t="shared" si="46"/>
        <v>225.06119999999999</v>
      </c>
      <c r="Y151" s="4">
        <f t="shared" si="46"/>
        <v>229.51739999999998</v>
      </c>
      <c r="Z151" s="4">
        <f t="shared" si="46"/>
        <v>233.9736</v>
      </c>
      <c r="AA151" s="4">
        <f t="shared" si="46"/>
        <v>238.4298</v>
      </c>
      <c r="AB151" s="4">
        <v>242.886</v>
      </c>
      <c r="AC151" s="4">
        <f t="shared" si="47"/>
        <v>240.9008</v>
      </c>
      <c r="AD151" s="4">
        <f t="shared" si="47"/>
        <v>238.91560000000001</v>
      </c>
      <c r="AE151" s="4">
        <f t="shared" si="47"/>
        <v>236.93039999999999</v>
      </c>
      <c r="AF151" s="4">
        <f t="shared" si="47"/>
        <v>234.9452</v>
      </c>
      <c r="AG151" s="4">
        <v>232.96</v>
      </c>
      <c r="AH151" s="5">
        <f>SUM(Tableau2[[#This Row],[2022]:[2050]])</f>
        <v>3467.3714999999997</v>
      </c>
    </row>
    <row r="152" spans="1:34" hidden="1" x14ac:dyDescent="0.3">
      <c r="A152" s="2" t="s">
        <v>83</v>
      </c>
      <c r="B152" s="2" t="s">
        <v>84</v>
      </c>
      <c r="C152" s="3" t="s">
        <v>32</v>
      </c>
      <c r="D152" s="2" t="s">
        <v>73</v>
      </c>
      <c r="E152" s="10">
        <v>1</v>
      </c>
      <c r="F152" s="6">
        <f t="shared" si="42"/>
        <v>0.66666666666666674</v>
      </c>
      <c r="G152" s="6">
        <f t="shared" si="42"/>
        <v>0.33333333333333337</v>
      </c>
      <c r="H152" s="6">
        <v>0</v>
      </c>
      <c r="I152" s="6">
        <f t="shared" si="43"/>
        <v>4.81656</v>
      </c>
      <c r="J152" s="6">
        <f t="shared" si="43"/>
        <v>9.6331199999999999</v>
      </c>
      <c r="K152" s="6">
        <f t="shared" si="43"/>
        <v>14.449680000000001</v>
      </c>
      <c r="L152" s="6">
        <f t="shared" si="43"/>
        <v>19.26624</v>
      </c>
      <c r="M152">
        <v>24.082799999999999</v>
      </c>
      <c r="N152" s="6">
        <f t="shared" si="44"/>
        <v>41.59084</v>
      </c>
      <c r="O152" s="6">
        <f t="shared" si="44"/>
        <v>59.098880000000001</v>
      </c>
      <c r="P152" s="6">
        <f t="shared" si="44"/>
        <v>76.606920000000002</v>
      </c>
      <c r="Q152" s="6">
        <f t="shared" si="44"/>
        <v>94.114959999999996</v>
      </c>
      <c r="R152">
        <v>111.623</v>
      </c>
      <c r="S152" s="6">
        <f t="shared" si="45"/>
        <v>162.8784</v>
      </c>
      <c r="T152" s="6">
        <f t="shared" si="45"/>
        <v>214.13380000000001</v>
      </c>
      <c r="U152" s="6">
        <f t="shared" si="45"/>
        <v>265.38919999999996</v>
      </c>
      <c r="V152" s="6">
        <f t="shared" si="45"/>
        <v>316.64459999999997</v>
      </c>
      <c r="W152">
        <v>367.9</v>
      </c>
      <c r="X152" s="6">
        <f t="shared" si="46"/>
        <v>378.36219999999997</v>
      </c>
      <c r="Y152" s="6">
        <f t="shared" si="46"/>
        <v>388.82439999999997</v>
      </c>
      <c r="Z152" s="6">
        <f t="shared" si="46"/>
        <v>399.28660000000002</v>
      </c>
      <c r="AA152" s="6">
        <f t="shared" si="46"/>
        <v>409.74880000000002</v>
      </c>
      <c r="AB152">
        <v>420.21100000000001</v>
      </c>
      <c r="AC152" s="6">
        <f t="shared" si="47"/>
        <v>430.27699999999999</v>
      </c>
      <c r="AD152" s="6">
        <f t="shared" si="47"/>
        <v>440.34300000000002</v>
      </c>
      <c r="AE152" s="6">
        <f t="shared" si="47"/>
        <v>450.40899999999999</v>
      </c>
      <c r="AF152" s="6">
        <f t="shared" si="47"/>
        <v>460.47500000000002</v>
      </c>
      <c r="AG152">
        <v>470.541</v>
      </c>
      <c r="AH152" s="5">
        <f>SUM(Tableau2[[#This Row],[2022]:[2050]])</f>
        <v>6032.7070000000003</v>
      </c>
    </row>
    <row r="153" spans="1:34" x14ac:dyDescent="0.3">
      <c r="A153" s="2" t="s">
        <v>83</v>
      </c>
      <c r="B153" s="2" t="s">
        <v>84</v>
      </c>
      <c r="C153" s="3" t="s">
        <v>32</v>
      </c>
      <c r="D153" s="2" t="s">
        <v>74</v>
      </c>
      <c r="E153" s="7">
        <v>1</v>
      </c>
      <c r="F153" s="4">
        <f t="shared" si="42"/>
        <v>0.66666666666666674</v>
      </c>
      <c r="G153" s="4">
        <f t="shared" si="42"/>
        <v>0.33333333333333337</v>
      </c>
      <c r="H153" s="4">
        <v>0</v>
      </c>
      <c r="I153" s="4">
        <f t="shared" si="43"/>
        <v>9.5968599999999995</v>
      </c>
      <c r="J153" s="4">
        <f t="shared" si="43"/>
        <v>19.193719999999999</v>
      </c>
      <c r="K153" s="4">
        <f t="shared" si="43"/>
        <v>28.790579999999999</v>
      </c>
      <c r="L153" s="4">
        <f t="shared" si="43"/>
        <v>38.387439999999998</v>
      </c>
      <c r="M153" s="4">
        <v>47.984299999999998</v>
      </c>
      <c r="N153" s="4">
        <f t="shared" si="44"/>
        <v>81.11663999999999</v>
      </c>
      <c r="O153" s="4">
        <f t="shared" si="44"/>
        <v>114.24897999999999</v>
      </c>
      <c r="P153" s="4">
        <f t="shared" si="44"/>
        <v>147.38131999999999</v>
      </c>
      <c r="Q153" s="4">
        <f t="shared" si="44"/>
        <v>180.51365999999999</v>
      </c>
      <c r="R153" s="4">
        <v>213.64599999999999</v>
      </c>
      <c r="S153" s="4">
        <f t="shared" si="45"/>
        <v>305.15179999999998</v>
      </c>
      <c r="T153" s="4">
        <f t="shared" si="45"/>
        <v>396.6576</v>
      </c>
      <c r="U153" s="4">
        <f t="shared" si="45"/>
        <v>488.16339999999991</v>
      </c>
      <c r="V153" s="4">
        <f t="shared" si="45"/>
        <v>579.66919999999993</v>
      </c>
      <c r="W153" s="4">
        <v>671.17499999999995</v>
      </c>
      <c r="X153" s="4">
        <f t="shared" si="46"/>
        <v>686.41539999999998</v>
      </c>
      <c r="Y153" s="4">
        <f t="shared" si="46"/>
        <v>701.6558</v>
      </c>
      <c r="Z153" s="4">
        <f t="shared" si="46"/>
        <v>716.89619999999991</v>
      </c>
      <c r="AA153" s="4">
        <f t="shared" si="46"/>
        <v>732.13659999999993</v>
      </c>
      <c r="AB153" s="4">
        <v>747.37699999999995</v>
      </c>
      <c r="AC153" s="4">
        <f t="shared" si="47"/>
        <v>738.947</v>
      </c>
      <c r="AD153" s="4">
        <f t="shared" si="47"/>
        <v>730.51699999999994</v>
      </c>
      <c r="AE153" s="4">
        <f t="shared" si="47"/>
        <v>722.08699999999999</v>
      </c>
      <c r="AF153" s="4">
        <f t="shared" si="47"/>
        <v>713.65699999999993</v>
      </c>
      <c r="AG153" s="4">
        <v>705.22699999999998</v>
      </c>
      <c r="AH153" s="4">
        <f>SUM(Tableau2[[#This Row],[2022]:[2050]])</f>
        <v>10518.592499999999</v>
      </c>
    </row>
    <row r="154" spans="1:34" x14ac:dyDescent="0.3">
      <c r="A154" s="2" t="s">
        <v>86</v>
      </c>
      <c r="B154" s="2"/>
      <c r="C154" s="3" t="s">
        <v>33</v>
      </c>
      <c r="D154" s="2" t="s">
        <v>72</v>
      </c>
      <c r="E154" s="4">
        <v>0</v>
      </c>
      <c r="F154" s="4">
        <f t="shared" si="42"/>
        <v>0</v>
      </c>
      <c r="G154" s="4">
        <f t="shared" si="42"/>
        <v>0</v>
      </c>
      <c r="H154" s="4">
        <v>0</v>
      </c>
      <c r="I154" s="4">
        <f t="shared" si="43"/>
        <v>0</v>
      </c>
      <c r="J154" s="4">
        <f t="shared" si="43"/>
        <v>0</v>
      </c>
      <c r="K154" s="4">
        <f t="shared" si="43"/>
        <v>0</v>
      </c>
      <c r="L154" s="4">
        <f t="shared" si="43"/>
        <v>0</v>
      </c>
      <c r="M154" s="4">
        <v>0</v>
      </c>
      <c r="N154" s="4">
        <f t="shared" si="44"/>
        <v>3.7815199999999997E-5</v>
      </c>
      <c r="O154" s="4">
        <f t="shared" si="44"/>
        <v>7.5630399999999993E-5</v>
      </c>
      <c r="P154" s="4">
        <f t="shared" si="44"/>
        <v>1.1344559999999998E-4</v>
      </c>
      <c r="Q154" s="4">
        <f t="shared" si="44"/>
        <v>1.5126079999999999E-4</v>
      </c>
      <c r="R154" s="4">
        <v>1.8907599999999999E-4</v>
      </c>
      <c r="S154" s="4">
        <f t="shared" si="45"/>
        <v>1.987918E-4</v>
      </c>
      <c r="T154" s="4">
        <f t="shared" si="45"/>
        <v>2.0850759999999999E-4</v>
      </c>
      <c r="U154" s="4">
        <f t="shared" si="45"/>
        <v>2.182234E-4</v>
      </c>
      <c r="V154" s="4">
        <f t="shared" si="45"/>
        <v>2.2793919999999999E-4</v>
      </c>
      <c r="W154" s="4">
        <v>2.37655E-4</v>
      </c>
      <c r="X154" s="4">
        <f t="shared" si="46"/>
        <v>2.307094E-4</v>
      </c>
      <c r="Y154" s="4">
        <f t="shared" si="46"/>
        <v>2.2376380000000001E-4</v>
      </c>
      <c r="Z154" s="4">
        <f t="shared" si="46"/>
        <v>2.1681819999999998E-4</v>
      </c>
      <c r="AA154" s="4">
        <f t="shared" si="46"/>
        <v>2.0987259999999999E-4</v>
      </c>
      <c r="AB154" s="4">
        <v>2.0292699999999999E-4</v>
      </c>
      <c r="AC154" s="4">
        <f t="shared" si="47"/>
        <v>1.623416E-4</v>
      </c>
      <c r="AD154" s="4">
        <f t="shared" si="47"/>
        <v>1.2175619999999999E-4</v>
      </c>
      <c r="AE154" s="4">
        <f t="shared" si="47"/>
        <v>8.1170799999999985E-5</v>
      </c>
      <c r="AF154" s="4">
        <f t="shared" si="47"/>
        <v>4.0585399999999993E-5</v>
      </c>
      <c r="AG154" s="4">
        <v>0</v>
      </c>
      <c r="AH154" s="5">
        <f>SUM(Tableau2[[#This Row],[2022]:[2050]])</f>
        <v>3.1482899999999993E-3</v>
      </c>
    </row>
    <row r="155" spans="1:34" hidden="1" x14ac:dyDescent="0.3">
      <c r="A155" s="2" t="s">
        <v>86</v>
      </c>
      <c r="B155" s="2"/>
      <c r="C155" s="3" t="s">
        <v>33</v>
      </c>
      <c r="D155" s="2" t="s">
        <v>73</v>
      </c>
      <c r="E155" s="6">
        <v>0</v>
      </c>
      <c r="F155" s="6">
        <f t="shared" si="42"/>
        <v>0</v>
      </c>
      <c r="G155" s="6">
        <f t="shared" si="42"/>
        <v>0</v>
      </c>
      <c r="H155">
        <v>0</v>
      </c>
      <c r="I155" s="6">
        <f t="shared" si="43"/>
        <v>0</v>
      </c>
      <c r="J155" s="6">
        <f t="shared" si="43"/>
        <v>0</v>
      </c>
      <c r="K155" s="6">
        <f t="shared" si="43"/>
        <v>0</v>
      </c>
      <c r="L155" s="6">
        <f t="shared" si="43"/>
        <v>0</v>
      </c>
      <c r="M155">
        <v>0</v>
      </c>
      <c r="N155" s="6">
        <f t="shared" si="44"/>
        <v>3.8759999999999999E-4</v>
      </c>
      <c r="O155" s="6">
        <f t="shared" si="44"/>
        <v>7.7519999999999998E-4</v>
      </c>
      <c r="P155" s="6">
        <f t="shared" si="44"/>
        <v>1.1627999999999999E-3</v>
      </c>
      <c r="Q155" s="6">
        <f t="shared" si="44"/>
        <v>1.5504E-3</v>
      </c>
      <c r="R155">
        <v>1.9380000000000001E-3</v>
      </c>
      <c r="S155" s="6">
        <f t="shared" si="45"/>
        <v>2.1330160000000002E-3</v>
      </c>
      <c r="T155" s="6">
        <f t="shared" si="45"/>
        <v>2.3280320000000003E-3</v>
      </c>
      <c r="U155" s="6">
        <f t="shared" si="45"/>
        <v>2.523048E-3</v>
      </c>
      <c r="V155" s="6">
        <f t="shared" si="45"/>
        <v>2.7180640000000001E-3</v>
      </c>
      <c r="W155">
        <v>2.9130800000000002E-3</v>
      </c>
      <c r="X155" s="6">
        <f t="shared" si="46"/>
        <v>2.799022E-3</v>
      </c>
      <c r="Y155" s="6">
        <f t="shared" si="46"/>
        <v>2.6849640000000002E-3</v>
      </c>
      <c r="Z155" s="6">
        <f t="shared" si="46"/>
        <v>2.570906E-3</v>
      </c>
      <c r="AA155" s="6">
        <f t="shared" si="46"/>
        <v>2.4568480000000002E-3</v>
      </c>
      <c r="AB155">
        <v>2.34279E-3</v>
      </c>
      <c r="AC155" s="6">
        <f t="shared" si="47"/>
        <v>1.874232E-3</v>
      </c>
      <c r="AD155" s="6">
        <f t="shared" si="47"/>
        <v>1.405674E-3</v>
      </c>
      <c r="AE155" s="6">
        <f t="shared" si="47"/>
        <v>9.3711599999999999E-4</v>
      </c>
      <c r="AF155" s="6">
        <f t="shared" si="47"/>
        <v>4.68558E-4</v>
      </c>
      <c r="AG155">
        <v>0</v>
      </c>
      <c r="AH155" s="5">
        <f>SUM(Tableau2[[#This Row],[2022]:[2050]])</f>
        <v>3.5969350000000011E-2</v>
      </c>
    </row>
    <row r="156" spans="1:34" x14ac:dyDescent="0.3">
      <c r="A156" s="2" t="s">
        <v>86</v>
      </c>
      <c r="B156" s="2"/>
      <c r="C156" s="3" t="s">
        <v>33</v>
      </c>
      <c r="D156" s="2" t="s">
        <v>74</v>
      </c>
      <c r="E156" s="4">
        <v>0</v>
      </c>
      <c r="F156" s="4">
        <f t="shared" si="42"/>
        <v>0</v>
      </c>
      <c r="G156" s="4">
        <f t="shared" si="42"/>
        <v>0</v>
      </c>
      <c r="H156" s="4">
        <v>0</v>
      </c>
      <c r="I156" s="4">
        <f t="shared" si="43"/>
        <v>0</v>
      </c>
      <c r="J156" s="4">
        <f t="shared" si="43"/>
        <v>0</v>
      </c>
      <c r="K156" s="4">
        <f t="shared" si="43"/>
        <v>0</v>
      </c>
      <c r="L156" s="4">
        <f t="shared" si="43"/>
        <v>0</v>
      </c>
      <c r="M156" s="4">
        <v>0</v>
      </c>
      <c r="N156" s="4">
        <f t="shared" si="44"/>
        <v>1.0569640000000001E-3</v>
      </c>
      <c r="O156" s="4">
        <f t="shared" si="44"/>
        <v>2.1139280000000002E-3</v>
      </c>
      <c r="P156" s="4">
        <f t="shared" si="44"/>
        <v>3.1708920000000002E-3</v>
      </c>
      <c r="Q156" s="4">
        <f t="shared" si="44"/>
        <v>4.2278560000000003E-3</v>
      </c>
      <c r="R156" s="4">
        <v>5.28482E-3</v>
      </c>
      <c r="S156" s="4">
        <f t="shared" si="45"/>
        <v>5.3915880000000001E-3</v>
      </c>
      <c r="T156" s="4">
        <f t="shared" si="45"/>
        <v>5.4983560000000003E-3</v>
      </c>
      <c r="U156" s="4">
        <f t="shared" si="45"/>
        <v>5.6051239999999995E-3</v>
      </c>
      <c r="V156" s="4">
        <f t="shared" si="45"/>
        <v>5.7118919999999997E-3</v>
      </c>
      <c r="W156" s="4">
        <v>5.8186599999999998E-3</v>
      </c>
      <c r="X156" s="4">
        <f t="shared" si="46"/>
        <v>5.2864380000000001E-3</v>
      </c>
      <c r="Y156" s="4">
        <f t="shared" si="46"/>
        <v>4.7542160000000003E-3</v>
      </c>
      <c r="Z156" s="4">
        <f t="shared" si="46"/>
        <v>4.2219939999999997E-3</v>
      </c>
      <c r="AA156" s="4">
        <f t="shared" si="46"/>
        <v>3.689772E-3</v>
      </c>
      <c r="AB156" s="4">
        <v>3.1575499999999999E-3</v>
      </c>
      <c r="AC156" s="4">
        <f t="shared" si="47"/>
        <v>2.5260399999999998E-3</v>
      </c>
      <c r="AD156" s="4">
        <f t="shared" si="47"/>
        <v>1.89453E-3</v>
      </c>
      <c r="AE156" s="4">
        <f t="shared" si="47"/>
        <v>1.2630200000000001E-3</v>
      </c>
      <c r="AF156" s="4">
        <f t="shared" si="47"/>
        <v>6.3151000000000006E-4</v>
      </c>
      <c r="AG156" s="4">
        <v>0</v>
      </c>
      <c r="AH156" s="4">
        <f>SUM(Tableau2[[#This Row],[2022]:[2050]])</f>
        <v>7.1305149999999998E-2</v>
      </c>
    </row>
    <row r="157" spans="1:34" x14ac:dyDescent="0.3">
      <c r="A157" s="2" t="s">
        <v>75</v>
      </c>
      <c r="B157" s="2" t="s">
        <v>94</v>
      </c>
      <c r="C157" s="3" t="s">
        <v>34</v>
      </c>
      <c r="D157" s="2" t="s">
        <v>72</v>
      </c>
      <c r="E157" s="4">
        <v>6.0594599999999996</v>
      </c>
      <c r="F157" s="4">
        <f t="shared" si="42"/>
        <v>6.3579166666666662</v>
      </c>
      <c r="G157" s="4">
        <f t="shared" si="42"/>
        <v>6.6563733333333337</v>
      </c>
      <c r="H157" s="4">
        <v>6.9548300000000003</v>
      </c>
      <c r="I157" s="4">
        <f t="shared" si="43"/>
        <v>7.2193060000000004</v>
      </c>
      <c r="J157" s="4">
        <f t="shared" si="43"/>
        <v>7.4837820000000006</v>
      </c>
      <c r="K157" s="4">
        <f t="shared" si="43"/>
        <v>7.7482579999999999</v>
      </c>
      <c r="L157" s="4">
        <f t="shared" si="43"/>
        <v>8.012734</v>
      </c>
      <c r="M157" s="4">
        <v>8.2772100000000002</v>
      </c>
      <c r="N157" s="4">
        <f t="shared" si="44"/>
        <v>8.3096580000000007</v>
      </c>
      <c r="O157" s="4">
        <f t="shared" si="44"/>
        <v>8.3421060000000011</v>
      </c>
      <c r="P157" s="4">
        <f t="shared" si="44"/>
        <v>8.3745539999999998</v>
      </c>
      <c r="Q157" s="4">
        <f t="shared" si="44"/>
        <v>8.4070020000000003</v>
      </c>
      <c r="R157" s="4">
        <v>8.4394500000000008</v>
      </c>
      <c r="S157" s="4">
        <f t="shared" si="45"/>
        <v>8.5278000000000009</v>
      </c>
      <c r="T157" s="4">
        <f t="shared" si="45"/>
        <v>8.6161500000000011</v>
      </c>
      <c r="U157" s="4">
        <f t="shared" si="45"/>
        <v>8.7044999999999995</v>
      </c>
      <c r="V157" s="4">
        <f t="shared" si="45"/>
        <v>8.7928499999999996</v>
      </c>
      <c r="W157" s="4">
        <v>8.8811999999999998</v>
      </c>
      <c r="X157" s="4">
        <f t="shared" si="46"/>
        <v>9.160499999999999</v>
      </c>
      <c r="Y157" s="4">
        <f t="shared" si="46"/>
        <v>9.4398</v>
      </c>
      <c r="Z157" s="4">
        <f t="shared" si="46"/>
        <v>9.7190999999999992</v>
      </c>
      <c r="AA157" s="4">
        <f t="shared" si="46"/>
        <v>9.9984000000000002</v>
      </c>
      <c r="AB157" s="4">
        <v>10.277699999999999</v>
      </c>
      <c r="AC157" s="4">
        <f t="shared" si="47"/>
        <v>10.546159999999999</v>
      </c>
      <c r="AD157" s="4">
        <f t="shared" si="47"/>
        <v>10.81462</v>
      </c>
      <c r="AE157" s="4">
        <f t="shared" si="47"/>
        <v>11.083079999999999</v>
      </c>
      <c r="AF157" s="4">
        <f t="shared" si="47"/>
        <v>11.35154</v>
      </c>
      <c r="AG157" s="4">
        <v>11.62</v>
      </c>
      <c r="AH157" s="5">
        <f>SUM(Tableau2[[#This Row],[2022]:[2050]])</f>
        <v>254.17604</v>
      </c>
    </row>
    <row r="158" spans="1:34" x14ac:dyDescent="0.3">
      <c r="A158" s="2" t="s">
        <v>77</v>
      </c>
      <c r="B158" s="2" t="s">
        <v>94</v>
      </c>
      <c r="C158" s="3" t="s">
        <v>34</v>
      </c>
      <c r="D158" s="2" t="s">
        <v>74</v>
      </c>
      <c r="E158" s="4">
        <v>561.02599999999995</v>
      </c>
      <c r="F158" s="4">
        <f t="shared" si="42"/>
        <v>711.61399999999992</v>
      </c>
      <c r="G158" s="4">
        <f t="shared" si="42"/>
        <v>862.202</v>
      </c>
      <c r="H158" s="4">
        <v>1012.79</v>
      </c>
      <c r="I158" s="4">
        <f t="shared" si="43"/>
        <v>1241.558</v>
      </c>
      <c r="J158" s="4">
        <f t="shared" si="43"/>
        <v>1470.326</v>
      </c>
      <c r="K158" s="4">
        <f t="shared" si="43"/>
        <v>1699.0940000000001</v>
      </c>
      <c r="L158" s="4">
        <f t="shared" si="43"/>
        <v>1927.8620000000001</v>
      </c>
      <c r="M158" s="4">
        <v>2156.63</v>
      </c>
      <c r="N158" s="4">
        <f t="shared" si="44"/>
        <v>2131.2780000000002</v>
      </c>
      <c r="O158" s="4">
        <f t="shared" si="44"/>
        <v>2105.9259999999999</v>
      </c>
      <c r="P158" s="4">
        <f t="shared" si="44"/>
        <v>2080.5740000000001</v>
      </c>
      <c r="Q158" s="4">
        <f t="shared" si="44"/>
        <v>2055.2219999999998</v>
      </c>
      <c r="R158" s="4">
        <v>2029.87</v>
      </c>
      <c r="S158" s="4">
        <f t="shared" si="45"/>
        <v>1951.8679999999999</v>
      </c>
      <c r="T158" s="4">
        <f t="shared" si="45"/>
        <v>1873.866</v>
      </c>
      <c r="U158" s="4">
        <f t="shared" si="45"/>
        <v>1795.864</v>
      </c>
      <c r="V158" s="4">
        <f t="shared" si="45"/>
        <v>1717.8619999999999</v>
      </c>
      <c r="W158" s="4">
        <v>1639.86</v>
      </c>
      <c r="X158" s="4">
        <f t="shared" si="46"/>
        <v>1540.346</v>
      </c>
      <c r="Y158" s="4">
        <f t="shared" si="46"/>
        <v>1440.8319999999999</v>
      </c>
      <c r="Z158" s="4">
        <f t="shared" si="46"/>
        <v>1341.318</v>
      </c>
      <c r="AA158" s="4">
        <f t="shared" si="46"/>
        <v>1241.8040000000001</v>
      </c>
      <c r="AB158" s="4">
        <v>1142.29</v>
      </c>
      <c r="AC158" s="4">
        <f t="shared" si="47"/>
        <v>1252.2719999999999</v>
      </c>
      <c r="AD158" s="4">
        <f t="shared" si="47"/>
        <v>1362.2539999999999</v>
      </c>
      <c r="AE158" s="4">
        <f t="shared" si="47"/>
        <v>1472.2359999999999</v>
      </c>
      <c r="AF158" s="4">
        <f t="shared" si="47"/>
        <v>1582.2180000000001</v>
      </c>
      <c r="AG158" s="4">
        <v>1692.2</v>
      </c>
      <c r="AH158" s="4">
        <f>SUM(Tableau2[[#This Row],[2022]:[2050]])</f>
        <v>45093.061999999998</v>
      </c>
    </row>
    <row r="159" spans="1:34" hidden="1" x14ac:dyDescent="0.3">
      <c r="A159" s="2" t="s">
        <v>75</v>
      </c>
      <c r="B159" s="2" t="s">
        <v>94</v>
      </c>
      <c r="C159" s="3" t="s">
        <v>34</v>
      </c>
      <c r="D159" s="2" t="s">
        <v>73</v>
      </c>
      <c r="E159" s="6">
        <v>6.0594599999999996</v>
      </c>
      <c r="F159" s="6">
        <f t="shared" si="42"/>
        <v>6.7968633333333335</v>
      </c>
      <c r="G159" s="6">
        <f t="shared" si="42"/>
        <v>7.5342666666666664</v>
      </c>
      <c r="H159" s="6">
        <v>8.2716700000000003</v>
      </c>
      <c r="I159" s="6">
        <f t="shared" si="43"/>
        <v>8.7969360000000005</v>
      </c>
      <c r="J159" s="6">
        <f t="shared" si="43"/>
        <v>9.3222020000000008</v>
      </c>
      <c r="K159" s="6">
        <f t="shared" si="43"/>
        <v>9.8474679999999992</v>
      </c>
      <c r="L159" s="6">
        <f t="shared" si="43"/>
        <v>10.372733999999999</v>
      </c>
      <c r="M159" s="6">
        <v>10.898</v>
      </c>
      <c r="N159" s="6">
        <f t="shared" si="44"/>
        <v>11.266220000000001</v>
      </c>
      <c r="O159" s="6">
        <f t="shared" si="44"/>
        <v>11.63444</v>
      </c>
      <c r="P159" s="6">
        <f t="shared" si="44"/>
        <v>12.002660000000001</v>
      </c>
      <c r="Q159" s="6">
        <f t="shared" si="44"/>
        <v>12.37088</v>
      </c>
      <c r="R159" s="6">
        <v>12.739100000000001</v>
      </c>
      <c r="S159" s="6">
        <f t="shared" si="45"/>
        <v>12.809060000000001</v>
      </c>
      <c r="T159" s="6">
        <f t="shared" si="45"/>
        <v>12.879020000000001</v>
      </c>
      <c r="U159" s="6">
        <f t="shared" si="45"/>
        <v>12.948980000000001</v>
      </c>
      <c r="V159" s="6">
        <f t="shared" si="45"/>
        <v>13.018940000000001</v>
      </c>
      <c r="W159" s="6">
        <v>13.088900000000001</v>
      </c>
      <c r="X159" s="6">
        <f t="shared" si="46"/>
        <v>13.51586</v>
      </c>
      <c r="Y159" s="6">
        <f t="shared" si="46"/>
        <v>13.942819999999999</v>
      </c>
      <c r="Z159" s="6">
        <f t="shared" si="46"/>
        <v>14.369779999999999</v>
      </c>
      <c r="AA159" s="6">
        <f t="shared" si="46"/>
        <v>14.79674</v>
      </c>
      <c r="AB159" s="6">
        <v>15.223699999999999</v>
      </c>
      <c r="AC159" s="6">
        <f t="shared" si="47"/>
        <v>15.57076</v>
      </c>
      <c r="AD159" s="6">
        <f t="shared" si="47"/>
        <v>15.917819999999999</v>
      </c>
      <c r="AE159" s="6">
        <f t="shared" si="47"/>
        <v>16.264879999999998</v>
      </c>
      <c r="AF159" s="6">
        <f t="shared" si="47"/>
        <v>16.611940000000001</v>
      </c>
      <c r="AG159" s="6">
        <v>16.959</v>
      </c>
      <c r="AH159" s="5">
        <f>SUM(Tableau2[[#This Row],[2022]:[2050]])</f>
        <v>355.83110000000005</v>
      </c>
    </row>
    <row r="160" spans="1:34" hidden="1" x14ac:dyDescent="0.3">
      <c r="A160" s="2" t="s">
        <v>77</v>
      </c>
      <c r="B160" s="2" t="s">
        <v>94</v>
      </c>
      <c r="C160" s="3" t="s">
        <v>34</v>
      </c>
      <c r="D160" s="2" t="s">
        <v>73</v>
      </c>
      <c r="E160" s="6">
        <v>561.02599999999995</v>
      </c>
      <c r="F160" s="6">
        <f t="shared" si="42"/>
        <v>624.78</v>
      </c>
      <c r="G160" s="6">
        <f t="shared" si="42"/>
        <v>688.53399999999999</v>
      </c>
      <c r="H160">
        <v>752.28800000000001</v>
      </c>
      <c r="I160" s="6">
        <f t="shared" si="43"/>
        <v>830.22040000000004</v>
      </c>
      <c r="J160" s="6">
        <f t="shared" si="43"/>
        <v>908.15280000000007</v>
      </c>
      <c r="K160" s="6">
        <f t="shared" si="43"/>
        <v>986.08519999999999</v>
      </c>
      <c r="L160" s="6">
        <f t="shared" si="43"/>
        <v>1064.0176000000001</v>
      </c>
      <c r="M160">
        <v>1141.95</v>
      </c>
      <c r="N160" s="6">
        <f t="shared" si="44"/>
        <v>1168.242</v>
      </c>
      <c r="O160" s="6">
        <f t="shared" si="44"/>
        <v>1194.5340000000001</v>
      </c>
      <c r="P160" s="6">
        <f t="shared" si="44"/>
        <v>1220.826</v>
      </c>
      <c r="Q160" s="6">
        <f t="shared" si="44"/>
        <v>1247.1180000000002</v>
      </c>
      <c r="R160">
        <v>1273.4100000000001</v>
      </c>
      <c r="S160" s="6">
        <f t="shared" si="45"/>
        <v>1278.482</v>
      </c>
      <c r="T160" s="6">
        <f t="shared" si="45"/>
        <v>1283.5540000000001</v>
      </c>
      <c r="U160" s="6">
        <f t="shared" si="45"/>
        <v>1288.626</v>
      </c>
      <c r="V160" s="6">
        <f t="shared" si="45"/>
        <v>1293.6980000000001</v>
      </c>
      <c r="W160">
        <v>1298.77</v>
      </c>
      <c r="X160" s="6">
        <f t="shared" si="46"/>
        <v>1296.7359999999999</v>
      </c>
      <c r="Y160" s="6">
        <f t="shared" si="46"/>
        <v>1294.702</v>
      </c>
      <c r="Z160" s="6">
        <f t="shared" si="46"/>
        <v>1292.6679999999999</v>
      </c>
      <c r="AA160" s="6">
        <f t="shared" si="46"/>
        <v>1290.634</v>
      </c>
      <c r="AB160">
        <v>1288.5999999999999</v>
      </c>
      <c r="AC160" s="6">
        <f t="shared" si="47"/>
        <v>1317.3779999999999</v>
      </c>
      <c r="AD160" s="6">
        <f t="shared" si="47"/>
        <v>1346.1559999999999</v>
      </c>
      <c r="AE160" s="6">
        <f t="shared" si="47"/>
        <v>1374.934</v>
      </c>
      <c r="AF160" s="6">
        <f t="shared" si="47"/>
        <v>1403.712</v>
      </c>
      <c r="AG160">
        <v>1432.49</v>
      </c>
      <c r="AH160" s="5">
        <f>SUM(Tableau2[[#This Row],[2022]:[2050]])</f>
        <v>33442.324000000001</v>
      </c>
    </row>
    <row r="161" spans="1:34" x14ac:dyDescent="0.3">
      <c r="A161" s="2" t="s">
        <v>77</v>
      </c>
      <c r="B161" s="2" t="s">
        <v>94</v>
      </c>
      <c r="C161" s="3" t="s">
        <v>34</v>
      </c>
      <c r="D161" s="2" t="s">
        <v>72</v>
      </c>
      <c r="E161" s="4">
        <v>561.02599999999995</v>
      </c>
      <c r="F161" s="4">
        <f t="shared" si="42"/>
        <v>575.15866666666659</v>
      </c>
      <c r="G161" s="4">
        <f t="shared" si="42"/>
        <v>589.29133333333334</v>
      </c>
      <c r="H161" s="4">
        <v>603.42399999999998</v>
      </c>
      <c r="I161" s="4">
        <f t="shared" si="43"/>
        <v>642.6164</v>
      </c>
      <c r="J161" s="4">
        <f t="shared" si="43"/>
        <v>681.80880000000002</v>
      </c>
      <c r="K161" s="4">
        <f t="shared" si="43"/>
        <v>721.00119999999993</v>
      </c>
      <c r="L161" s="4">
        <f t="shared" si="43"/>
        <v>760.19359999999995</v>
      </c>
      <c r="M161" s="4">
        <v>799.38599999999997</v>
      </c>
      <c r="N161" s="4">
        <f t="shared" si="44"/>
        <v>794.98820000000001</v>
      </c>
      <c r="O161" s="4">
        <f t="shared" si="44"/>
        <v>790.59040000000005</v>
      </c>
      <c r="P161" s="4">
        <f t="shared" si="44"/>
        <v>786.19259999999997</v>
      </c>
      <c r="Q161" s="4">
        <f t="shared" si="44"/>
        <v>781.79480000000001</v>
      </c>
      <c r="R161" s="4">
        <v>777.39700000000005</v>
      </c>
      <c r="S161" s="4">
        <f t="shared" si="45"/>
        <v>766.53640000000007</v>
      </c>
      <c r="T161" s="4">
        <f t="shared" si="45"/>
        <v>755.67580000000009</v>
      </c>
      <c r="U161" s="4">
        <f t="shared" si="45"/>
        <v>744.8152</v>
      </c>
      <c r="V161" s="4">
        <f t="shared" si="45"/>
        <v>733.95460000000003</v>
      </c>
      <c r="W161" s="4">
        <v>723.09400000000005</v>
      </c>
      <c r="X161" s="4">
        <f t="shared" si="46"/>
        <v>756.93200000000002</v>
      </c>
      <c r="Y161" s="4">
        <f t="shared" si="46"/>
        <v>790.77</v>
      </c>
      <c r="Z161" s="4">
        <f t="shared" si="46"/>
        <v>824.60799999999995</v>
      </c>
      <c r="AA161" s="4">
        <f t="shared" si="46"/>
        <v>858.44600000000003</v>
      </c>
      <c r="AB161" s="4">
        <v>892.28399999999999</v>
      </c>
      <c r="AC161" s="4">
        <f t="shared" si="47"/>
        <v>910.86379999999997</v>
      </c>
      <c r="AD161" s="4">
        <f t="shared" si="47"/>
        <v>929.44359999999995</v>
      </c>
      <c r="AE161" s="4">
        <f t="shared" si="47"/>
        <v>948.02340000000004</v>
      </c>
      <c r="AF161" s="4">
        <f t="shared" si="47"/>
        <v>966.60320000000002</v>
      </c>
      <c r="AG161" s="4">
        <v>985.18299999999999</v>
      </c>
      <c r="AH161" s="5">
        <f>SUM(Tableau2[[#This Row],[2022]:[2050]])</f>
        <v>22452.102000000006</v>
      </c>
    </row>
    <row r="162" spans="1:34" x14ac:dyDescent="0.3">
      <c r="A162" s="2" t="s">
        <v>75</v>
      </c>
      <c r="B162" s="2" t="s">
        <v>94</v>
      </c>
      <c r="C162" s="3" t="s">
        <v>34</v>
      </c>
      <c r="D162" s="2" t="s">
        <v>74</v>
      </c>
      <c r="E162" s="4">
        <v>6.0594599999999996</v>
      </c>
      <c r="F162" s="4">
        <f t="shared" si="42"/>
        <v>7.9011399999999998</v>
      </c>
      <c r="G162" s="4">
        <f t="shared" si="42"/>
        <v>9.74282</v>
      </c>
      <c r="H162" s="4">
        <v>11.5845</v>
      </c>
      <c r="I162" s="4">
        <f t="shared" si="43"/>
        <v>13.061019999999999</v>
      </c>
      <c r="J162" s="4">
        <f t="shared" si="43"/>
        <v>14.53754</v>
      </c>
      <c r="K162" s="4">
        <f t="shared" si="43"/>
        <v>16.014060000000001</v>
      </c>
      <c r="L162" s="4">
        <f t="shared" si="43"/>
        <v>17.490579999999998</v>
      </c>
      <c r="M162" s="4">
        <v>18.967099999999999</v>
      </c>
      <c r="N162" s="4">
        <f t="shared" si="44"/>
        <v>19.072779999999998</v>
      </c>
      <c r="O162" s="4">
        <f t="shared" si="44"/>
        <v>19.178459999999998</v>
      </c>
      <c r="P162" s="4">
        <f t="shared" si="44"/>
        <v>19.284140000000001</v>
      </c>
      <c r="Q162" s="4">
        <f t="shared" si="44"/>
        <v>19.38982</v>
      </c>
      <c r="R162" s="4">
        <v>19.4955</v>
      </c>
      <c r="S162" s="4">
        <f t="shared" si="45"/>
        <v>19.440480000000001</v>
      </c>
      <c r="T162" s="4">
        <f t="shared" si="45"/>
        <v>19.385460000000002</v>
      </c>
      <c r="U162" s="4">
        <f t="shared" si="45"/>
        <v>19.330439999999999</v>
      </c>
      <c r="V162" s="4">
        <f t="shared" si="45"/>
        <v>19.27542</v>
      </c>
      <c r="W162" s="4">
        <v>19.220400000000001</v>
      </c>
      <c r="X162" s="4">
        <f t="shared" si="46"/>
        <v>18.498380000000001</v>
      </c>
      <c r="Y162" s="4">
        <f t="shared" si="46"/>
        <v>17.77636</v>
      </c>
      <c r="Z162" s="4">
        <f t="shared" si="46"/>
        <v>17.05434</v>
      </c>
      <c r="AA162" s="4">
        <f t="shared" si="46"/>
        <v>16.332319999999999</v>
      </c>
      <c r="AB162" s="4">
        <v>15.610300000000001</v>
      </c>
      <c r="AC162" s="4">
        <f t="shared" si="47"/>
        <v>15.97968</v>
      </c>
      <c r="AD162" s="4">
        <f t="shared" si="47"/>
        <v>16.349060000000001</v>
      </c>
      <c r="AE162" s="4">
        <f t="shared" si="47"/>
        <v>16.718440000000001</v>
      </c>
      <c r="AF162" s="4">
        <f t="shared" si="47"/>
        <v>17.087820000000001</v>
      </c>
      <c r="AG162" s="4">
        <v>17.4572</v>
      </c>
      <c r="AH162" s="4">
        <f>SUM(Tableau2[[#This Row],[2022]:[2050]])</f>
        <v>477.29502000000002</v>
      </c>
    </row>
    <row r="163" spans="1:34" x14ac:dyDescent="0.3">
      <c r="A163" s="2" t="s">
        <v>86</v>
      </c>
      <c r="B163" s="2"/>
      <c r="C163" s="3" t="s">
        <v>35</v>
      </c>
      <c r="D163" s="2" t="s">
        <v>72</v>
      </c>
      <c r="E163" s="4">
        <v>0.239703</v>
      </c>
      <c r="F163" s="4">
        <f t="shared" si="42"/>
        <v>0.26961333333333332</v>
      </c>
      <c r="G163" s="4">
        <f t="shared" si="42"/>
        <v>0.29952366666666669</v>
      </c>
      <c r="H163" s="4">
        <v>0.329434</v>
      </c>
      <c r="I163" s="4">
        <f t="shared" si="43"/>
        <v>0.40731440000000002</v>
      </c>
      <c r="J163" s="4">
        <f t="shared" si="43"/>
        <v>0.48519480000000004</v>
      </c>
      <c r="K163" s="4">
        <f t="shared" si="43"/>
        <v>0.5630752</v>
      </c>
      <c r="L163" s="4">
        <f t="shared" si="43"/>
        <v>0.64095560000000007</v>
      </c>
      <c r="M163" s="4">
        <v>0.71883600000000003</v>
      </c>
      <c r="N163" s="4">
        <f t="shared" si="44"/>
        <v>0.68988760000000005</v>
      </c>
      <c r="O163" s="4">
        <f t="shared" si="44"/>
        <v>0.66093920000000006</v>
      </c>
      <c r="P163" s="4">
        <f t="shared" si="44"/>
        <v>0.63199080000000007</v>
      </c>
      <c r="Q163" s="4">
        <f t="shared" si="44"/>
        <v>0.60304239999999998</v>
      </c>
      <c r="R163" s="4">
        <v>0.57409399999999999</v>
      </c>
      <c r="S163" s="4">
        <f t="shared" si="45"/>
        <v>0.56244340000000004</v>
      </c>
      <c r="T163" s="4">
        <f t="shared" si="45"/>
        <v>0.55079279999999997</v>
      </c>
      <c r="U163" s="4">
        <f t="shared" si="45"/>
        <v>0.53914220000000002</v>
      </c>
      <c r="V163" s="4">
        <f t="shared" si="45"/>
        <v>0.52749159999999995</v>
      </c>
      <c r="W163" s="4">
        <v>0.51584099999999999</v>
      </c>
      <c r="X163" s="4">
        <f t="shared" si="46"/>
        <v>0.52418699999999996</v>
      </c>
      <c r="Y163" s="4">
        <f t="shared" si="46"/>
        <v>0.53253300000000003</v>
      </c>
      <c r="Z163" s="4">
        <f t="shared" si="46"/>
        <v>0.540879</v>
      </c>
      <c r="AA163" s="4">
        <f t="shared" si="46"/>
        <v>0.54922500000000007</v>
      </c>
      <c r="AB163" s="4">
        <v>0.55757100000000004</v>
      </c>
      <c r="AC163" s="4">
        <f t="shared" si="47"/>
        <v>0.60106979999999999</v>
      </c>
      <c r="AD163" s="4">
        <f t="shared" si="47"/>
        <v>0.64456860000000005</v>
      </c>
      <c r="AE163" s="4">
        <f t="shared" si="47"/>
        <v>0.6880674</v>
      </c>
      <c r="AF163" s="4">
        <f t="shared" si="47"/>
        <v>0.73156620000000006</v>
      </c>
      <c r="AG163" s="4">
        <v>0.775065</v>
      </c>
      <c r="AH163" s="5">
        <f>SUM(Tableau2[[#This Row],[2022]:[2050]])</f>
        <v>15.954046999999997</v>
      </c>
    </row>
    <row r="164" spans="1:34" hidden="1" x14ac:dyDescent="0.3">
      <c r="A164" s="2" t="s">
        <v>86</v>
      </c>
      <c r="B164" s="2"/>
      <c r="C164" s="3" t="s">
        <v>35</v>
      </c>
      <c r="D164" s="2" t="s">
        <v>73</v>
      </c>
      <c r="E164" s="6">
        <v>0.239703</v>
      </c>
      <c r="F164" s="6">
        <f t="shared" si="42"/>
        <v>1.0240186666666666</v>
      </c>
      <c r="G164" s="6">
        <f t="shared" si="42"/>
        <v>1.8083343333333333</v>
      </c>
      <c r="H164">
        <v>2.5926499999999999</v>
      </c>
      <c r="I164" s="6">
        <f t="shared" si="43"/>
        <v>3.2925040000000001</v>
      </c>
      <c r="J164" s="6">
        <f t="shared" si="43"/>
        <v>3.9923579999999999</v>
      </c>
      <c r="K164" s="6">
        <f t="shared" si="43"/>
        <v>4.6922119999999996</v>
      </c>
      <c r="L164" s="6">
        <f t="shared" si="43"/>
        <v>5.3920659999999998</v>
      </c>
      <c r="M164">
        <v>6.09192</v>
      </c>
      <c r="N164" s="6">
        <f t="shared" si="44"/>
        <v>6.0504100000000003</v>
      </c>
      <c r="O164" s="6">
        <f t="shared" si="44"/>
        <v>6.0088999999999997</v>
      </c>
      <c r="P164" s="6">
        <f t="shared" si="44"/>
        <v>5.96739</v>
      </c>
      <c r="Q164" s="6">
        <f t="shared" si="44"/>
        <v>5.9258799999999994</v>
      </c>
      <c r="R164">
        <v>5.8843699999999997</v>
      </c>
      <c r="S164" s="6">
        <f t="shared" si="45"/>
        <v>5.9720879999999994</v>
      </c>
      <c r="T164" s="6">
        <f t="shared" si="45"/>
        <v>6.059806</v>
      </c>
      <c r="U164" s="6">
        <f t="shared" si="45"/>
        <v>6.1475239999999998</v>
      </c>
      <c r="V164" s="6">
        <f t="shared" si="45"/>
        <v>6.2352420000000004</v>
      </c>
      <c r="W164">
        <v>6.3229600000000001</v>
      </c>
      <c r="X164" s="6">
        <f t="shared" si="46"/>
        <v>6.3458000000000006</v>
      </c>
      <c r="Y164" s="6">
        <f t="shared" si="46"/>
        <v>6.3686400000000001</v>
      </c>
      <c r="Z164" s="6">
        <f t="shared" si="46"/>
        <v>6.3914800000000005</v>
      </c>
      <c r="AA164" s="6">
        <f t="shared" si="46"/>
        <v>6.41432</v>
      </c>
      <c r="AB164">
        <v>6.4371600000000004</v>
      </c>
      <c r="AC164" s="6">
        <f t="shared" si="47"/>
        <v>6.8230740000000001</v>
      </c>
      <c r="AD164" s="6">
        <f t="shared" si="47"/>
        <v>7.2089880000000006</v>
      </c>
      <c r="AE164" s="6">
        <f t="shared" si="47"/>
        <v>7.5949020000000003</v>
      </c>
      <c r="AF164" s="6">
        <f t="shared" si="47"/>
        <v>7.9808160000000008</v>
      </c>
      <c r="AG164">
        <v>8.3667300000000004</v>
      </c>
      <c r="AH164" s="5">
        <f>SUM(Tableau2[[#This Row],[2022]:[2050]])</f>
        <v>159.63224599999998</v>
      </c>
    </row>
    <row r="165" spans="1:34" x14ac:dyDescent="0.3">
      <c r="A165" s="2" t="s">
        <v>86</v>
      </c>
      <c r="B165" s="2"/>
      <c r="C165" s="3" t="s">
        <v>35</v>
      </c>
      <c r="D165" s="2" t="s">
        <v>74</v>
      </c>
      <c r="E165" s="4">
        <v>0.239703</v>
      </c>
      <c r="F165" s="4">
        <f t="shared" si="42"/>
        <v>1.7682819999999999</v>
      </c>
      <c r="G165" s="4">
        <f t="shared" si="42"/>
        <v>3.2968609999999998</v>
      </c>
      <c r="H165" s="4">
        <v>4.8254400000000004</v>
      </c>
      <c r="I165" s="4">
        <f t="shared" si="43"/>
        <v>6.9839920000000006</v>
      </c>
      <c r="J165" s="4">
        <f t="shared" si="43"/>
        <v>9.1425440000000009</v>
      </c>
      <c r="K165" s="4">
        <f t="shared" si="43"/>
        <v>11.301095999999999</v>
      </c>
      <c r="L165" s="4">
        <f t="shared" si="43"/>
        <v>13.459648</v>
      </c>
      <c r="M165" s="4">
        <v>15.6182</v>
      </c>
      <c r="N165" s="4">
        <f t="shared" si="44"/>
        <v>15.70384</v>
      </c>
      <c r="O165" s="4">
        <f t="shared" si="44"/>
        <v>15.789479999999999</v>
      </c>
      <c r="P165" s="4">
        <f t="shared" si="44"/>
        <v>15.875119999999999</v>
      </c>
      <c r="Q165" s="4">
        <f t="shared" si="44"/>
        <v>15.960759999999999</v>
      </c>
      <c r="R165" s="4">
        <v>16.046399999999998</v>
      </c>
      <c r="S165" s="4">
        <f t="shared" si="45"/>
        <v>15.363059999999999</v>
      </c>
      <c r="T165" s="4">
        <f t="shared" si="45"/>
        <v>14.67972</v>
      </c>
      <c r="U165" s="4">
        <f t="shared" si="45"/>
        <v>13.996379999999998</v>
      </c>
      <c r="V165" s="4">
        <f t="shared" si="45"/>
        <v>13.313039999999999</v>
      </c>
      <c r="W165" s="4">
        <v>12.6297</v>
      </c>
      <c r="X165" s="4">
        <f t="shared" si="46"/>
        <v>11.838924</v>
      </c>
      <c r="Y165" s="4">
        <f t="shared" si="46"/>
        <v>11.048147999999999</v>
      </c>
      <c r="Z165" s="4">
        <f t="shared" si="46"/>
        <v>10.257372</v>
      </c>
      <c r="AA165" s="4">
        <f t="shared" si="46"/>
        <v>9.4665959999999991</v>
      </c>
      <c r="AB165" s="4">
        <v>8.6758199999999999</v>
      </c>
      <c r="AC165" s="4">
        <f t="shared" si="47"/>
        <v>9.3147959999999994</v>
      </c>
      <c r="AD165" s="4">
        <f t="shared" si="47"/>
        <v>9.953771999999999</v>
      </c>
      <c r="AE165" s="4">
        <f t="shared" si="47"/>
        <v>10.592748</v>
      </c>
      <c r="AF165" s="4">
        <f t="shared" si="47"/>
        <v>11.231724</v>
      </c>
      <c r="AG165" s="4">
        <v>11.870699999999999</v>
      </c>
      <c r="AH165" s="4">
        <f>SUM(Tableau2[[#This Row],[2022]:[2050]])</f>
        <v>320.24386599999997</v>
      </c>
    </row>
    <row r="167" spans="1:34" x14ac:dyDescent="0.3">
      <c r="M167" s="6"/>
    </row>
    <row r="172" spans="1:34" x14ac:dyDescent="0.3">
      <c r="A172" s="2"/>
    </row>
    <row r="178" spans="5:5" x14ac:dyDescent="0.3">
      <c r="E178" s="6"/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CD9F4-F7DC-433E-8C33-8704B76AABEF}">
  <dimension ref="A1:W48"/>
  <sheetViews>
    <sheetView topLeftCell="A23" workbookViewId="0">
      <selection activeCell="A48" sqref="A48"/>
    </sheetView>
  </sheetViews>
  <sheetFormatPr defaultColWidth="9.5546875" defaultRowHeight="14.4" x14ac:dyDescent="0.3"/>
  <cols>
    <col min="1" max="1" width="45.109375" style="15" customWidth="1"/>
    <col min="2" max="2" width="11.77734375" style="15" customWidth="1"/>
    <col min="3" max="3" width="7.33203125" style="15" customWidth="1"/>
    <col min="4" max="8" width="11.77734375" style="15" customWidth="1"/>
    <col min="9" max="9" width="7.33203125" style="15" customWidth="1"/>
    <col min="10" max="14" width="11.77734375" style="15" customWidth="1"/>
    <col min="15" max="15" width="7.33203125" style="15" customWidth="1"/>
    <col min="16" max="20" width="11.77734375" style="15" customWidth="1"/>
    <col min="21" max="21" width="9.5546875" style="15"/>
    <col min="22" max="22" width="10" customWidth="1"/>
    <col min="23" max="16384" width="9.5546875" style="15"/>
  </cols>
  <sheetData>
    <row r="1" spans="1:23" ht="26.1" customHeight="1" x14ac:dyDescent="0.3">
      <c r="V1" s="15"/>
    </row>
    <row r="2" spans="1:23" ht="26.1" customHeight="1" x14ac:dyDescent="0.45">
      <c r="A2" s="16" t="s">
        <v>171</v>
      </c>
      <c r="V2" s="15"/>
    </row>
    <row r="3" spans="1:23" ht="26.1" customHeight="1" x14ac:dyDescent="0.45">
      <c r="A3" s="16"/>
      <c r="V3" s="15"/>
    </row>
    <row r="4" spans="1:23" ht="26.1" customHeight="1" x14ac:dyDescent="0.4">
      <c r="D4" s="17" t="s">
        <v>172</v>
      </c>
      <c r="E4" s="18"/>
      <c r="F4" s="18"/>
      <c r="G4" s="18"/>
      <c r="H4" s="18"/>
      <c r="I4" s="19"/>
      <c r="J4" s="20" t="s">
        <v>173</v>
      </c>
      <c r="K4" s="21"/>
      <c r="L4" s="21"/>
      <c r="M4" s="21"/>
      <c r="N4" s="21"/>
      <c r="O4" s="19"/>
      <c r="P4" s="22" t="s">
        <v>174</v>
      </c>
      <c r="Q4" s="23"/>
      <c r="R4" s="23"/>
      <c r="S4" s="23"/>
      <c r="T4" s="23"/>
      <c r="V4" s="15"/>
    </row>
    <row r="5" spans="1:23" ht="20.399999999999999" thickBot="1" x14ac:dyDescent="0.45">
      <c r="B5" s="24">
        <v>2023</v>
      </c>
      <c r="D5" s="24">
        <v>2030</v>
      </c>
      <c r="E5" s="24">
        <v>2035</v>
      </c>
      <c r="F5" s="24">
        <v>2040</v>
      </c>
      <c r="G5" s="24">
        <v>2045</v>
      </c>
      <c r="H5" s="24">
        <v>2050</v>
      </c>
      <c r="J5" s="24">
        <v>2030</v>
      </c>
      <c r="K5" s="24">
        <v>2035</v>
      </c>
      <c r="L5" s="24">
        <v>2040</v>
      </c>
      <c r="M5" s="24">
        <v>2045</v>
      </c>
      <c r="N5" s="24">
        <v>2050</v>
      </c>
      <c r="P5" s="24">
        <v>2030</v>
      </c>
      <c r="Q5" s="24">
        <v>2035</v>
      </c>
      <c r="R5" s="24">
        <v>2040</v>
      </c>
      <c r="S5" s="24">
        <v>2045</v>
      </c>
      <c r="T5" s="24">
        <v>2050</v>
      </c>
      <c r="V5" s="15"/>
      <c r="W5" s="25"/>
    </row>
    <row r="6" spans="1:23" ht="15" thickTop="1" x14ac:dyDescent="0.3">
      <c r="V6" s="15"/>
    </row>
    <row r="7" spans="1:23" x14ac:dyDescent="0.3">
      <c r="A7" s="15" t="s">
        <v>4</v>
      </c>
      <c r="B7" s="26">
        <v>0.20600499999999999</v>
      </c>
      <c r="D7" s="26">
        <v>0.40102500000000002</v>
      </c>
      <c r="E7" s="26">
        <v>0.34953899999999999</v>
      </c>
      <c r="F7" s="26">
        <v>0.29296699999999998</v>
      </c>
      <c r="G7" s="26">
        <v>0.33185300000000001</v>
      </c>
      <c r="H7" s="26">
        <v>0.46695399999999998</v>
      </c>
      <c r="J7" s="26">
        <v>0.51339199999999996</v>
      </c>
      <c r="K7" s="26">
        <v>0.48616700000000002</v>
      </c>
      <c r="L7" s="26">
        <v>0.48002099999999998</v>
      </c>
      <c r="M7" s="26">
        <v>0.59060400000000002</v>
      </c>
      <c r="N7" s="26">
        <v>0.77308900000000003</v>
      </c>
      <c r="P7" s="26">
        <v>0.70500200000000002</v>
      </c>
      <c r="Q7" s="26">
        <v>0.70644099999999999</v>
      </c>
      <c r="R7" s="26">
        <v>0.62515500000000002</v>
      </c>
      <c r="S7" s="26">
        <v>0.61190699999999998</v>
      </c>
      <c r="T7" s="26">
        <v>0.86570999999999998</v>
      </c>
      <c r="V7" s="15"/>
    </row>
    <row r="8" spans="1:23" x14ac:dyDescent="0.3">
      <c r="A8" s="15" t="s">
        <v>5</v>
      </c>
      <c r="B8" s="26">
        <v>0.68764899999999995</v>
      </c>
      <c r="D8" s="26">
        <v>0.68359499999999995</v>
      </c>
      <c r="E8" s="26">
        <v>0.69591700000000001</v>
      </c>
      <c r="F8" s="26">
        <v>0.68791400000000003</v>
      </c>
      <c r="G8" s="26">
        <v>0.70613700000000001</v>
      </c>
      <c r="H8" s="26">
        <v>0.73404599999999998</v>
      </c>
      <c r="J8" s="26">
        <v>0.85170800000000002</v>
      </c>
      <c r="K8" s="26">
        <v>0.87272499999999997</v>
      </c>
      <c r="L8" s="26">
        <v>0.790628</v>
      </c>
      <c r="M8" s="26">
        <v>0.70133900000000005</v>
      </c>
      <c r="N8" s="26">
        <v>0.73571299999999995</v>
      </c>
      <c r="P8" s="26">
        <v>1.52475</v>
      </c>
      <c r="Q8" s="26">
        <v>1.4536800000000001</v>
      </c>
      <c r="R8" s="26">
        <v>1.0573399999999999</v>
      </c>
      <c r="S8" s="26">
        <v>0.66982200000000003</v>
      </c>
      <c r="T8" s="26">
        <v>0.53420000000000001</v>
      </c>
      <c r="V8" s="15"/>
    </row>
    <row r="9" spans="1:23" x14ac:dyDescent="0.3">
      <c r="A9" s="15" t="s">
        <v>6</v>
      </c>
      <c r="B9" s="26">
        <v>212.03</v>
      </c>
      <c r="D9" s="26">
        <v>383.81599999999997</v>
      </c>
      <c r="E9" s="26">
        <v>301.49400000000003</v>
      </c>
      <c r="F9" s="26">
        <v>316.27600000000001</v>
      </c>
      <c r="G9" s="26">
        <v>327.74200000000002</v>
      </c>
      <c r="H9" s="26">
        <v>322.041</v>
      </c>
      <c r="J9" s="26">
        <v>546.91399999999999</v>
      </c>
      <c r="K9" s="26">
        <v>515.09500000000003</v>
      </c>
      <c r="L9" s="26">
        <v>499.65899999999999</v>
      </c>
      <c r="M9" s="26">
        <v>494.46</v>
      </c>
      <c r="N9" s="26">
        <v>563.52599999999995</v>
      </c>
      <c r="P9" s="26">
        <v>823.74300000000005</v>
      </c>
      <c r="Q9" s="26">
        <v>752.04200000000003</v>
      </c>
      <c r="R9" s="26">
        <v>627.19600000000003</v>
      </c>
      <c r="S9" s="26">
        <v>506.17599999999999</v>
      </c>
      <c r="T9" s="26">
        <v>460.19099999999997</v>
      </c>
      <c r="V9" s="15"/>
    </row>
    <row r="10" spans="1:23" x14ac:dyDescent="0.3">
      <c r="A10" s="15" t="s">
        <v>8</v>
      </c>
      <c r="B10" s="26">
        <v>6371.7</v>
      </c>
      <c r="D10" s="26">
        <v>10542.2</v>
      </c>
      <c r="E10" s="26">
        <v>11523</v>
      </c>
      <c r="F10" s="26">
        <v>11983.7</v>
      </c>
      <c r="G10" s="26">
        <v>12560.2</v>
      </c>
      <c r="H10" s="26">
        <v>12966.7</v>
      </c>
      <c r="J10" s="26">
        <v>12230.5</v>
      </c>
      <c r="K10" s="26">
        <v>14424.1</v>
      </c>
      <c r="L10" s="26">
        <v>16127.1</v>
      </c>
      <c r="M10" s="26">
        <v>16831.400000000001</v>
      </c>
      <c r="N10" s="26">
        <v>17439</v>
      </c>
      <c r="P10" s="26">
        <v>15046.3</v>
      </c>
      <c r="Q10" s="26">
        <v>18584.400000000001</v>
      </c>
      <c r="R10" s="26">
        <v>19478.099999999999</v>
      </c>
      <c r="S10" s="26">
        <v>19325.8</v>
      </c>
      <c r="T10" s="26">
        <v>19239.3</v>
      </c>
      <c r="V10" s="15"/>
    </row>
    <row r="11" spans="1:23" x14ac:dyDescent="0.3">
      <c r="A11" s="15" t="s">
        <v>7</v>
      </c>
      <c r="B11" s="26">
        <v>64.390299999999996</v>
      </c>
      <c r="D11" s="26">
        <v>154.88499999999999</v>
      </c>
      <c r="E11" s="26">
        <v>163.96799999999999</v>
      </c>
      <c r="F11" s="26">
        <v>187.22499999999999</v>
      </c>
      <c r="G11" s="26">
        <v>203.14400000000001</v>
      </c>
      <c r="H11" s="26">
        <v>216.06100000000001</v>
      </c>
      <c r="J11" s="26">
        <v>176.52600000000001</v>
      </c>
      <c r="K11" s="26">
        <v>206.96899999999999</v>
      </c>
      <c r="L11" s="26">
        <v>260.03100000000001</v>
      </c>
      <c r="M11" s="26">
        <v>286.34500000000003</v>
      </c>
      <c r="N11" s="26">
        <v>302.88299999999998</v>
      </c>
      <c r="P11" s="26">
        <v>243.15899999999999</v>
      </c>
      <c r="Q11" s="26">
        <v>253.041</v>
      </c>
      <c r="R11" s="26">
        <v>278.95999999999998</v>
      </c>
      <c r="S11" s="26">
        <v>313.20600000000002</v>
      </c>
      <c r="T11" s="26">
        <v>322.66399999999999</v>
      </c>
      <c r="V11" s="15"/>
    </row>
    <row r="12" spans="1:23" x14ac:dyDescent="0.3">
      <c r="A12" s="15" t="s">
        <v>10</v>
      </c>
      <c r="B12" s="26">
        <v>1.5553900000000001E-2</v>
      </c>
      <c r="D12" s="26">
        <v>0.15982199999999999</v>
      </c>
      <c r="E12" s="26">
        <v>0.811249</v>
      </c>
      <c r="F12" s="26">
        <v>4.3885100000000001</v>
      </c>
      <c r="G12" s="26">
        <v>4.5919800000000004</v>
      </c>
      <c r="H12" s="26">
        <v>5.0314500000000004</v>
      </c>
      <c r="J12" s="26">
        <v>0.202983</v>
      </c>
      <c r="K12" s="26">
        <v>1.06396</v>
      </c>
      <c r="L12" s="26">
        <v>5.62019</v>
      </c>
      <c r="M12" s="26">
        <v>5.4567699999999997</v>
      </c>
      <c r="N12" s="26">
        <v>6.6058199999999996</v>
      </c>
      <c r="P12" s="26">
        <v>0.25052600000000003</v>
      </c>
      <c r="Q12" s="26">
        <v>1.3161499999999999</v>
      </c>
      <c r="R12" s="26">
        <v>6.1241399999999997</v>
      </c>
      <c r="S12" s="26">
        <v>4.98881</v>
      </c>
      <c r="T12" s="26">
        <v>6.3221999999999996</v>
      </c>
      <c r="V12" s="15"/>
    </row>
    <row r="13" spans="1:23" x14ac:dyDescent="0.3">
      <c r="A13" s="15" t="s">
        <v>12</v>
      </c>
      <c r="B13" s="26">
        <v>1.583E-2</v>
      </c>
      <c r="D13" s="26">
        <v>1.36174E-2</v>
      </c>
      <c r="E13" s="26">
        <v>1.2675799999999999E-2</v>
      </c>
      <c r="F13" s="26">
        <v>1.1214999999999999E-2</v>
      </c>
      <c r="G13" s="26">
        <v>1.2047799999999999E-2</v>
      </c>
      <c r="H13" s="26">
        <v>1.39037E-2</v>
      </c>
      <c r="J13" s="26">
        <v>1.6868500000000002E-2</v>
      </c>
      <c r="K13" s="26">
        <v>1.53952E-2</v>
      </c>
      <c r="L13" s="26">
        <v>1.24999E-2</v>
      </c>
      <c r="M13" s="26">
        <v>1.12985E-2</v>
      </c>
      <c r="N13" s="26">
        <v>1.26143E-2</v>
      </c>
      <c r="P13" s="26">
        <v>3.0463299999999999E-2</v>
      </c>
      <c r="Q13" s="26">
        <v>2.6478999999999999E-2</v>
      </c>
      <c r="R13" s="26">
        <v>1.7680100000000001E-2</v>
      </c>
      <c r="S13" s="26">
        <v>1.15774E-2</v>
      </c>
      <c r="T13" s="26">
        <v>1.04888E-2</v>
      </c>
      <c r="V13" s="15"/>
    </row>
    <row r="14" spans="1:23" x14ac:dyDescent="0.3">
      <c r="A14" s="15" t="s">
        <v>175</v>
      </c>
      <c r="B14" s="26">
        <v>772.18200000000002</v>
      </c>
      <c r="D14" s="26">
        <v>3095.18</v>
      </c>
      <c r="E14" s="26">
        <v>4235.8599999999997</v>
      </c>
      <c r="F14" s="26">
        <v>4215.16</v>
      </c>
      <c r="G14" s="26">
        <v>3366.83</v>
      </c>
      <c r="H14" s="26">
        <v>2892.23</v>
      </c>
      <c r="J14" s="26">
        <v>3593.67</v>
      </c>
      <c r="K14" s="26">
        <v>5381.68</v>
      </c>
      <c r="L14" s="26">
        <v>5880.25</v>
      </c>
      <c r="M14" s="26">
        <v>4766.72</v>
      </c>
      <c r="N14" s="26">
        <v>4050.43</v>
      </c>
      <c r="P14" s="26">
        <v>5024.37</v>
      </c>
      <c r="Q14" s="26">
        <v>6782.64</v>
      </c>
      <c r="R14" s="26">
        <v>6707.19</v>
      </c>
      <c r="S14" s="26">
        <v>5642.2</v>
      </c>
      <c r="T14" s="26">
        <v>4708.96</v>
      </c>
      <c r="V14" s="15"/>
    </row>
    <row r="15" spans="1:23" x14ac:dyDescent="0.3">
      <c r="A15" s="15" t="s">
        <v>176</v>
      </c>
      <c r="B15" s="26">
        <v>7.9040299999999994E-3</v>
      </c>
      <c r="D15" s="26">
        <v>1.2846E-2</v>
      </c>
      <c r="E15" s="26">
        <v>8.1198699999999995E-3</v>
      </c>
      <c r="F15" s="26">
        <v>6.2924000000000001E-3</v>
      </c>
      <c r="G15" s="26">
        <v>1.01949E-2</v>
      </c>
      <c r="H15" s="26">
        <v>7.4718299999999996E-3</v>
      </c>
      <c r="J15" s="26">
        <v>1.55199E-2</v>
      </c>
      <c r="K15" s="26">
        <v>1.54713E-2</v>
      </c>
      <c r="L15" s="26">
        <v>1.01333E-2</v>
      </c>
      <c r="M15" s="26">
        <v>1.1124200000000001E-2</v>
      </c>
      <c r="N15" s="26">
        <v>7.8678800000000007E-3</v>
      </c>
      <c r="P15" s="26">
        <v>1.62314E-2</v>
      </c>
      <c r="Q15" s="26">
        <v>1.67239E-2</v>
      </c>
      <c r="R15" s="26">
        <v>1.25126E-2</v>
      </c>
      <c r="S15" s="26">
        <v>1.05916E-2</v>
      </c>
      <c r="T15" s="26">
        <v>9.1365400000000003E-3</v>
      </c>
      <c r="V15" s="15"/>
    </row>
    <row r="16" spans="1:23" x14ac:dyDescent="0.3">
      <c r="A16" s="15" t="s">
        <v>15</v>
      </c>
      <c r="B16" s="26">
        <v>8.4037500000000001E-2</v>
      </c>
      <c r="D16" s="26">
        <v>0.12175999999999999</v>
      </c>
      <c r="E16" s="26">
        <v>0.114454</v>
      </c>
      <c r="F16" s="26">
        <v>0.15043100000000001</v>
      </c>
      <c r="G16" s="26">
        <v>0.15973200000000001</v>
      </c>
      <c r="H16" s="26">
        <v>0.15542300000000001</v>
      </c>
      <c r="J16" s="26">
        <v>0.12781200000000001</v>
      </c>
      <c r="K16" s="26">
        <v>0.14041400000000001</v>
      </c>
      <c r="L16" s="26">
        <v>0.17921200000000001</v>
      </c>
      <c r="M16" s="26">
        <v>0.17099200000000001</v>
      </c>
      <c r="N16" s="26">
        <v>0.183675</v>
      </c>
      <c r="P16" s="26">
        <v>0.17582300000000001</v>
      </c>
      <c r="Q16" s="26">
        <v>0.187807</v>
      </c>
      <c r="R16" s="26">
        <v>0.21346300000000001</v>
      </c>
      <c r="S16" s="26">
        <v>0.15923399999999999</v>
      </c>
      <c r="T16" s="26">
        <v>0.17682899999999999</v>
      </c>
      <c r="V16" s="15"/>
    </row>
    <row r="17" spans="1:22" x14ac:dyDescent="0.3">
      <c r="A17" s="15" t="s">
        <v>16</v>
      </c>
      <c r="B17" s="26">
        <v>1.9893600000000001E-4</v>
      </c>
      <c r="D17" s="26">
        <v>4.92349E-4</v>
      </c>
      <c r="E17" s="26">
        <v>4.4168799999999998E-4</v>
      </c>
      <c r="F17" s="26">
        <v>2.6834500000000002E-4</v>
      </c>
      <c r="G17" s="26">
        <v>1.8072499999999999E-4</v>
      </c>
      <c r="H17" s="26">
        <v>1.4137500000000001E-4</v>
      </c>
      <c r="J17" s="26">
        <v>3.4264E-3</v>
      </c>
      <c r="K17" s="26">
        <v>2.7500900000000002E-3</v>
      </c>
      <c r="L17" s="26">
        <v>2.1253800000000001E-3</v>
      </c>
      <c r="M17" s="26">
        <v>2.0853999999999998E-3</v>
      </c>
      <c r="N17" s="26">
        <v>1.6852E-3</v>
      </c>
      <c r="P17" s="26">
        <v>7.7248999999999998E-3</v>
      </c>
      <c r="Q17" s="26">
        <v>6.81658E-3</v>
      </c>
      <c r="R17" s="26">
        <v>4.47584E-3</v>
      </c>
      <c r="S17" s="26">
        <v>2.6901099999999999E-3</v>
      </c>
      <c r="T17" s="26">
        <v>1.9871899999999998E-3</v>
      </c>
      <c r="V17" s="15"/>
    </row>
    <row r="18" spans="1:22" x14ac:dyDescent="0.3">
      <c r="A18" s="15" t="s">
        <v>17</v>
      </c>
      <c r="B18" s="26">
        <v>12.5311</v>
      </c>
      <c r="D18" s="26">
        <v>16.4237</v>
      </c>
      <c r="E18" s="26">
        <v>12.4771</v>
      </c>
      <c r="F18" s="26">
        <v>13.0215</v>
      </c>
      <c r="G18" s="26">
        <v>17.3931</v>
      </c>
      <c r="H18" s="26">
        <v>17.551400000000001</v>
      </c>
      <c r="J18" s="26">
        <v>20.172999999999998</v>
      </c>
      <c r="K18" s="26">
        <v>18.934000000000001</v>
      </c>
      <c r="L18" s="26">
        <v>18.124700000000001</v>
      </c>
      <c r="M18" s="26">
        <v>20.6114</v>
      </c>
      <c r="N18" s="26">
        <v>20.369700000000002</v>
      </c>
      <c r="P18" s="26">
        <v>31.606200000000001</v>
      </c>
      <c r="Q18" s="26">
        <v>26.2743</v>
      </c>
      <c r="R18" s="26">
        <v>21.675999999999998</v>
      </c>
      <c r="S18" s="26">
        <v>18.985399999999998</v>
      </c>
      <c r="T18" s="26">
        <v>18.467600000000001</v>
      </c>
      <c r="V18" s="15"/>
    </row>
    <row r="19" spans="1:22" x14ac:dyDescent="0.3">
      <c r="A19" s="15" t="s">
        <v>18</v>
      </c>
      <c r="B19" s="26">
        <v>92.072299999999998</v>
      </c>
      <c r="D19" s="26">
        <v>381.49099999999999</v>
      </c>
      <c r="E19" s="26">
        <v>626.86599999999999</v>
      </c>
      <c r="F19" s="26">
        <v>867.64099999999996</v>
      </c>
      <c r="G19" s="26">
        <v>977.05200000000002</v>
      </c>
      <c r="H19" s="26">
        <v>1041.08</v>
      </c>
      <c r="J19" s="26">
        <v>441.71300000000002</v>
      </c>
      <c r="K19" s="26">
        <v>794.14599999999996</v>
      </c>
      <c r="L19" s="26">
        <v>1203.22</v>
      </c>
      <c r="M19" s="26">
        <v>1372.49</v>
      </c>
      <c r="N19" s="26">
        <v>1452.01</v>
      </c>
      <c r="P19" s="26">
        <v>615.59100000000001</v>
      </c>
      <c r="Q19" s="26">
        <v>986.21799999999996</v>
      </c>
      <c r="R19" s="26">
        <v>1307.9000000000001</v>
      </c>
      <c r="S19" s="26">
        <v>1522.27</v>
      </c>
      <c r="T19" s="26">
        <v>1573.15</v>
      </c>
      <c r="V19" s="15"/>
    </row>
    <row r="20" spans="1:22" x14ac:dyDescent="0.3">
      <c r="A20" s="15" t="s">
        <v>177</v>
      </c>
      <c r="B20" s="26">
        <v>8.0552499999999991</v>
      </c>
      <c r="D20" s="26">
        <v>7.7247599999999998</v>
      </c>
      <c r="E20" s="26">
        <v>10.1708</v>
      </c>
      <c r="F20" s="26">
        <v>12.132999999999999</v>
      </c>
      <c r="G20" s="26">
        <v>12.8941</v>
      </c>
      <c r="H20" s="26">
        <v>15.1028</v>
      </c>
      <c r="J20" s="26">
        <v>18.800899999999999</v>
      </c>
      <c r="K20" s="26">
        <v>35.627499999999998</v>
      </c>
      <c r="L20" s="26">
        <v>38.1905</v>
      </c>
      <c r="M20" s="26">
        <v>34.47</v>
      </c>
      <c r="N20" s="26">
        <v>30.619</v>
      </c>
      <c r="P20" s="26">
        <v>30.9498</v>
      </c>
      <c r="Q20" s="26">
        <v>54.578099999999999</v>
      </c>
      <c r="R20" s="26">
        <v>54.1798</v>
      </c>
      <c r="S20" s="26">
        <v>42.314</v>
      </c>
      <c r="T20" s="26">
        <v>33.632399999999997</v>
      </c>
      <c r="V20" s="15"/>
    </row>
    <row r="21" spans="1:22" x14ac:dyDescent="0.3">
      <c r="A21" s="15" t="s">
        <v>19</v>
      </c>
      <c r="B21" s="26">
        <v>181.72200000000001</v>
      </c>
      <c r="D21" s="26">
        <v>498.71300000000002</v>
      </c>
      <c r="E21" s="26">
        <v>883.43399999999997</v>
      </c>
      <c r="F21" s="26">
        <v>1332.27</v>
      </c>
      <c r="G21" s="26">
        <v>1633.78</v>
      </c>
      <c r="H21" s="26">
        <v>2045.31</v>
      </c>
      <c r="J21" s="26">
        <v>619.86099999999999</v>
      </c>
      <c r="K21" s="26">
        <v>1181.29</v>
      </c>
      <c r="L21" s="26">
        <v>1912.85</v>
      </c>
      <c r="M21" s="26">
        <v>2345.09</v>
      </c>
      <c r="N21" s="26">
        <v>2895.63</v>
      </c>
      <c r="P21" s="26">
        <v>861.26700000000005</v>
      </c>
      <c r="Q21" s="26">
        <v>1522.49</v>
      </c>
      <c r="R21" s="26">
        <v>2119.48</v>
      </c>
      <c r="S21" s="26">
        <v>2555.0300000000002</v>
      </c>
      <c r="T21" s="26">
        <v>3051.42</v>
      </c>
      <c r="V21" s="15"/>
    </row>
    <row r="22" spans="1:22" x14ac:dyDescent="0.3">
      <c r="A22" s="15" t="s">
        <v>20</v>
      </c>
      <c r="B22" s="26">
        <v>28.869399999999999</v>
      </c>
      <c r="D22" s="26">
        <v>49.540700000000001</v>
      </c>
      <c r="E22" s="26">
        <v>39.8977</v>
      </c>
      <c r="F22" s="26">
        <v>41.210299999999997</v>
      </c>
      <c r="G22" s="26">
        <v>42.950899999999997</v>
      </c>
      <c r="H22" s="26">
        <v>44.901000000000003</v>
      </c>
      <c r="J22" s="26">
        <v>68.726600000000005</v>
      </c>
      <c r="K22" s="26">
        <v>61.561500000000002</v>
      </c>
      <c r="L22" s="26">
        <v>61.3752</v>
      </c>
      <c r="M22" s="26">
        <v>62.501199999999997</v>
      </c>
      <c r="N22" s="26">
        <v>74.768799999999999</v>
      </c>
      <c r="P22" s="26">
        <v>104.369</v>
      </c>
      <c r="Q22" s="26">
        <v>92.045199999999994</v>
      </c>
      <c r="R22" s="26">
        <v>76.696100000000001</v>
      </c>
      <c r="S22" s="26">
        <v>63.135599999999997</v>
      </c>
      <c r="T22" s="26">
        <v>62.843699999999998</v>
      </c>
      <c r="V22" s="15"/>
    </row>
    <row r="23" spans="1:22" x14ac:dyDescent="0.3">
      <c r="A23" s="15" t="s">
        <v>22</v>
      </c>
      <c r="B23" s="26">
        <v>477.69900000000001</v>
      </c>
      <c r="D23" s="26">
        <v>1585.39</v>
      </c>
      <c r="E23" s="26">
        <v>2071.87</v>
      </c>
      <c r="F23" s="26">
        <v>2410.63</v>
      </c>
      <c r="G23" s="26">
        <v>2291.34</v>
      </c>
      <c r="H23" s="26">
        <v>2073.7199999999998</v>
      </c>
      <c r="J23" s="26">
        <v>1952.62</v>
      </c>
      <c r="K23" s="26">
        <v>2743.04</v>
      </c>
      <c r="L23" s="26">
        <v>3380.6</v>
      </c>
      <c r="M23" s="26">
        <v>3282.99</v>
      </c>
      <c r="N23" s="26">
        <v>3131.94</v>
      </c>
      <c r="P23" s="26">
        <v>2793.75</v>
      </c>
      <c r="Q23" s="26">
        <v>3425.6</v>
      </c>
      <c r="R23" s="26">
        <v>3583.6</v>
      </c>
      <c r="S23" s="26">
        <v>3451.59</v>
      </c>
      <c r="T23" s="26">
        <v>3094.33</v>
      </c>
      <c r="V23" s="15"/>
    </row>
    <row r="24" spans="1:22" x14ac:dyDescent="0.3">
      <c r="A24" s="15" t="s">
        <v>178</v>
      </c>
      <c r="B24" s="26">
        <v>0.36290499999999998</v>
      </c>
      <c r="D24" s="26">
        <v>0.58671899999999999</v>
      </c>
      <c r="E24" s="26">
        <v>0.63600400000000001</v>
      </c>
      <c r="F24" s="26">
        <v>0.77099300000000004</v>
      </c>
      <c r="G24" s="26">
        <v>0.69926600000000005</v>
      </c>
      <c r="H24" s="26">
        <v>0.75683400000000001</v>
      </c>
      <c r="J24" s="26">
        <v>1.2365699999999999</v>
      </c>
      <c r="K24" s="26">
        <v>1.9308799999999999</v>
      </c>
      <c r="L24" s="26">
        <v>2.0748600000000001</v>
      </c>
      <c r="M24" s="26">
        <v>1.8244</v>
      </c>
      <c r="N24" s="26">
        <v>1.7635000000000001</v>
      </c>
      <c r="P24" s="26">
        <v>1.97496</v>
      </c>
      <c r="Q24" s="26">
        <v>2.9449100000000001</v>
      </c>
      <c r="R24" s="26">
        <v>2.8677199999999998</v>
      </c>
      <c r="S24" s="26">
        <v>2.19895</v>
      </c>
      <c r="T24" s="26">
        <v>1.70113</v>
      </c>
      <c r="V24" s="15"/>
    </row>
    <row r="25" spans="1:22" x14ac:dyDescent="0.3">
      <c r="A25" s="15" t="s">
        <v>179</v>
      </c>
      <c r="B25" s="26">
        <v>9.7736599999999991E-4</v>
      </c>
      <c r="D25" s="26">
        <v>6.6880300000000002E-3</v>
      </c>
      <c r="E25" s="26">
        <v>9.7800999999999999E-3</v>
      </c>
      <c r="F25" s="26">
        <v>1.3460700000000001E-2</v>
      </c>
      <c r="G25" s="26">
        <v>1.50755E-2</v>
      </c>
      <c r="H25" s="26">
        <v>1.54504E-2</v>
      </c>
      <c r="J25" s="26">
        <v>1.73052E-2</v>
      </c>
      <c r="K25" s="26">
        <v>3.98955E-2</v>
      </c>
      <c r="L25" s="26">
        <v>6.6823999999999995E-2</v>
      </c>
      <c r="M25" s="26">
        <v>7.3071800000000006E-2</v>
      </c>
      <c r="N25" s="26">
        <v>6.7620399999999997E-2</v>
      </c>
      <c r="P25" s="26">
        <v>3.20545E-2</v>
      </c>
      <c r="Q25" s="26">
        <v>6.0859099999999999E-2</v>
      </c>
      <c r="R25" s="26">
        <v>9.1245499999999993E-2</v>
      </c>
      <c r="S25" s="26">
        <v>9.8639500000000005E-2</v>
      </c>
      <c r="T25" s="26">
        <v>8.7478E-2</v>
      </c>
      <c r="V25" s="15"/>
    </row>
    <row r="26" spans="1:22" x14ac:dyDescent="0.3">
      <c r="A26" s="15" t="s">
        <v>26</v>
      </c>
      <c r="B26" s="26">
        <v>0.13233500000000001</v>
      </c>
      <c r="D26" s="26">
        <v>0.14929799999999999</v>
      </c>
      <c r="E26" s="26">
        <v>0.1416</v>
      </c>
      <c r="F26" s="26">
        <v>0.123435</v>
      </c>
      <c r="G26" s="26">
        <v>0.10301299999999999</v>
      </c>
      <c r="H26" s="26">
        <v>8.9665999999999996E-2</v>
      </c>
      <c r="J26" s="26">
        <v>0.18332799999999999</v>
      </c>
      <c r="K26" s="26">
        <v>0.168521</v>
      </c>
      <c r="L26" s="26">
        <v>0.140376</v>
      </c>
      <c r="M26" s="26">
        <v>0.102449</v>
      </c>
      <c r="N26" s="26">
        <v>9.0839600000000006E-2</v>
      </c>
      <c r="P26" s="26">
        <v>0.25808799999999998</v>
      </c>
      <c r="Q26" s="26">
        <v>0.23378399999999999</v>
      </c>
      <c r="R26" s="26">
        <v>0.16763600000000001</v>
      </c>
      <c r="S26" s="26">
        <v>9.1445200000000004E-2</v>
      </c>
      <c r="T26" s="26">
        <v>7.3190000000000005E-2</v>
      </c>
      <c r="V26" s="15"/>
    </row>
    <row r="27" spans="1:22" x14ac:dyDescent="0.3">
      <c r="A27" s="15" t="s">
        <v>27</v>
      </c>
      <c r="B27" s="26">
        <v>1126.1099999999999</v>
      </c>
      <c r="D27" s="26">
        <v>1299.93</v>
      </c>
      <c r="E27" s="26">
        <v>1460.37</v>
      </c>
      <c r="F27" s="26">
        <v>1532.36</v>
      </c>
      <c r="G27" s="26">
        <v>1712.91</v>
      </c>
      <c r="H27" s="26">
        <v>1924.16</v>
      </c>
      <c r="J27" s="26">
        <v>1616.11</v>
      </c>
      <c r="K27" s="26">
        <v>1833.09</v>
      </c>
      <c r="L27" s="26">
        <v>1942.04</v>
      </c>
      <c r="M27" s="26">
        <v>2094.61</v>
      </c>
      <c r="N27" s="26">
        <v>2485.5500000000002</v>
      </c>
      <c r="P27" s="26">
        <v>2029.79</v>
      </c>
      <c r="Q27" s="26">
        <v>2255.9699999999998</v>
      </c>
      <c r="R27" s="26">
        <v>2105.16</v>
      </c>
      <c r="S27" s="26">
        <v>2050.8000000000002</v>
      </c>
      <c r="T27" s="26">
        <v>2479.98</v>
      </c>
      <c r="V27" s="15"/>
    </row>
    <row r="28" spans="1:22" x14ac:dyDescent="0.3">
      <c r="A28" s="15" t="s">
        <v>28</v>
      </c>
      <c r="B28" s="26">
        <v>6.4716399999999998</v>
      </c>
      <c r="D28" s="26">
        <v>7.4047700000000001</v>
      </c>
      <c r="E28" s="26">
        <v>6.3143599999999998</v>
      </c>
      <c r="F28" s="26">
        <v>4.9619400000000002</v>
      </c>
      <c r="G28" s="26">
        <v>3.85866</v>
      </c>
      <c r="H28" s="26">
        <v>2.77129</v>
      </c>
      <c r="J28" s="26">
        <v>9.2171099999999999</v>
      </c>
      <c r="K28" s="26">
        <v>7.8714199999999996</v>
      </c>
      <c r="L28" s="26">
        <v>5.7222299999999997</v>
      </c>
      <c r="M28" s="26">
        <v>3.7428699999999999</v>
      </c>
      <c r="N28" s="26">
        <v>2.2959000000000001</v>
      </c>
      <c r="P28" s="26">
        <v>11.6706</v>
      </c>
      <c r="Q28" s="26">
        <v>9.8903800000000004</v>
      </c>
      <c r="R28" s="26">
        <v>6.2712500000000002</v>
      </c>
      <c r="S28" s="26">
        <v>3.29975</v>
      </c>
      <c r="T28" s="26">
        <v>1.70387</v>
      </c>
      <c r="V28" s="15"/>
    </row>
    <row r="29" spans="1:22" x14ac:dyDescent="0.3">
      <c r="A29" s="15" t="s">
        <v>180</v>
      </c>
      <c r="B29" s="26">
        <v>5.8660700000000003E-2</v>
      </c>
      <c r="D29" s="26">
        <v>0.17486599999999999</v>
      </c>
      <c r="E29" s="26">
        <v>0.131685</v>
      </c>
      <c r="F29" s="26">
        <v>0.158277</v>
      </c>
      <c r="G29" s="26">
        <v>0.12601999999999999</v>
      </c>
      <c r="H29" s="26">
        <v>0.109266</v>
      </c>
      <c r="J29" s="26">
        <v>0.26660699999999998</v>
      </c>
      <c r="K29" s="26">
        <v>0.218582</v>
      </c>
      <c r="L29" s="26">
        <v>0.224717</v>
      </c>
      <c r="M29" s="26">
        <v>0.20236699999999999</v>
      </c>
      <c r="N29" s="26">
        <v>0.26456099999999999</v>
      </c>
      <c r="P29" s="26">
        <v>0.43761</v>
      </c>
      <c r="Q29" s="26">
        <v>0.335397</v>
      </c>
      <c r="R29" s="26">
        <v>0.26637100000000002</v>
      </c>
      <c r="S29" s="26">
        <v>0.20039599999999999</v>
      </c>
      <c r="T29" s="26">
        <v>0.14657600000000001</v>
      </c>
      <c r="V29" s="15"/>
    </row>
    <row r="30" spans="1:22" x14ac:dyDescent="0.3">
      <c r="A30" s="15" t="s">
        <v>29</v>
      </c>
      <c r="B30" s="26">
        <v>0.69618800000000003</v>
      </c>
      <c r="D30" s="26">
        <v>0.65954999999999997</v>
      </c>
      <c r="E30" s="26">
        <v>0.65336399999999994</v>
      </c>
      <c r="F30" s="26">
        <v>0.61586300000000005</v>
      </c>
      <c r="G30" s="26">
        <v>0.58424100000000001</v>
      </c>
      <c r="H30" s="26">
        <v>0.56041399999999997</v>
      </c>
      <c r="J30" s="26">
        <v>0.83693300000000004</v>
      </c>
      <c r="K30" s="26">
        <v>0.83879499999999996</v>
      </c>
      <c r="L30" s="26">
        <v>0.74446299999999999</v>
      </c>
      <c r="M30" s="26">
        <v>0.62799799999999995</v>
      </c>
      <c r="N30" s="26">
        <v>0.62341199999999997</v>
      </c>
      <c r="P30" s="26">
        <v>1.55057</v>
      </c>
      <c r="Q30" s="26">
        <v>1.47559</v>
      </c>
      <c r="R30" s="26">
        <v>1.07253</v>
      </c>
      <c r="S30" s="26">
        <v>0.67366700000000002</v>
      </c>
      <c r="T30" s="26">
        <v>0.53577200000000003</v>
      </c>
      <c r="V30" s="15"/>
    </row>
    <row r="31" spans="1:22" x14ac:dyDescent="0.3">
      <c r="A31" s="15" t="s">
        <v>31</v>
      </c>
      <c r="B31" s="26">
        <v>2.14947</v>
      </c>
      <c r="D31" s="26">
        <v>3.0844900000000002</v>
      </c>
      <c r="E31" s="26">
        <v>3.1288200000000002</v>
      </c>
      <c r="F31" s="26">
        <v>3.0824500000000001</v>
      </c>
      <c r="G31" s="26">
        <v>3.2622399999999998</v>
      </c>
      <c r="H31" s="26">
        <v>3.5408499999999998</v>
      </c>
      <c r="J31" s="26">
        <v>3.89622</v>
      </c>
      <c r="K31" s="26">
        <v>4.0726000000000004</v>
      </c>
      <c r="L31" s="26">
        <v>3.8462800000000001</v>
      </c>
      <c r="M31" s="26">
        <v>3.71637</v>
      </c>
      <c r="N31" s="26">
        <v>4.4076399999999998</v>
      </c>
      <c r="P31" s="26">
        <v>4.9107399999999997</v>
      </c>
      <c r="Q31" s="26">
        <v>5.1396600000000001</v>
      </c>
      <c r="R31" s="26">
        <v>4.3419499999999998</v>
      </c>
      <c r="S31" s="26">
        <v>3.5440999999999998</v>
      </c>
      <c r="T31" s="26">
        <v>4.45296</v>
      </c>
      <c r="V31" s="15"/>
    </row>
    <row r="32" spans="1:22" x14ac:dyDescent="0.3">
      <c r="A32" s="15" t="s">
        <v>181</v>
      </c>
      <c r="B32" s="26">
        <v>5.2086899999999998</v>
      </c>
      <c r="D32" s="26">
        <v>10.939399999999999</v>
      </c>
      <c r="E32" s="26">
        <v>6.4217300000000002</v>
      </c>
      <c r="F32" s="26">
        <v>7.6797599999999999</v>
      </c>
      <c r="G32" s="26">
        <v>7.0791599999999999</v>
      </c>
      <c r="H32" s="26">
        <v>7.2362700000000002</v>
      </c>
      <c r="J32" s="26">
        <v>15.362</v>
      </c>
      <c r="K32" s="26">
        <v>12.710800000000001</v>
      </c>
      <c r="L32" s="26">
        <v>12.709300000000001</v>
      </c>
      <c r="M32" s="26">
        <v>12.366400000000001</v>
      </c>
      <c r="N32" s="26">
        <v>13.123200000000001</v>
      </c>
      <c r="P32" s="26">
        <v>22.692699999999999</v>
      </c>
      <c r="Q32" s="26">
        <v>19.177499999999998</v>
      </c>
      <c r="R32" s="26">
        <v>15.070600000000001</v>
      </c>
      <c r="S32" s="26">
        <v>11.4437</v>
      </c>
      <c r="T32" s="26">
        <v>9.4756800000000005</v>
      </c>
      <c r="V32" s="15"/>
    </row>
    <row r="33" spans="1:22" x14ac:dyDescent="0.3">
      <c r="A33" s="15" t="s">
        <v>182</v>
      </c>
      <c r="B33" s="26">
        <v>8.2333600000000007E-2</v>
      </c>
      <c r="D33" s="26">
        <v>0.13381299999999999</v>
      </c>
      <c r="E33" s="26">
        <v>8.4581900000000002E-2</v>
      </c>
      <c r="F33" s="26">
        <v>6.5545800000000001E-2</v>
      </c>
      <c r="G33" s="26">
        <v>0.106197</v>
      </c>
      <c r="H33" s="26">
        <v>7.7831600000000001E-2</v>
      </c>
      <c r="J33" s="26">
        <v>0.161666</v>
      </c>
      <c r="K33" s="26">
        <v>0.161159</v>
      </c>
      <c r="L33" s="26">
        <v>0.105556</v>
      </c>
      <c r="M33" s="26">
        <v>0.11587699999999999</v>
      </c>
      <c r="N33" s="26">
        <v>8.1957100000000005E-2</v>
      </c>
      <c r="P33" s="26">
        <v>0.16907700000000001</v>
      </c>
      <c r="Q33" s="26">
        <v>0.174207</v>
      </c>
      <c r="R33" s="26">
        <v>0.13034000000000001</v>
      </c>
      <c r="S33" s="26">
        <v>0.110329</v>
      </c>
      <c r="T33" s="26">
        <v>9.5172300000000001E-2</v>
      </c>
      <c r="V33" s="15"/>
    </row>
    <row r="34" spans="1:22" x14ac:dyDescent="0.3">
      <c r="A34" s="15" t="s">
        <v>32</v>
      </c>
      <c r="B34" s="26">
        <v>1.4047199999999999E-2</v>
      </c>
      <c r="D34" s="26">
        <v>21.975999999999999</v>
      </c>
      <c r="E34" s="26">
        <v>159.93199999999999</v>
      </c>
      <c r="F34" s="26">
        <v>323.66199999999998</v>
      </c>
      <c r="G34" s="26">
        <v>388.14600000000002</v>
      </c>
      <c r="H34" s="26">
        <v>469.125</v>
      </c>
      <c r="J34" s="26">
        <v>27.621700000000001</v>
      </c>
      <c r="K34" s="26">
        <v>201.19800000000001</v>
      </c>
      <c r="L34" s="26">
        <v>432.99700000000001</v>
      </c>
      <c r="M34" s="26">
        <v>503.23099999999999</v>
      </c>
      <c r="N34" s="26">
        <v>604.22900000000004</v>
      </c>
      <c r="P34" s="26">
        <v>35.268700000000003</v>
      </c>
      <c r="Q34" s="26">
        <v>272.39100000000002</v>
      </c>
      <c r="R34" s="26">
        <v>556.40700000000004</v>
      </c>
      <c r="S34" s="26">
        <v>636.59400000000005</v>
      </c>
      <c r="T34" s="26">
        <v>773.13400000000001</v>
      </c>
      <c r="V34" s="15"/>
    </row>
    <row r="35" spans="1:22" x14ac:dyDescent="0.3">
      <c r="A35" s="15" t="s">
        <v>34</v>
      </c>
      <c r="B35" s="26">
        <v>730.96600000000001</v>
      </c>
      <c r="D35" s="26">
        <v>1004.12</v>
      </c>
      <c r="E35" s="26">
        <v>895.68299999999999</v>
      </c>
      <c r="F35" s="26">
        <v>794.09299999999996</v>
      </c>
      <c r="G35" s="26">
        <v>887.00599999999997</v>
      </c>
      <c r="H35" s="26">
        <v>1104.21</v>
      </c>
      <c r="J35" s="26">
        <v>1339.36</v>
      </c>
      <c r="K35" s="26">
        <v>1260.82</v>
      </c>
      <c r="L35" s="26">
        <v>1258.17</v>
      </c>
      <c r="M35" s="26">
        <v>1341.73</v>
      </c>
      <c r="N35" s="26">
        <v>1664.14</v>
      </c>
      <c r="P35" s="26">
        <v>1770.51</v>
      </c>
      <c r="Q35" s="26">
        <v>1913.76</v>
      </c>
      <c r="R35" s="26">
        <v>1670.23</v>
      </c>
      <c r="S35" s="26">
        <v>1432.58</v>
      </c>
      <c r="T35" s="26">
        <v>1800.74</v>
      </c>
      <c r="V35" s="15"/>
    </row>
    <row r="36" spans="1:22" x14ac:dyDescent="0.3">
      <c r="A36" s="15" t="s">
        <v>35</v>
      </c>
      <c r="B36" s="26">
        <v>0.63448099999999996</v>
      </c>
      <c r="D36" s="26">
        <v>1.4602999999999999</v>
      </c>
      <c r="E36" s="26">
        <v>1.2239199999999999</v>
      </c>
      <c r="F36" s="26">
        <v>0.95757400000000004</v>
      </c>
      <c r="G36" s="26">
        <v>1.18306</v>
      </c>
      <c r="H36" s="26">
        <v>1.20566</v>
      </c>
      <c r="J36" s="26">
        <v>5.4682500000000003</v>
      </c>
      <c r="K36" s="26">
        <v>5.3910900000000002</v>
      </c>
      <c r="L36" s="26">
        <v>5.0613999999999999</v>
      </c>
      <c r="M36" s="26">
        <v>6.8831899999999999</v>
      </c>
      <c r="N36" s="26">
        <v>9.2121600000000008</v>
      </c>
      <c r="P36" s="26">
        <v>11.1363</v>
      </c>
      <c r="Q36" s="26">
        <v>11.9887</v>
      </c>
      <c r="R36" s="26">
        <v>10.097899999999999</v>
      </c>
      <c r="S36" s="26">
        <v>8.6403300000000005</v>
      </c>
      <c r="T36" s="26">
        <v>10.853999999999999</v>
      </c>
      <c r="V36" s="15"/>
    </row>
    <row r="37" spans="1:22" x14ac:dyDescent="0.3">
      <c r="A37" s="15" t="s">
        <v>3</v>
      </c>
      <c r="B37" s="26">
        <v>0</v>
      </c>
      <c r="D37" s="26">
        <v>0.343221</v>
      </c>
      <c r="E37" s="26">
        <v>1.9767399999999999</v>
      </c>
      <c r="F37" s="26">
        <v>10.9458</v>
      </c>
      <c r="G37" s="26">
        <v>11.461499999999999</v>
      </c>
      <c r="H37" s="26">
        <v>12.565099999999999</v>
      </c>
      <c r="J37" s="26">
        <v>0.44062600000000002</v>
      </c>
      <c r="K37" s="26">
        <v>2.6029800000000001</v>
      </c>
      <c r="L37" s="26">
        <v>14.0299</v>
      </c>
      <c r="M37" s="26">
        <v>13.634</v>
      </c>
      <c r="N37" s="26">
        <v>16.516500000000001</v>
      </c>
      <c r="P37" s="26">
        <v>0.55112300000000003</v>
      </c>
      <c r="Q37" s="26">
        <v>3.2261199999999999</v>
      </c>
      <c r="R37" s="26">
        <v>15.291600000000001</v>
      </c>
      <c r="S37" s="26">
        <v>12.4686</v>
      </c>
      <c r="T37" s="26">
        <v>15.8108</v>
      </c>
      <c r="V37" s="15"/>
    </row>
    <row r="38" spans="1:22" x14ac:dyDescent="0.3">
      <c r="A38" s="15" t="s">
        <v>21</v>
      </c>
      <c r="B38" s="26">
        <v>12.5989</v>
      </c>
      <c r="D38" s="26">
        <v>30.8188</v>
      </c>
      <c r="E38" s="26">
        <v>36.139400000000002</v>
      </c>
      <c r="F38" s="26">
        <v>37.637</v>
      </c>
      <c r="G38" s="26">
        <v>40.088099999999997</v>
      </c>
      <c r="H38" s="26">
        <v>44.547400000000003</v>
      </c>
      <c r="J38" s="26">
        <v>35.735500000000002</v>
      </c>
      <c r="K38" s="26">
        <v>44.624099999999999</v>
      </c>
      <c r="L38" s="26">
        <v>49.915399999999998</v>
      </c>
      <c r="M38" s="26">
        <v>54.3215</v>
      </c>
      <c r="N38" s="26">
        <v>59.558799999999998</v>
      </c>
      <c r="P38" s="26">
        <v>47.7498</v>
      </c>
      <c r="Q38" s="26">
        <v>57.865000000000002</v>
      </c>
      <c r="R38" s="26">
        <v>55.421399999999998</v>
      </c>
      <c r="S38" s="26">
        <v>55.4238</v>
      </c>
      <c r="T38" s="26">
        <v>60.852600000000002</v>
      </c>
      <c r="V38" s="15"/>
    </row>
    <row r="39" spans="1:22" x14ac:dyDescent="0.3">
      <c r="A39" s="15" t="s">
        <v>9</v>
      </c>
      <c r="B39" s="26">
        <v>1.3346800000000001</v>
      </c>
      <c r="D39" s="26">
        <v>3.10684</v>
      </c>
      <c r="E39" s="26">
        <v>3.6065700000000001</v>
      </c>
      <c r="F39" s="26">
        <v>3.7505500000000001</v>
      </c>
      <c r="G39" s="26">
        <v>3.9986899999999999</v>
      </c>
      <c r="H39" s="26">
        <v>4.4434500000000003</v>
      </c>
      <c r="J39" s="26">
        <v>3.6422400000000001</v>
      </c>
      <c r="K39" s="26">
        <v>4.5002399999999998</v>
      </c>
      <c r="L39" s="26">
        <v>5.0355800000000004</v>
      </c>
      <c r="M39" s="26">
        <v>5.4875100000000003</v>
      </c>
      <c r="N39" s="26">
        <v>6.0631599999999999</v>
      </c>
      <c r="P39" s="26">
        <v>4.8894700000000002</v>
      </c>
      <c r="Q39" s="26">
        <v>5.9292400000000001</v>
      </c>
      <c r="R39" s="26">
        <v>5.7083000000000004</v>
      </c>
      <c r="S39" s="26">
        <v>5.7146499999999998</v>
      </c>
      <c r="T39" s="26">
        <v>6.3731400000000002</v>
      </c>
      <c r="V39" s="15"/>
    </row>
    <row r="40" spans="1:22" x14ac:dyDescent="0.3">
      <c r="A40" s="15" t="s">
        <v>24</v>
      </c>
      <c r="B40" s="26">
        <v>2.0041199999999999</v>
      </c>
      <c r="D40" s="26">
        <v>4.9884700000000004</v>
      </c>
      <c r="E40" s="26">
        <v>5.7509699999999997</v>
      </c>
      <c r="F40" s="26">
        <v>5.9251199999999997</v>
      </c>
      <c r="G40" s="26">
        <v>6.3597999999999999</v>
      </c>
      <c r="H40" s="26">
        <v>7.2437699999999996</v>
      </c>
      <c r="J40" s="26">
        <v>5.8479400000000004</v>
      </c>
      <c r="K40" s="26">
        <v>7.2034399999999996</v>
      </c>
      <c r="L40" s="26">
        <v>8.0308299999999999</v>
      </c>
      <c r="M40" s="26">
        <v>8.9485100000000006</v>
      </c>
      <c r="N40" s="26">
        <v>10.099299999999999</v>
      </c>
      <c r="P40" s="26">
        <v>7.8988300000000002</v>
      </c>
      <c r="Q40" s="26">
        <v>9.4753600000000002</v>
      </c>
      <c r="R40" s="26">
        <v>9.11083</v>
      </c>
      <c r="S40" s="26">
        <v>9.2612900000000007</v>
      </c>
      <c r="T40" s="26">
        <v>10.6869</v>
      </c>
      <c r="V40" s="15"/>
    </row>
    <row r="41" spans="1:22" x14ac:dyDescent="0.3">
      <c r="A41" s="15" t="s">
        <v>30</v>
      </c>
      <c r="B41" s="26">
        <v>0.38239899999999999</v>
      </c>
      <c r="D41" s="26">
        <v>0.87779600000000002</v>
      </c>
      <c r="E41" s="26">
        <v>0.96637600000000001</v>
      </c>
      <c r="F41" s="26">
        <v>0.96947000000000005</v>
      </c>
      <c r="G41" s="26">
        <v>1.0546599999999999</v>
      </c>
      <c r="H41" s="26">
        <v>1.2480599999999999</v>
      </c>
      <c r="J41" s="26">
        <v>1.0528900000000001</v>
      </c>
      <c r="K41" s="26">
        <v>1.23475</v>
      </c>
      <c r="L41" s="26">
        <v>1.35456</v>
      </c>
      <c r="M41" s="26">
        <v>1.53599</v>
      </c>
      <c r="N41" s="26">
        <v>1.7971299999999999</v>
      </c>
      <c r="P41" s="26">
        <v>1.4230400000000001</v>
      </c>
      <c r="Q41" s="26">
        <v>1.6628499999999999</v>
      </c>
      <c r="R41" s="26">
        <v>1.5801400000000001</v>
      </c>
      <c r="S41" s="26">
        <v>1.59331</v>
      </c>
      <c r="T41" s="26">
        <v>1.9254599999999999</v>
      </c>
      <c r="V41" s="15"/>
    </row>
    <row r="42" spans="1:22" x14ac:dyDescent="0.3">
      <c r="A42" s="15" t="s">
        <v>33</v>
      </c>
      <c r="B42" s="26">
        <v>8.6195300000000002E-3</v>
      </c>
      <c r="D42" s="26">
        <v>1.4037000000000001E-2</v>
      </c>
      <c r="E42" s="26">
        <v>8.9829300000000001E-3</v>
      </c>
      <c r="F42" s="26">
        <v>6.8318199999999997E-3</v>
      </c>
      <c r="G42" s="26">
        <v>1.0753499999999999E-2</v>
      </c>
      <c r="H42" s="26">
        <v>7.7831599999999999E-3</v>
      </c>
      <c r="J42" s="26">
        <v>2.0729999999999998E-2</v>
      </c>
      <c r="K42" s="26">
        <v>1.93831E-2</v>
      </c>
      <c r="L42" s="26">
        <v>1.27513E-2</v>
      </c>
      <c r="M42" s="26">
        <v>1.31316E-2</v>
      </c>
      <c r="N42" s="26">
        <v>8.1957100000000001E-3</v>
      </c>
      <c r="P42" s="26">
        <v>2.7196000000000001E-2</v>
      </c>
      <c r="Q42" s="26">
        <v>2.5518900000000001E-2</v>
      </c>
      <c r="R42" s="26">
        <v>1.7658E-2</v>
      </c>
      <c r="S42" s="26">
        <v>1.3024600000000001E-2</v>
      </c>
      <c r="T42" s="26">
        <v>9.5172299999999998E-3</v>
      </c>
      <c r="V42" s="15"/>
    </row>
    <row r="43" spans="1:22" x14ac:dyDescent="0.3">
      <c r="A43" s="15" t="s">
        <v>183</v>
      </c>
      <c r="B43" s="26">
        <v>3.02492E-3</v>
      </c>
      <c r="D43" s="26">
        <v>5.1365400000000002E-3</v>
      </c>
      <c r="E43" s="26">
        <v>4.1103900000000002E-3</v>
      </c>
      <c r="F43" s="26">
        <v>3.2574700000000002E-3</v>
      </c>
      <c r="G43" s="26">
        <v>3.1443999999999999E-3</v>
      </c>
      <c r="H43" s="26">
        <v>4.3183400000000004E-3</v>
      </c>
      <c r="J43" s="26">
        <v>3.5746699999999999E-2</v>
      </c>
      <c r="K43" s="26">
        <v>2.55926E-2</v>
      </c>
      <c r="L43" s="26">
        <v>2.5800199999999999E-2</v>
      </c>
      <c r="M43" s="26">
        <v>3.62834E-2</v>
      </c>
      <c r="N43" s="26">
        <v>5.1474899999999997E-2</v>
      </c>
      <c r="P43" s="26">
        <v>8.0591700000000002E-2</v>
      </c>
      <c r="Q43" s="26">
        <v>6.3435699999999998E-2</v>
      </c>
      <c r="R43" s="26">
        <v>5.4332699999999998E-2</v>
      </c>
      <c r="S43" s="26">
        <v>4.6804600000000002E-2</v>
      </c>
      <c r="T43" s="26">
        <v>6.0699299999999998E-2</v>
      </c>
      <c r="V43" s="15"/>
    </row>
    <row r="44" spans="1:22" x14ac:dyDescent="0.3">
      <c r="A44" s="27" t="s">
        <v>184</v>
      </c>
      <c r="B44" s="28">
        <v>16.331743450000005</v>
      </c>
      <c r="D44" s="28">
        <v>39.811079540000001</v>
      </c>
      <c r="E44" s="28">
        <v>46.476409320000002</v>
      </c>
      <c r="F44" s="28">
        <v>48.292229290000002</v>
      </c>
      <c r="G44" s="28">
        <v>51.515147899999988</v>
      </c>
      <c r="H44" s="28">
        <v>57.494781500000002</v>
      </c>
      <c r="J44" s="28">
        <v>46.335046699999999</v>
      </c>
      <c r="K44" s="28">
        <v>57.607505699999997</v>
      </c>
      <c r="L44" s="28">
        <v>64.374921500000013</v>
      </c>
      <c r="M44" s="28">
        <v>70.342924999999994</v>
      </c>
      <c r="N44" s="28">
        <v>77.578060609999994</v>
      </c>
      <c r="P44" s="28">
        <v>62.068927700000003</v>
      </c>
      <c r="Q44" s="28">
        <v>75.021404599999997</v>
      </c>
      <c r="R44" s="28">
        <v>71.892660700000008</v>
      </c>
      <c r="S44" s="28">
        <v>72.052879199999992</v>
      </c>
      <c r="T44" s="28">
        <v>79.908316529999993</v>
      </c>
      <c r="V44" s="15"/>
    </row>
    <row r="45" spans="1:22" ht="15" thickBot="1" x14ac:dyDescent="0.35">
      <c r="A45" s="29" t="s">
        <v>185</v>
      </c>
      <c r="B45" s="30">
        <v>10111.487999682</v>
      </c>
      <c r="D45" s="30">
        <v>19107.537512318999</v>
      </c>
      <c r="E45" s="30">
        <v>22454.21399067801</v>
      </c>
      <c r="F45" s="30">
        <v>24112.586725535006</v>
      </c>
      <c r="G45" s="30">
        <v>24507.193805825013</v>
      </c>
      <c r="H45" s="30">
        <v>25225.025003405008</v>
      </c>
      <c r="J45" s="30">
        <v>22737.749571699998</v>
      </c>
      <c r="K45" s="30">
        <v>28753.762110790001</v>
      </c>
      <c r="L45" s="30">
        <v>33130.803037079997</v>
      </c>
      <c r="M45" s="30">
        <v>33557.224730900001</v>
      </c>
      <c r="N45" s="30">
        <v>34849.44131509</v>
      </c>
      <c r="P45" s="30">
        <v>29530.836970799988</v>
      </c>
      <c r="Q45" s="30">
        <v>37054.832209179993</v>
      </c>
      <c r="R45" s="30">
        <v>38722.391469739981</v>
      </c>
      <c r="S45" s="30">
        <v>37681.958418010006</v>
      </c>
      <c r="T45" s="30">
        <v>37751.578196359995</v>
      </c>
      <c r="V45" s="15"/>
    </row>
    <row r="46" spans="1:22" ht="15" thickTop="1" x14ac:dyDescent="0.3">
      <c r="V46" s="15"/>
    </row>
    <row r="47" spans="1:22" x14ac:dyDescent="0.3">
      <c r="V47" s="15"/>
    </row>
    <row r="48" spans="1:22" x14ac:dyDescent="0.3">
      <c r="B48" s="26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25CE1A-1BDB-4E50-90FB-7A7AE02CB903}">
  <dimension ref="A1:T98"/>
  <sheetViews>
    <sheetView topLeftCell="A32" workbookViewId="0">
      <selection activeCell="A48" sqref="A48"/>
    </sheetView>
  </sheetViews>
  <sheetFormatPr defaultColWidth="9.5546875" defaultRowHeight="14.4" x14ac:dyDescent="0.3"/>
  <cols>
    <col min="1" max="1" width="45.109375" style="15" customWidth="1"/>
    <col min="2" max="2" width="11.77734375" style="15" customWidth="1"/>
    <col min="3" max="3" width="7.33203125" style="15" customWidth="1"/>
    <col min="4" max="8" width="11.77734375" style="15" customWidth="1"/>
    <col min="9" max="9" width="7.33203125" style="15" customWidth="1"/>
    <col min="10" max="14" width="11.77734375" style="15" customWidth="1"/>
    <col min="15" max="15" width="7.33203125" style="15" customWidth="1"/>
    <col min="16" max="20" width="11.77734375" style="15" customWidth="1"/>
    <col min="21" max="16384" width="9.5546875" style="15"/>
  </cols>
  <sheetData>
    <row r="1" spans="1:20" ht="26.1" customHeight="1" x14ac:dyDescent="0.3"/>
    <row r="2" spans="1:20" ht="26.1" customHeight="1" x14ac:dyDescent="0.45">
      <c r="A2" s="16" t="s">
        <v>187</v>
      </c>
    </row>
    <row r="3" spans="1:20" ht="26.1" customHeight="1" x14ac:dyDescent="0.3"/>
    <row r="4" spans="1:20" ht="26.1" customHeight="1" x14ac:dyDescent="0.4">
      <c r="D4" s="17" t="s">
        <v>172</v>
      </c>
      <c r="E4" s="18"/>
      <c r="F4" s="18"/>
      <c r="G4" s="18"/>
      <c r="H4" s="18"/>
      <c r="I4" s="19"/>
      <c r="J4" s="20" t="s">
        <v>173</v>
      </c>
      <c r="K4" s="21"/>
      <c r="L4" s="21"/>
      <c r="M4" s="21"/>
      <c r="N4" s="21"/>
      <c r="O4" s="19"/>
      <c r="P4" s="22" t="s">
        <v>174</v>
      </c>
      <c r="Q4" s="23"/>
      <c r="R4" s="23"/>
      <c r="S4" s="23"/>
      <c r="T4" s="23"/>
    </row>
    <row r="5" spans="1:20" ht="20.399999999999999" thickBot="1" x14ac:dyDescent="0.45">
      <c r="B5" s="24">
        <v>2023</v>
      </c>
      <c r="D5" s="24">
        <v>2030</v>
      </c>
      <c r="E5" s="24">
        <v>2035</v>
      </c>
      <c r="F5" s="24">
        <v>2040</v>
      </c>
      <c r="G5" s="24">
        <v>2045</v>
      </c>
      <c r="H5" s="24">
        <v>2050</v>
      </c>
      <c r="J5" s="24">
        <v>2030</v>
      </c>
      <c r="K5" s="24">
        <v>2035</v>
      </c>
      <c r="L5" s="24">
        <v>2040</v>
      </c>
      <c r="M5" s="24">
        <v>2045</v>
      </c>
      <c r="N5" s="24">
        <v>2050</v>
      </c>
      <c r="P5" s="24">
        <v>2030</v>
      </c>
      <c r="Q5" s="24">
        <v>2035</v>
      </c>
      <c r="R5" s="24">
        <v>2040</v>
      </c>
      <c r="S5" s="24">
        <v>2045</v>
      </c>
      <c r="T5" s="24">
        <v>2050</v>
      </c>
    </row>
    <row r="6" spans="1:20" ht="15" thickTop="1" x14ac:dyDescent="0.3"/>
    <row r="7" spans="1:20" ht="18" thickBot="1" x14ac:dyDescent="0.4">
      <c r="A7" s="32" t="s">
        <v>6</v>
      </c>
      <c r="B7" s="32"/>
      <c r="D7" s="32"/>
      <c r="E7" s="32"/>
      <c r="F7" s="32"/>
      <c r="G7" s="32"/>
      <c r="H7" s="32"/>
      <c r="J7" s="32"/>
      <c r="K7" s="32"/>
      <c r="L7" s="32"/>
      <c r="M7" s="32"/>
      <c r="N7" s="32"/>
      <c r="P7" s="32"/>
      <c r="Q7" s="32"/>
      <c r="R7" s="32"/>
      <c r="S7" s="32"/>
      <c r="T7" s="32"/>
    </row>
    <row r="8" spans="1:20" ht="15" thickTop="1" x14ac:dyDescent="0.3">
      <c r="A8" s="15" t="s">
        <v>77</v>
      </c>
      <c r="B8" s="33">
        <v>63.273699999999998</v>
      </c>
      <c r="C8" s="33"/>
      <c r="D8" s="33">
        <v>88.412599999999998</v>
      </c>
      <c r="E8" s="33">
        <v>78.892300000000006</v>
      </c>
      <c r="F8" s="33">
        <v>69.503600000000006</v>
      </c>
      <c r="G8" s="33">
        <v>77.451800000000006</v>
      </c>
      <c r="H8" s="33">
        <v>97.374399999999994</v>
      </c>
      <c r="I8" s="33"/>
      <c r="J8" s="33">
        <v>117.533</v>
      </c>
      <c r="K8" s="33">
        <v>110.021</v>
      </c>
      <c r="L8" s="33">
        <v>109.996</v>
      </c>
      <c r="M8" s="33">
        <v>118.17400000000001</v>
      </c>
      <c r="N8" s="33">
        <v>147.86099999999999</v>
      </c>
      <c r="O8" s="33"/>
      <c r="P8" s="33">
        <v>154.91399999999999</v>
      </c>
      <c r="Q8" s="33">
        <v>167.17400000000001</v>
      </c>
      <c r="R8" s="33">
        <v>146.251</v>
      </c>
      <c r="S8" s="33">
        <v>126.206</v>
      </c>
      <c r="T8" s="33">
        <v>160.709</v>
      </c>
    </row>
    <row r="9" spans="1:20" s="34" customFormat="1" x14ac:dyDescent="0.3">
      <c r="A9" s="34" t="s">
        <v>188</v>
      </c>
      <c r="B9" s="35">
        <v>148.75630000000001</v>
      </c>
      <c r="C9" s="35"/>
      <c r="D9" s="35">
        <v>295.40339999999998</v>
      </c>
      <c r="E9" s="35">
        <v>222.60170000000002</v>
      </c>
      <c r="F9" s="35">
        <v>246.7724</v>
      </c>
      <c r="G9" s="35">
        <v>250.29020000000003</v>
      </c>
      <c r="H9" s="35">
        <v>224.66660000000002</v>
      </c>
      <c r="I9" s="35"/>
      <c r="J9" s="35">
        <v>429.38099999999997</v>
      </c>
      <c r="K9" s="35">
        <v>405.07400000000001</v>
      </c>
      <c r="L9" s="35">
        <v>389.66300000000001</v>
      </c>
      <c r="M9" s="35">
        <v>376.28599999999994</v>
      </c>
      <c r="N9" s="35">
        <v>415.66499999999996</v>
      </c>
      <c r="O9" s="35"/>
      <c r="P9" s="35">
        <v>668.82900000000006</v>
      </c>
      <c r="Q9" s="35">
        <v>584.86800000000005</v>
      </c>
      <c r="R9" s="35">
        <v>480.94500000000005</v>
      </c>
      <c r="S9" s="35">
        <v>379.96999999999997</v>
      </c>
      <c r="T9" s="35">
        <v>299.48199999999997</v>
      </c>
    </row>
    <row r="10" spans="1:20" ht="15" thickBot="1" x14ac:dyDescent="0.35">
      <c r="A10" s="29" t="s">
        <v>189</v>
      </c>
      <c r="B10" s="36">
        <v>212.03</v>
      </c>
      <c r="C10" s="33"/>
      <c r="D10" s="36">
        <v>383.81599999999997</v>
      </c>
      <c r="E10" s="36">
        <v>301.49400000000003</v>
      </c>
      <c r="F10" s="36">
        <v>316.27600000000001</v>
      </c>
      <c r="G10" s="36">
        <v>327.74200000000002</v>
      </c>
      <c r="H10" s="36">
        <v>322.041</v>
      </c>
      <c r="I10" s="33"/>
      <c r="J10" s="36">
        <v>546.91399999999999</v>
      </c>
      <c r="K10" s="36">
        <v>515.09500000000003</v>
      </c>
      <c r="L10" s="36">
        <v>499.65899999999999</v>
      </c>
      <c r="M10" s="36">
        <v>494.46</v>
      </c>
      <c r="N10" s="36">
        <v>563.52599999999995</v>
      </c>
      <c r="O10" s="33"/>
      <c r="P10" s="36">
        <v>823.74300000000005</v>
      </c>
      <c r="Q10" s="36">
        <v>752.04200000000003</v>
      </c>
      <c r="R10" s="36">
        <v>627.19600000000003</v>
      </c>
      <c r="S10" s="36">
        <v>506.17599999999999</v>
      </c>
      <c r="T10" s="36">
        <v>460.19099999999997</v>
      </c>
    </row>
    <row r="11" spans="1:20" ht="15" thickTop="1" x14ac:dyDescent="0.3"/>
    <row r="13" spans="1:20" ht="18" thickBot="1" x14ac:dyDescent="0.4">
      <c r="A13" s="32" t="s">
        <v>8</v>
      </c>
      <c r="B13" s="32"/>
      <c r="D13" s="32"/>
      <c r="E13" s="32"/>
      <c r="F13" s="32"/>
      <c r="G13" s="32"/>
      <c r="H13" s="32"/>
      <c r="J13" s="32"/>
      <c r="K13" s="32"/>
      <c r="L13" s="32"/>
      <c r="M13" s="32"/>
      <c r="N13" s="32"/>
      <c r="P13" s="32"/>
      <c r="Q13" s="32"/>
      <c r="R13" s="32"/>
      <c r="S13" s="32"/>
      <c r="T13" s="32"/>
    </row>
    <row r="14" spans="1:20" ht="15" thickTop="1" x14ac:dyDescent="0.3">
      <c r="A14" s="15" t="s">
        <v>75</v>
      </c>
      <c r="B14" s="33">
        <v>1208.23</v>
      </c>
      <c r="C14" s="33"/>
      <c r="D14" s="33">
        <v>1691.18</v>
      </c>
      <c r="E14" s="33">
        <v>1727.66</v>
      </c>
      <c r="F14" s="33">
        <v>1683.97</v>
      </c>
      <c r="G14" s="33">
        <v>1772.88</v>
      </c>
      <c r="H14" s="33">
        <v>1958.85</v>
      </c>
      <c r="I14" s="33"/>
      <c r="J14" s="33">
        <v>2116.59</v>
      </c>
      <c r="K14" s="33">
        <v>2168.0100000000002</v>
      </c>
      <c r="L14" s="33">
        <v>2048.7600000000002</v>
      </c>
      <c r="M14" s="33">
        <v>1983.9</v>
      </c>
      <c r="N14" s="33">
        <v>2401.4899999999998</v>
      </c>
      <c r="O14" s="33"/>
      <c r="P14" s="33">
        <v>2564.33</v>
      </c>
      <c r="Q14" s="33">
        <v>2651.29</v>
      </c>
      <c r="R14" s="33">
        <v>2245.3000000000002</v>
      </c>
      <c r="S14" s="33">
        <v>1840.51</v>
      </c>
      <c r="T14" s="33">
        <v>2390.46</v>
      </c>
    </row>
    <row r="15" spans="1:20" x14ac:dyDescent="0.3">
      <c r="A15" s="15" t="s">
        <v>77</v>
      </c>
      <c r="B15" s="33">
        <v>501.61799999999999</v>
      </c>
      <c r="C15" s="33"/>
      <c r="D15" s="33">
        <v>803.56500000000005</v>
      </c>
      <c r="E15" s="33">
        <v>691.79899999999998</v>
      </c>
      <c r="F15" s="33">
        <v>579.89300000000003</v>
      </c>
      <c r="G15" s="33">
        <v>626.26199999999994</v>
      </c>
      <c r="H15" s="33">
        <v>804.51199999999994</v>
      </c>
      <c r="I15" s="33"/>
      <c r="J15" s="33">
        <v>1052.22</v>
      </c>
      <c r="K15" s="33">
        <v>967.952</v>
      </c>
      <c r="L15" s="33">
        <v>939.09500000000003</v>
      </c>
      <c r="M15" s="33">
        <v>1046.9100000000001</v>
      </c>
      <c r="N15" s="33">
        <v>1297.05</v>
      </c>
      <c r="O15" s="33"/>
      <c r="P15" s="33">
        <v>1419.33</v>
      </c>
      <c r="Q15" s="33">
        <v>1445.27</v>
      </c>
      <c r="R15" s="33">
        <v>1242.8499999999999</v>
      </c>
      <c r="S15" s="33">
        <v>1107.76</v>
      </c>
      <c r="T15" s="33">
        <v>1451.29</v>
      </c>
    </row>
    <row r="16" spans="1:20" s="34" customFormat="1" x14ac:dyDescent="0.3">
      <c r="A16" s="34" t="s">
        <v>188</v>
      </c>
      <c r="B16" s="35">
        <v>82.82200000000006</v>
      </c>
      <c r="C16" s="35"/>
      <c r="D16" s="35">
        <v>123.15499999999997</v>
      </c>
      <c r="E16" s="35">
        <v>80.941000000000031</v>
      </c>
      <c r="F16" s="35">
        <v>82.856999999999744</v>
      </c>
      <c r="G16" s="35">
        <v>107.78799999999978</v>
      </c>
      <c r="H16" s="35">
        <v>103.81799999999998</v>
      </c>
      <c r="I16" s="35"/>
      <c r="J16" s="35">
        <v>162.8299999999997</v>
      </c>
      <c r="K16" s="35">
        <v>162.60799999999995</v>
      </c>
      <c r="L16" s="35">
        <v>146.32499999999959</v>
      </c>
      <c r="M16" s="35">
        <v>154.95999999999981</v>
      </c>
      <c r="N16" s="35">
        <v>138.30000000000041</v>
      </c>
      <c r="O16" s="35"/>
      <c r="P16" s="35">
        <v>229.27000000000044</v>
      </c>
      <c r="Q16" s="35">
        <v>222.86000000000013</v>
      </c>
      <c r="R16" s="35">
        <v>183.04999999999973</v>
      </c>
      <c r="S16" s="35">
        <v>150.51000000000022</v>
      </c>
      <c r="T16" s="35">
        <v>130.46000000000004</v>
      </c>
    </row>
    <row r="17" spans="1:20" x14ac:dyDescent="0.3">
      <c r="A17" s="15" t="s">
        <v>190</v>
      </c>
      <c r="B17" s="33">
        <v>395.95</v>
      </c>
      <c r="C17" s="33"/>
      <c r="D17" s="33">
        <v>1644.59</v>
      </c>
      <c r="E17" s="33">
        <v>2594.14</v>
      </c>
      <c r="F17" s="33">
        <v>3131.08</v>
      </c>
      <c r="G17" s="33">
        <v>3286.87</v>
      </c>
      <c r="H17" s="33">
        <v>3470.4</v>
      </c>
      <c r="I17" s="33"/>
      <c r="J17" s="33">
        <v>1870.16</v>
      </c>
      <c r="K17" s="33">
        <v>3256.05</v>
      </c>
      <c r="L17" s="33">
        <v>4297.34</v>
      </c>
      <c r="M17" s="33">
        <v>4585.13</v>
      </c>
      <c r="N17" s="33">
        <v>4804.46</v>
      </c>
      <c r="O17" s="33"/>
      <c r="P17" s="33">
        <v>2611.54</v>
      </c>
      <c r="Q17" s="33">
        <v>4028.1</v>
      </c>
      <c r="R17" s="33">
        <v>4642.25</v>
      </c>
      <c r="S17" s="33">
        <v>5043.91</v>
      </c>
      <c r="T17" s="33">
        <v>5123.7299999999996</v>
      </c>
    </row>
    <row r="18" spans="1:20" x14ac:dyDescent="0.3">
      <c r="A18" s="15" t="s">
        <v>191</v>
      </c>
      <c r="B18" s="33">
        <v>39.596600000000002</v>
      </c>
      <c r="C18" s="33"/>
      <c r="D18" s="33">
        <v>175.74700000000001</v>
      </c>
      <c r="E18" s="33">
        <v>260.28199999999998</v>
      </c>
      <c r="F18" s="33">
        <v>380.67700000000002</v>
      </c>
      <c r="G18" s="33">
        <v>454.31700000000001</v>
      </c>
      <c r="H18" s="33">
        <v>544.67399999999998</v>
      </c>
      <c r="I18" s="33"/>
      <c r="J18" s="33">
        <v>220.845</v>
      </c>
      <c r="K18" s="33">
        <v>327.40300000000002</v>
      </c>
      <c r="L18" s="33">
        <v>509.25</v>
      </c>
      <c r="M18" s="33">
        <v>589.00900000000001</v>
      </c>
      <c r="N18" s="33">
        <v>701.529</v>
      </c>
      <c r="O18" s="33"/>
      <c r="P18" s="33">
        <v>281.99</v>
      </c>
      <c r="Q18" s="33">
        <v>443.25299999999999</v>
      </c>
      <c r="R18" s="33">
        <v>654.38800000000003</v>
      </c>
      <c r="S18" s="33">
        <v>745.10900000000004</v>
      </c>
      <c r="T18" s="33">
        <v>897.63800000000003</v>
      </c>
    </row>
    <row r="19" spans="1:20" x14ac:dyDescent="0.3">
      <c r="A19" s="15" t="s">
        <v>192</v>
      </c>
      <c r="B19" s="33">
        <v>4143.4799999999996</v>
      </c>
      <c r="C19" s="33"/>
      <c r="D19" s="33">
        <v>6103.96</v>
      </c>
      <c r="E19" s="33">
        <v>6168.15</v>
      </c>
      <c r="F19" s="33">
        <v>6125.22</v>
      </c>
      <c r="G19" s="33">
        <v>6312.07</v>
      </c>
      <c r="H19" s="33">
        <v>6084.43</v>
      </c>
      <c r="I19" s="33"/>
      <c r="J19" s="33">
        <v>6807.73</v>
      </c>
      <c r="K19" s="33">
        <v>7542.02</v>
      </c>
      <c r="L19" s="33">
        <v>8186.27</v>
      </c>
      <c r="M19" s="33">
        <v>8471.33</v>
      </c>
      <c r="N19" s="33">
        <v>8095.97</v>
      </c>
      <c r="O19" s="33"/>
      <c r="P19" s="33">
        <v>7939.65</v>
      </c>
      <c r="Q19" s="33">
        <v>9793.41</v>
      </c>
      <c r="R19" s="33">
        <v>10510.1</v>
      </c>
      <c r="S19" s="33">
        <v>10437.799999999999</v>
      </c>
      <c r="T19" s="33">
        <v>9245.51</v>
      </c>
    </row>
    <row r="20" spans="1:20" x14ac:dyDescent="0.3">
      <c r="A20" s="15" t="s">
        <v>193</v>
      </c>
      <c r="B20" s="33">
        <v>2.1228900000000001E-3</v>
      </c>
      <c r="C20" s="33"/>
      <c r="D20" s="33">
        <v>1.19271E-2</v>
      </c>
      <c r="E20" s="33">
        <v>1.31684E-2</v>
      </c>
      <c r="F20" s="33">
        <v>1.04E-2</v>
      </c>
      <c r="G20" s="33">
        <v>1.0005500000000001E-2</v>
      </c>
      <c r="H20" s="33">
        <v>1.36965E-2</v>
      </c>
      <c r="I20" s="33"/>
      <c r="J20" s="33">
        <v>8.30042E-2</v>
      </c>
      <c r="K20" s="33">
        <v>8.1990300000000002E-2</v>
      </c>
      <c r="L20" s="33">
        <v>8.2371E-2</v>
      </c>
      <c r="M20" s="33">
        <v>0.115454</v>
      </c>
      <c r="N20" s="33">
        <v>0.16326299999999999</v>
      </c>
      <c r="O20" s="33"/>
      <c r="P20" s="33">
        <v>0.187135</v>
      </c>
      <c r="Q20" s="33">
        <v>0.20322699999999999</v>
      </c>
      <c r="R20" s="33">
        <v>0.17346600000000001</v>
      </c>
      <c r="S20" s="33">
        <v>0.14893200000000001</v>
      </c>
      <c r="T20" s="33">
        <v>0.19252</v>
      </c>
    </row>
    <row r="21" spans="1:20" ht="15" thickBot="1" x14ac:dyDescent="0.35">
      <c r="A21" s="29" t="s">
        <v>194</v>
      </c>
      <c r="B21" s="36">
        <v>6371.7</v>
      </c>
      <c r="C21" s="33"/>
      <c r="D21" s="36">
        <v>10542.2</v>
      </c>
      <c r="E21" s="36">
        <v>11523</v>
      </c>
      <c r="F21" s="36">
        <v>11983.7</v>
      </c>
      <c r="G21" s="36">
        <v>12560.2</v>
      </c>
      <c r="H21" s="36">
        <v>12966.7</v>
      </c>
      <c r="I21" s="33"/>
      <c r="J21" s="36">
        <v>12230.5</v>
      </c>
      <c r="K21" s="36">
        <v>14424.1</v>
      </c>
      <c r="L21" s="36">
        <v>16127.1</v>
      </c>
      <c r="M21" s="36">
        <v>16831.400000000001</v>
      </c>
      <c r="N21" s="36">
        <v>17439</v>
      </c>
      <c r="O21" s="33"/>
      <c r="P21" s="36">
        <v>15046.3</v>
      </c>
      <c r="Q21" s="36">
        <v>18584.400000000001</v>
      </c>
      <c r="R21" s="36">
        <v>19478.099999999999</v>
      </c>
      <c r="S21" s="36">
        <v>19325.8</v>
      </c>
      <c r="T21" s="36">
        <v>19239.3</v>
      </c>
    </row>
    <row r="22" spans="1:20" ht="15" thickTop="1" x14ac:dyDescent="0.3"/>
    <row r="24" spans="1:20" ht="18" thickBot="1" x14ac:dyDescent="0.4">
      <c r="A24" s="32" t="s">
        <v>7</v>
      </c>
      <c r="B24" s="32"/>
      <c r="D24" s="32"/>
      <c r="E24" s="32"/>
      <c r="F24" s="32"/>
      <c r="G24" s="32"/>
      <c r="H24" s="32"/>
      <c r="J24" s="32"/>
      <c r="K24" s="32"/>
      <c r="L24" s="32"/>
      <c r="M24" s="32"/>
      <c r="N24" s="32"/>
      <c r="P24" s="32"/>
      <c r="Q24" s="32"/>
      <c r="R24" s="32"/>
      <c r="S24" s="32"/>
      <c r="T24" s="32"/>
    </row>
    <row r="25" spans="1:20" ht="15" thickTop="1" x14ac:dyDescent="0.3">
      <c r="A25" s="15" t="s">
        <v>195</v>
      </c>
      <c r="B25" s="33">
        <v>1.6494499999999999E-2</v>
      </c>
      <c r="C25" s="33"/>
      <c r="D25" s="33">
        <v>2.8895199999999999E-2</v>
      </c>
      <c r="E25" s="33">
        <v>1.35566E-2</v>
      </c>
      <c r="F25" s="33">
        <v>1.6180400000000001E-2</v>
      </c>
      <c r="G25" s="33">
        <v>1.71346E-2</v>
      </c>
      <c r="H25" s="33">
        <v>1.9779499999999998E-2</v>
      </c>
      <c r="I25" s="33"/>
      <c r="J25" s="33">
        <v>3.8067499999999997E-2</v>
      </c>
      <c r="K25" s="33">
        <v>3.14563E-2</v>
      </c>
      <c r="L25" s="33">
        <v>3.0841400000000001E-2</v>
      </c>
      <c r="M25" s="33">
        <v>3.1903800000000003E-2</v>
      </c>
      <c r="N25" s="33">
        <v>2.8251800000000001E-2</v>
      </c>
      <c r="O25" s="33"/>
      <c r="P25" s="33">
        <v>5.1267800000000002E-2</v>
      </c>
      <c r="Q25" s="33">
        <v>4.6894199999999997E-2</v>
      </c>
      <c r="R25" s="33">
        <v>3.6475800000000003E-2</v>
      </c>
      <c r="S25" s="33">
        <v>2.7891699999999998E-2</v>
      </c>
      <c r="T25" s="33">
        <v>2.5334300000000001E-2</v>
      </c>
    </row>
    <row r="26" spans="1:20" x14ac:dyDescent="0.3">
      <c r="A26" s="15" t="s">
        <v>190</v>
      </c>
      <c r="B26" s="33">
        <v>61.840899999999998</v>
      </c>
      <c r="C26" s="33"/>
      <c r="D26" s="33">
        <v>150.71799999999999</v>
      </c>
      <c r="E26" s="33">
        <v>160.685</v>
      </c>
      <c r="F26" s="33">
        <v>187.20599999999999</v>
      </c>
      <c r="G26" s="33">
        <v>203.124</v>
      </c>
      <c r="H26" s="33">
        <v>216.036</v>
      </c>
      <c r="I26" s="33"/>
      <c r="J26" s="33">
        <v>171.26400000000001</v>
      </c>
      <c r="K26" s="33">
        <v>202.80199999999999</v>
      </c>
      <c r="L26" s="33">
        <v>259.971</v>
      </c>
      <c r="M26" s="33">
        <v>286.27300000000002</v>
      </c>
      <c r="N26" s="33">
        <v>302.79899999999998</v>
      </c>
      <c r="O26" s="33"/>
      <c r="P26" s="33">
        <v>236.40899999999999</v>
      </c>
      <c r="Q26" s="33">
        <v>247.364</v>
      </c>
      <c r="R26" s="33">
        <v>278.86399999999998</v>
      </c>
      <c r="S26" s="33">
        <v>313.12700000000001</v>
      </c>
      <c r="T26" s="33">
        <v>322.57299999999998</v>
      </c>
    </row>
    <row r="27" spans="1:20" x14ac:dyDescent="0.3">
      <c r="A27" s="15" t="s">
        <v>191</v>
      </c>
      <c r="B27" s="33">
        <v>2.5278299999999998</v>
      </c>
      <c r="C27" s="33"/>
      <c r="D27" s="33">
        <v>4.1344599999999998</v>
      </c>
      <c r="E27" s="33">
        <v>3.2653400000000001</v>
      </c>
      <c r="F27" s="33">
        <v>0</v>
      </c>
      <c r="G27" s="33">
        <v>0</v>
      </c>
      <c r="H27" s="33">
        <v>0</v>
      </c>
      <c r="I27" s="33"/>
      <c r="J27" s="33">
        <v>5.1954000000000002</v>
      </c>
      <c r="K27" s="33">
        <v>4.1074000000000002</v>
      </c>
      <c r="L27" s="33">
        <v>0</v>
      </c>
      <c r="M27" s="33">
        <v>0</v>
      </c>
      <c r="N27" s="33">
        <v>0</v>
      </c>
      <c r="O27" s="33"/>
      <c r="P27" s="33">
        <v>6.6338499999999998</v>
      </c>
      <c r="Q27" s="33">
        <v>5.5607800000000003</v>
      </c>
      <c r="R27" s="33">
        <v>0</v>
      </c>
      <c r="S27" s="33">
        <v>0</v>
      </c>
      <c r="T27" s="33">
        <v>0</v>
      </c>
    </row>
    <row r="28" spans="1:20" x14ac:dyDescent="0.3">
      <c r="A28" s="15" t="s">
        <v>193</v>
      </c>
      <c r="B28" s="33">
        <v>5.1140300000000003E-3</v>
      </c>
      <c r="C28" s="33"/>
      <c r="D28" s="33">
        <v>4.0955399999999999E-3</v>
      </c>
      <c r="E28" s="33">
        <v>4.5197299999999996E-3</v>
      </c>
      <c r="F28" s="33">
        <v>3.5679900000000001E-3</v>
      </c>
      <c r="G28" s="33">
        <v>3.4312100000000001E-3</v>
      </c>
      <c r="H28" s="33">
        <v>4.69507E-3</v>
      </c>
      <c r="I28" s="33"/>
      <c r="J28" s="33">
        <v>2.8502099999999999E-2</v>
      </c>
      <c r="K28" s="33">
        <v>2.8141300000000001E-2</v>
      </c>
      <c r="L28" s="33">
        <v>2.8259599999999999E-2</v>
      </c>
      <c r="M28" s="33">
        <v>3.95929E-2</v>
      </c>
      <c r="N28" s="33">
        <v>5.5965599999999997E-2</v>
      </c>
      <c r="O28" s="33"/>
      <c r="P28" s="33">
        <v>6.4258499999999996E-2</v>
      </c>
      <c r="Q28" s="33">
        <v>6.9753099999999998E-2</v>
      </c>
      <c r="R28" s="33">
        <v>5.9512099999999998E-2</v>
      </c>
      <c r="S28" s="33">
        <v>5.1073800000000003E-2</v>
      </c>
      <c r="T28" s="33">
        <v>6.5994700000000003E-2</v>
      </c>
    </row>
    <row r="29" spans="1:20" ht="15" thickBot="1" x14ac:dyDescent="0.35">
      <c r="A29" s="29" t="s">
        <v>196</v>
      </c>
      <c r="B29" s="36">
        <v>64.390299999999996</v>
      </c>
      <c r="C29" s="33"/>
      <c r="D29" s="36">
        <v>154.88499999999999</v>
      </c>
      <c r="E29" s="36">
        <v>163.96799999999999</v>
      </c>
      <c r="F29" s="36">
        <v>187.22499999999999</v>
      </c>
      <c r="G29" s="36">
        <v>203.14400000000001</v>
      </c>
      <c r="H29" s="36">
        <v>216.06100000000001</v>
      </c>
      <c r="I29" s="33"/>
      <c r="J29" s="36">
        <v>176.52600000000001</v>
      </c>
      <c r="K29" s="36">
        <v>206.96899999999999</v>
      </c>
      <c r="L29" s="36">
        <v>260.03100000000001</v>
      </c>
      <c r="M29" s="36">
        <v>286.34500000000003</v>
      </c>
      <c r="N29" s="36">
        <v>302.88299999999998</v>
      </c>
      <c r="O29" s="33"/>
      <c r="P29" s="36">
        <v>243.15899999999999</v>
      </c>
      <c r="Q29" s="36">
        <v>253.041</v>
      </c>
      <c r="R29" s="36">
        <v>278.95999999999998</v>
      </c>
      <c r="S29" s="36">
        <v>313.20600000000002</v>
      </c>
      <c r="T29" s="36">
        <v>322.66399999999999</v>
      </c>
    </row>
    <row r="30" spans="1:20" ht="15" thickTop="1" x14ac:dyDescent="0.3"/>
    <row r="32" spans="1:20" ht="18" thickBot="1" x14ac:dyDescent="0.4">
      <c r="A32" s="32" t="s">
        <v>175</v>
      </c>
      <c r="B32" s="32"/>
      <c r="D32" s="32"/>
      <c r="E32" s="32"/>
      <c r="F32" s="32"/>
      <c r="G32" s="32"/>
      <c r="H32" s="32"/>
      <c r="J32" s="32"/>
      <c r="K32" s="32"/>
      <c r="L32" s="32"/>
      <c r="M32" s="32"/>
      <c r="N32" s="32"/>
      <c r="P32" s="32"/>
      <c r="Q32" s="32"/>
      <c r="R32" s="32"/>
      <c r="S32" s="32"/>
      <c r="T32" s="32"/>
    </row>
    <row r="33" spans="1:20" ht="15" thickTop="1" x14ac:dyDescent="0.3">
      <c r="A33" s="15" t="s">
        <v>190</v>
      </c>
      <c r="B33" s="33">
        <v>685.56399999999996</v>
      </c>
      <c r="C33" s="33"/>
      <c r="D33" s="33">
        <v>2791.72</v>
      </c>
      <c r="E33" s="33">
        <v>3825.6</v>
      </c>
      <c r="F33" s="33">
        <v>3674.59</v>
      </c>
      <c r="G33" s="33">
        <v>2768.2</v>
      </c>
      <c r="H33" s="33">
        <v>2215.23</v>
      </c>
      <c r="I33" s="33"/>
      <c r="J33" s="33">
        <v>3212.35</v>
      </c>
      <c r="K33" s="33">
        <v>4865.63</v>
      </c>
      <c r="L33" s="33">
        <v>5157.1000000000004</v>
      </c>
      <c r="M33" s="33">
        <v>3990.62</v>
      </c>
      <c r="N33" s="33">
        <v>3178.47</v>
      </c>
      <c r="O33" s="33"/>
      <c r="P33" s="33">
        <v>4537.46</v>
      </c>
      <c r="Q33" s="33">
        <v>6083.98</v>
      </c>
      <c r="R33" s="33">
        <v>5777.93</v>
      </c>
      <c r="S33" s="33">
        <v>4660.41</v>
      </c>
      <c r="T33" s="33">
        <v>3593.25</v>
      </c>
    </row>
    <row r="34" spans="1:20" x14ac:dyDescent="0.3">
      <c r="A34" s="15" t="s">
        <v>191</v>
      </c>
      <c r="B34" s="33">
        <v>86.618600000000001</v>
      </c>
      <c r="C34" s="33"/>
      <c r="D34" s="33">
        <v>303.45499999999998</v>
      </c>
      <c r="E34" s="33">
        <v>410.25700000000001</v>
      </c>
      <c r="F34" s="33">
        <v>540.57799999999997</v>
      </c>
      <c r="G34" s="33">
        <v>598.62900000000002</v>
      </c>
      <c r="H34" s="33">
        <v>677</v>
      </c>
      <c r="I34" s="33"/>
      <c r="J34" s="33">
        <v>381.32400000000001</v>
      </c>
      <c r="K34" s="33">
        <v>516.053</v>
      </c>
      <c r="L34" s="33">
        <v>723.15800000000002</v>
      </c>
      <c r="M34" s="33">
        <v>776.10599999999999</v>
      </c>
      <c r="N34" s="33">
        <v>871.96100000000001</v>
      </c>
      <c r="O34" s="33"/>
      <c r="P34" s="33">
        <v>486.90199999999999</v>
      </c>
      <c r="Q34" s="33">
        <v>698.65599999999995</v>
      </c>
      <c r="R34" s="33">
        <v>929.26099999999997</v>
      </c>
      <c r="S34" s="33">
        <v>981.79</v>
      </c>
      <c r="T34" s="33">
        <v>1115.71</v>
      </c>
    </row>
    <row r="35" spans="1:20" ht="15" thickBot="1" x14ac:dyDescent="0.35">
      <c r="A35" s="29" t="s">
        <v>197</v>
      </c>
      <c r="B35" s="36">
        <v>772.18200000000002</v>
      </c>
      <c r="C35" s="33"/>
      <c r="D35" s="36">
        <v>3095.18</v>
      </c>
      <c r="E35" s="36">
        <v>4235.8599999999997</v>
      </c>
      <c r="F35" s="36">
        <v>4215.16</v>
      </c>
      <c r="G35" s="36">
        <v>3366.83</v>
      </c>
      <c r="H35" s="36">
        <v>2892.23</v>
      </c>
      <c r="I35" s="33"/>
      <c r="J35" s="36">
        <v>3593.67</v>
      </c>
      <c r="K35" s="36">
        <v>5381.68</v>
      </c>
      <c r="L35" s="36">
        <v>5880.25</v>
      </c>
      <c r="M35" s="36">
        <v>4766.72</v>
      </c>
      <c r="N35" s="36">
        <v>4050.43</v>
      </c>
      <c r="O35" s="33"/>
      <c r="P35" s="36">
        <v>5024.37</v>
      </c>
      <c r="Q35" s="36">
        <v>6782.64</v>
      </c>
      <c r="R35" s="36">
        <v>6707.19</v>
      </c>
      <c r="S35" s="36">
        <v>5642.2</v>
      </c>
      <c r="T35" s="36">
        <v>4708.96</v>
      </c>
    </row>
    <row r="36" spans="1:20" ht="15" thickTop="1" x14ac:dyDescent="0.3"/>
    <row r="38" spans="1:20" ht="18" thickBot="1" x14ac:dyDescent="0.4">
      <c r="A38" s="32" t="s">
        <v>18</v>
      </c>
      <c r="B38" s="32"/>
      <c r="D38" s="32"/>
      <c r="E38" s="32"/>
      <c r="F38" s="32"/>
      <c r="G38" s="32"/>
      <c r="H38" s="32"/>
      <c r="J38" s="32"/>
      <c r="K38" s="32"/>
      <c r="L38" s="32"/>
      <c r="M38" s="32"/>
      <c r="N38" s="32"/>
      <c r="P38" s="32"/>
      <c r="Q38" s="32"/>
      <c r="R38" s="32"/>
      <c r="S38" s="32"/>
      <c r="T38" s="32"/>
    </row>
    <row r="39" spans="1:20" ht="15" thickTop="1" x14ac:dyDescent="0.3">
      <c r="A39" s="15" t="s">
        <v>190</v>
      </c>
      <c r="B39" s="33">
        <v>82.852699999999999</v>
      </c>
      <c r="C39" s="33"/>
      <c r="D39" s="33">
        <v>346.685</v>
      </c>
      <c r="E39" s="33">
        <v>581.51300000000003</v>
      </c>
      <c r="F39" s="33">
        <v>808.25400000000002</v>
      </c>
      <c r="G39" s="33">
        <v>908.76</v>
      </c>
      <c r="H39" s="33">
        <v>964.43600000000004</v>
      </c>
      <c r="I39" s="33"/>
      <c r="J39" s="33">
        <v>397.97500000000002</v>
      </c>
      <c r="K39" s="33">
        <v>737.09699999999998</v>
      </c>
      <c r="L39" s="33">
        <v>1123.77</v>
      </c>
      <c r="M39" s="33">
        <v>1283.95</v>
      </c>
      <c r="N39" s="33">
        <v>1353.29</v>
      </c>
      <c r="O39" s="33"/>
      <c r="P39" s="33">
        <v>559.74400000000003</v>
      </c>
      <c r="Q39" s="33">
        <v>908.98299999999995</v>
      </c>
      <c r="R39" s="33">
        <v>1205.81</v>
      </c>
      <c r="S39" s="33">
        <v>1410.26</v>
      </c>
      <c r="T39" s="33">
        <v>1446.84</v>
      </c>
    </row>
    <row r="40" spans="1:20" x14ac:dyDescent="0.3">
      <c r="A40" s="15" t="s">
        <v>191</v>
      </c>
      <c r="B40" s="33">
        <v>9.2195599999999995</v>
      </c>
      <c r="C40" s="33"/>
      <c r="D40" s="33">
        <v>34.8063</v>
      </c>
      <c r="E40" s="33">
        <v>45.3536</v>
      </c>
      <c r="F40" s="33">
        <v>59.387</v>
      </c>
      <c r="G40" s="33">
        <v>68.291700000000006</v>
      </c>
      <c r="H40" s="33">
        <v>76.6447</v>
      </c>
      <c r="I40" s="33"/>
      <c r="J40" s="33">
        <v>43.7378</v>
      </c>
      <c r="K40" s="33">
        <v>57.049199999999999</v>
      </c>
      <c r="L40" s="33">
        <v>79.444900000000004</v>
      </c>
      <c r="M40" s="33">
        <v>88.538300000000007</v>
      </c>
      <c r="N40" s="33">
        <v>98.7166</v>
      </c>
      <c r="O40" s="33"/>
      <c r="P40" s="33">
        <v>55.8476</v>
      </c>
      <c r="Q40" s="33">
        <v>77.235799999999998</v>
      </c>
      <c r="R40" s="33">
        <v>102.087</v>
      </c>
      <c r="S40" s="33">
        <v>112.003</v>
      </c>
      <c r="T40" s="33">
        <v>126.312</v>
      </c>
    </row>
    <row r="41" spans="1:20" ht="15" thickBot="1" x14ac:dyDescent="0.35">
      <c r="A41" s="29" t="s">
        <v>198</v>
      </c>
      <c r="B41" s="36">
        <v>92.072299999999998</v>
      </c>
      <c r="C41" s="33"/>
      <c r="D41" s="36">
        <v>381.49099999999999</v>
      </c>
      <c r="E41" s="36">
        <v>626.86599999999999</v>
      </c>
      <c r="F41" s="36">
        <v>867.64099999999996</v>
      </c>
      <c r="G41" s="36">
        <v>977.05200000000002</v>
      </c>
      <c r="H41" s="36">
        <v>1041.08</v>
      </c>
      <c r="I41" s="33"/>
      <c r="J41" s="36">
        <v>441.71300000000002</v>
      </c>
      <c r="K41" s="36">
        <v>794.14599999999996</v>
      </c>
      <c r="L41" s="36">
        <v>1203.22</v>
      </c>
      <c r="M41" s="36">
        <v>1372.49</v>
      </c>
      <c r="N41" s="36">
        <v>1452.01</v>
      </c>
      <c r="O41" s="33"/>
      <c r="P41" s="36">
        <v>615.59100000000001</v>
      </c>
      <c r="Q41" s="36">
        <v>986.21799999999996</v>
      </c>
      <c r="R41" s="36">
        <v>1307.9000000000001</v>
      </c>
      <c r="S41" s="36">
        <v>1522.27</v>
      </c>
      <c r="T41" s="36">
        <v>1573.15</v>
      </c>
    </row>
    <row r="42" spans="1:20" ht="15" thickTop="1" x14ac:dyDescent="0.3"/>
    <row r="44" spans="1:20" ht="18" thickBot="1" x14ac:dyDescent="0.4">
      <c r="A44" s="32" t="s">
        <v>19</v>
      </c>
      <c r="B44" s="32"/>
      <c r="D44" s="32"/>
      <c r="E44" s="32"/>
      <c r="F44" s="32"/>
      <c r="G44" s="32"/>
      <c r="H44" s="32"/>
      <c r="J44" s="32"/>
      <c r="K44" s="32"/>
      <c r="L44" s="32"/>
      <c r="M44" s="32"/>
      <c r="N44" s="32"/>
      <c r="P44" s="32"/>
      <c r="Q44" s="32"/>
      <c r="R44" s="32"/>
      <c r="S44" s="32"/>
      <c r="T44" s="32"/>
    </row>
    <row r="45" spans="1:20" ht="15" thickTop="1" x14ac:dyDescent="0.3">
      <c r="A45" s="15" t="s">
        <v>77</v>
      </c>
      <c r="B45" s="33">
        <v>100.485</v>
      </c>
      <c r="C45" s="33"/>
      <c r="D45" s="33">
        <v>138.59299999999999</v>
      </c>
      <c r="E45" s="33">
        <v>123.51300000000001</v>
      </c>
      <c r="F45" s="33">
        <v>108.745</v>
      </c>
      <c r="G45" s="33">
        <v>121.214</v>
      </c>
      <c r="H45" s="33">
        <v>151.898</v>
      </c>
      <c r="I45" s="33"/>
      <c r="J45" s="33">
        <v>184.56200000000001</v>
      </c>
      <c r="K45" s="33">
        <v>172.26599999999999</v>
      </c>
      <c r="L45" s="33">
        <v>171.87899999999999</v>
      </c>
      <c r="M45" s="33">
        <v>183.88300000000001</v>
      </c>
      <c r="N45" s="33">
        <v>229.892</v>
      </c>
      <c r="O45" s="33"/>
      <c r="P45" s="33">
        <v>242.8</v>
      </c>
      <c r="Q45" s="33">
        <v>262.22800000000001</v>
      </c>
      <c r="R45" s="33">
        <v>228.703</v>
      </c>
      <c r="S45" s="33">
        <v>196.61699999999999</v>
      </c>
      <c r="T45" s="33">
        <v>249.56399999999999</v>
      </c>
    </row>
    <row r="46" spans="1:20" s="34" customFormat="1" x14ac:dyDescent="0.3">
      <c r="A46" s="34" t="s">
        <v>188</v>
      </c>
      <c r="B46" s="35">
        <v>21.543999999999997</v>
      </c>
      <c r="C46" s="35"/>
      <c r="D46" s="35">
        <v>30.754000000000019</v>
      </c>
      <c r="E46" s="35">
        <v>31.157999999999987</v>
      </c>
      <c r="F46" s="35">
        <v>36.490999999999985</v>
      </c>
      <c r="G46" s="35">
        <v>37.056999999999988</v>
      </c>
      <c r="H46" s="35">
        <v>39.407000000000011</v>
      </c>
      <c r="I46" s="35"/>
      <c r="J46" s="35">
        <v>58.774000000000001</v>
      </c>
      <c r="K46" s="35">
        <v>88.334000000000032</v>
      </c>
      <c r="L46" s="35">
        <v>93.181000000000012</v>
      </c>
      <c r="M46" s="35">
        <v>84.734000000000009</v>
      </c>
      <c r="N46" s="35">
        <v>80.396000000000015</v>
      </c>
      <c r="O46" s="35"/>
      <c r="P46" s="35">
        <v>93.848000000000013</v>
      </c>
      <c r="Q46" s="35">
        <v>133.185</v>
      </c>
      <c r="R46" s="35">
        <v>128.04299999999998</v>
      </c>
      <c r="S46" s="35">
        <v>99.763000000000005</v>
      </c>
      <c r="T46" s="35">
        <v>78.680000000000035</v>
      </c>
    </row>
    <row r="47" spans="1:20" x14ac:dyDescent="0.3">
      <c r="A47" s="15" t="s">
        <v>190</v>
      </c>
      <c r="B47" s="33">
        <v>57.031599999999997</v>
      </c>
      <c r="C47" s="33"/>
      <c r="D47" s="33">
        <v>325.51100000000002</v>
      </c>
      <c r="E47" s="33">
        <v>725.71900000000005</v>
      </c>
      <c r="F47" s="33">
        <v>1187.03</v>
      </c>
      <c r="G47" s="33">
        <v>1475.5</v>
      </c>
      <c r="H47" s="33">
        <v>1854</v>
      </c>
      <c r="I47" s="33"/>
      <c r="J47" s="33">
        <v>371.68200000000002</v>
      </c>
      <c r="K47" s="33">
        <v>916.85599999999999</v>
      </c>
      <c r="L47" s="33">
        <v>1647.79</v>
      </c>
      <c r="M47" s="33">
        <v>2076.4699999999998</v>
      </c>
      <c r="N47" s="33">
        <v>2585.34</v>
      </c>
      <c r="O47" s="33"/>
      <c r="P47" s="33">
        <v>518.43399999999997</v>
      </c>
      <c r="Q47" s="33">
        <v>1121.9000000000001</v>
      </c>
      <c r="R47" s="33">
        <v>1762.73</v>
      </c>
      <c r="S47" s="33">
        <v>2258.65</v>
      </c>
      <c r="T47" s="33">
        <v>2723.17</v>
      </c>
    </row>
    <row r="48" spans="1:20" x14ac:dyDescent="0.3">
      <c r="A48" s="15" t="s">
        <v>191</v>
      </c>
      <c r="B48" s="33">
        <v>2.6613099999999998</v>
      </c>
      <c r="C48" s="33"/>
      <c r="D48" s="33">
        <v>3.85453</v>
      </c>
      <c r="E48" s="33">
        <v>3.0442499999999999</v>
      </c>
      <c r="F48" s="33">
        <v>0</v>
      </c>
      <c r="G48" s="33">
        <v>0</v>
      </c>
      <c r="H48" s="33">
        <v>0</v>
      </c>
      <c r="I48" s="33"/>
      <c r="J48" s="33">
        <v>4.8436300000000001</v>
      </c>
      <c r="K48" s="33">
        <v>3.8292999999999999</v>
      </c>
      <c r="L48" s="33">
        <v>0</v>
      </c>
      <c r="M48" s="33">
        <v>0</v>
      </c>
      <c r="N48" s="33">
        <v>0</v>
      </c>
      <c r="O48" s="33"/>
      <c r="P48" s="33">
        <v>6.1846899999999998</v>
      </c>
      <c r="Q48" s="33">
        <v>5.1842800000000002</v>
      </c>
      <c r="R48" s="33">
        <v>0</v>
      </c>
      <c r="S48" s="33">
        <v>0</v>
      </c>
      <c r="T48" s="33">
        <v>0</v>
      </c>
    </row>
    <row r="49" spans="1:20" ht="15" thickBot="1" x14ac:dyDescent="0.35">
      <c r="A49" s="29" t="s">
        <v>199</v>
      </c>
      <c r="B49" s="36">
        <v>181.72200000000001</v>
      </c>
      <c r="C49" s="33"/>
      <c r="D49" s="36">
        <v>498.71300000000002</v>
      </c>
      <c r="E49" s="36">
        <v>883.43399999999997</v>
      </c>
      <c r="F49" s="36">
        <v>1332.27</v>
      </c>
      <c r="G49" s="36">
        <v>1633.78</v>
      </c>
      <c r="H49" s="36">
        <v>2045.31</v>
      </c>
      <c r="I49" s="33"/>
      <c r="J49" s="36">
        <v>619.86099999999999</v>
      </c>
      <c r="K49" s="36">
        <v>1181.29</v>
      </c>
      <c r="L49" s="36">
        <v>1912.85</v>
      </c>
      <c r="M49" s="36">
        <v>2345.09</v>
      </c>
      <c r="N49" s="36">
        <v>2895.63</v>
      </c>
      <c r="O49" s="33"/>
      <c r="P49" s="36">
        <v>861.26700000000005</v>
      </c>
      <c r="Q49" s="36">
        <v>1522.49</v>
      </c>
      <c r="R49" s="36">
        <v>2119.48</v>
      </c>
      <c r="S49" s="36">
        <v>2555.0300000000002</v>
      </c>
      <c r="T49" s="36">
        <v>3051.42</v>
      </c>
    </row>
    <row r="50" spans="1:20" ht="15" thickTop="1" x14ac:dyDescent="0.3"/>
    <row r="52" spans="1:20" ht="18" thickBot="1" x14ac:dyDescent="0.4">
      <c r="A52" s="32" t="s">
        <v>20</v>
      </c>
      <c r="B52" s="32"/>
      <c r="D52" s="32"/>
      <c r="E52" s="32"/>
      <c r="F52" s="32"/>
      <c r="G52" s="32"/>
      <c r="H52" s="32"/>
      <c r="J52" s="32"/>
      <c r="K52" s="32"/>
      <c r="L52" s="32"/>
      <c r="M52" s="32"/>
      <c r="N52" s="32"/>
      <c r="P52" s="32"/>
      <c r="Q52" s="32"/>
      <c r="R52" s="32"/>
      <c r="S52" s="32"/>
      <c r="T52" s="32"/>
    </row>
    <row r="53" spans="1:20" ht="15" thickTop="1" x14ac:dyDescent="0.3">
      <c r="A53" s="15" t="s">
        <v>75</v>
      </c>
      <c r="B53" s="33">
        <v>0.25901099999999999</v>
      </c>
      <c r="C53" s="33"/>
      <c r="D53" s="33">
        <v>0.40853600000000001</v>
      </c>
      <c r="E53" s="33">
        <v>0.42533300000000002</v>
      </c>
      <c r="F53" s="33">
        <v>0.41571200000000003</v>
      </c>
      <c r="G53" s="33">
        <v>0.40100200000000003</v>
      </c>
      <c r="H53" s="33">
        <v>0.42277500000000001</v>
      </c>
      <c r="I53" s="33"/>
      <c r="J53" s="33">
        <v>0.487203</v>
      </c>
      <c r="K53" s="33">
        <v>0.48471799999999998</v>
      </c>
      <c r="L53" s="33">
        <v>0.44770700000000002</v>
      </c>
      <c r="M53" s="33">
        <v>0.37642500000000001</v>
      </c>
      <c r="N53" s="33">
        <v>0.41117599999999999</v>
      </c>
      <c r="O53" s="33"/>
      <c r="P53" s="33">
        <v>0.54083800000000004</v>
      </c>
      <c r="Q53" s="33">
        <v>0.53861899999999996</v>
      </c>
      <c r="R53" s="33">
        <v>0.44169599999999998</v>
      </c>
      <c r="S53" s="33">
        <v>0.29642499999999999</v>
      </c>
      <c r="T53" s="33">
        <v>0.34509099999999998</v>
      </c>
    </row>
    <row r="54" spans="1:20" x14ac:dyDescent="0.3">
      <c r="A54" s="15" t="s">
        <v>77</v>
      </c>
      <c r="B54" s="33">
        <v>13.239699999999999</v>
      </c>
      <c r="C54" s="33"/>
      <c r="D54" s="33">
        <v>18.464400000000001</v>
      </c>
      <c r="E54" s="33">
        <v>16.473099999999999</v>
      </c>
      <c r="F54" s="33">
        <v>14.5114</v>
      </c>
      <c r="G54" s="33">
        <v>16.171500000000002</v>
      </c>
      <c r="H54" s="33">
        <v>20.3216</v>
      </c>
      <c r="I54" s="33"/>
      <c r="J54" s="33">
        <v>24.552299999999999</v>
      </c>
      <c r="K54" s="33">
        <v>22.973299999999998</v>
      </c>
      <c r="L54" s="33">
        <v>22.961300000000001</v>
      </c>
      <c r="M54" s="33">
        <v>24.653400000000001</v>
      </c>
      <c r="N54" s="33">
        <v>30.843</v>
      </c>
      <c r="O54" s="33"/>
      <c r="P54" s="33">
        <v>32.351999999999997</v>
      </c>
      <c r="Q54" s="33">
        <v>34.916699999999999</v>
      </c>
      <c r="R54" s="33">
        <v>30.532800000000002</v>
      </c>
      <c r="S54" s="33">
        <v>26.333500000000001</v>
      </c>
      <c r="T54" s="33">
        <v>33.517099999999999</v>
      </c>
    </row>
    <row r="55" spans="1:20" x14ac:dyDescent="0.3">
      <c r="A55" s="34" t="s">
        <v>188</v>
      </c>
      <c r="B55" s="33">
        <v>15.370688999999999</v>
      </c>
      <c r="C55" s="35"/>
      <c r="D55" s="33">
        <v>30.667764000000002</v>
      </c>
      <c r="E55" s="33">
        <v>22.999267</v>
      </c>
      <c r="F55" s="33">
        <v>26.283187999999996</v>
      </c>
      <c r="G55" s="33">
        <v>26.378397999999997</v>
      </c>
      <c r="H55" s="33">
        <v>24.156625000000002</v>
      </c>
      <c r="I55" s="35"/>
      <c r="J55" s="33">
        <v>43.687097000000009</v>
      </c>
      <c r="K55" s="33">
        <v>38.103482</v>
      </c>
      <c r="L55" s="33">
        <v>37.966192999999997</v>
      </c>
      <c r="M55" s="33">
        <v>37.471374999999995</v>
      </c>
      <c r="N55" s="33">
        <v>43.514623999999998</v>
      </c>
      <c r="O55" s="35"/>
      <c r="P55" s="33">
        <v>71.476162000000016</v>
      </c>
      <c r="Q55" s="33">
        <v>56.589880999999998</v>
      </c>
      <c r="R55" s="33">
        <v>45.721604000000006</v>
      </c>
      <c r="S55" s="33">
        <v>36.505674999999997</v>
      </c>
      <c r="T55" s="33">
        <v>28.981509000000003</v>
      </c>
    </row>
    <row r="56" spans="1:20" ht="15" thickBot="1" x14ac:dyDescent="0.35">
      <c r="A56" s="29" t="s">
        <v>200</v>
      </c>
      <c r="B56" s="36">
        <v>28.869399999999999</v>
      </c>
      <c r="C56" s="33"/>
      <c r="D56" s="36">
        <v>49.540700000000001</v>
      </c>
      <c r="E56" s="36">
        <v>39.8977</v>
      </c>
      <c r="F56" s="36">
        <v>41.210299999999997</v>
      </c>
      <c r="G56" s="36">
        <v>42.950899999999997</v>
      </c>
      <c r="H56" s="36">
        <v>44.901000000000003</v>
      </c>
      <c r="I56" s="33"/>
      <c r="J56" s="36">
        <v>68.726600000000005</v>
      </c>
      <c r="K56" s="36">
        <v>61.561500000000002</v>
      </c>
      <c r="L56" s="36">
        <v>61.3752</v>
      </c>
      <c r="M56" s="36">
        <v>62.501199999999997</v>
      </c>
      <c r="N56" s="36">
        <v>74.768799999999999</v>
      </c>
      <c r="O56" s="33"/>
      <c r="P56" s="36">
        <v>104.369</v>
      </c>
      <c r="Q56" s="36">
        <v>92.045199999999994</v>
      </c>
      <c r="R56" s="36">
        <v>76.696100000000001</v>
      </c>
      <c r="S56" s="36">
        <v>63.135599999999997</v>
      </c>
      <c r="T56" s="36">
        <v>62.843699999999998</v>
      </c>
    </row>
    <row r="57" spans="1:20" ht="15" thickTop="1" x14ac:dyDescent="0.3"/>
    <row r="59" spans="1:20" ht="18" thickBot="1" x14ac:dyDescent="0.4">
      <c r="A59" s="32" t="s">
        <v>22</v>
      </c>
      <c r="B59" s="32"/>
      <c r="D59" s="32"/>
      <c r="E59" s="32"/>
      <c r="F59" s="32"/>
      <c r="G59" s="32"/>
      <c r="H59" s="32"/>
      <c r="J59" s="32"/>
      <c r="K59" s="32"/>
      <c r="L59" s="32"/>
      <c r="M59" s="32"/>
      <c r="N59" s="32"/>
      <c r="P59" s="32"/>
      <c r="Q59" s="32"/>
      <c r="R59" s="32"/>
      <c r="S59" s="32"/>
      <c r="T59" s="32"/>
    </row>
    <row r="60" spans="1:20" ht="15" thickTop="1" x14ac:dyDescent="0.3">
      <c r="A60" s="15" t="s">
        <v>75</v>
      </c>
      <c r="B60" s="33">
        <v>0.434666</v>
      </c>
      <c r="C60" s="33"/>
      <c r="D60" s="33">
        <v>0.61758000000000002</v>
      </c>
      <c r="E60" s="33">
        <v>0.63360899999999998</v>
      </c>
      <c r="F60" s="33">
        <v>0.62449500000000002</v>
      </c>
      <c r="G60" s="33">
        <v>0.65139599999999998</v>
      </c>
      <c r="H60" s="33">
        <v>0.71128499999999995</v>
      </c>
      <c r="I60" s="33"/>
      <c r="J60" s="33">
        <v>0.781281</v>
      </c>
      <c r="K60" s="33">
        <v>0.81429399999999996</v>
      </c>
      <c r="L60" s="33">
        <v>0.77411300000000005</v>
      </c>
      <c r="M60" s="33">
        <v>0.74236400000000002</v>
      </c>
      <c r="N60" s="33">
        <v>0.88731499999999996</v>
      </c>
      <c r="O60" s="33"/>
      <c r="P60" s="33">
        <v>0.99013499999999999</v>
      </c>
      <c r="Q60" s="33">
        <v>1.0319700000000001</v>
      </c>
      <c r="R60" s="33">
        <v>0.87080800000000003</v>
      </c>
      <c r="S60" s="33">
        <v>0.70707799999999998</v>
      </c>
      <c r="T60" s="33">
        <v>0.89351100000000006</v>
      </c>
    </row>
    <row r="61" spans="1:20" x14ac:dyDescent="0.3">
      <c r="A61" s="15" t="s">
        <v>77</v>
      </c>
      <c r="B61" s="33">
        <v>45.739199999999997</v>
      </c>
      <c r="C61" s="33"/>
      <c r="D61" s="33">
        <v>60.2136</v>
      </c>
      <c r="E61" s="33">
        <v>53.950800000000001</v>
      </c>
      <c r="F61" s="33">
        <v>47.970500000000001</v>
      </c>
      <c r="G61" s="33">
        <v>53.245800000000003</v>
      </c>
      <c r="H61" s="33">
        <v>65.282899999999998</v>
      </c>
      <c r="I61" s="33"/>
      <c r="J61" s="33">
        <v>80.694400000000002</v>
      </c>
      <c r="K61" s="33">
        <v>75.278899999999993</v>
      </c>
      <c r="L61" s="33">
        <v>75.38</v>
      </c>
      <c r="M61" s="33">
        <v>78.502099999999999</v>
      </c>
      <c r="N61" s="33">
        <v>97.0578</v>
      </c>
      <c r="O61" s="33"/>
      <c r="P61" s="33">
        <v>105.425</v>
      </c>
      <c r="Q61" s="33">
        <v>115.437</v>
      </c>
      <c r="R61" s="33">
        <v>100.648</v>
      </c>
      <c r="S61" s="33">
        <v>84.446600000000004</v>
      </c>
      <c r="T61" s="33">
        <v>104.66800000000001</v>
      </c>
    </row>
    <row r="62" spans="1:20" x14ac:dyDescent="0.3">
      <c r="A62" s="34" t="s">
        <v>188</v>
      </c>
      <c r="B62" s="33">
        <v>119.19613400000001</v>
      </c>
      <c r="C62" s="35"/>
      <c r="D62" s="33">
        <v>317.81282000000004</v>
      </c>
      <c r="E62" s="33">
        <v>237.831591</v>
      </c>
      <c r="F62" s="33">
        <v>276.60400499999997</v>
      </c>
      <c r="G62" s="33">
        <v>235.75380400000003</v>
      </c>
      <c r="H62" s="33">
        <v>203.10781500000002</v>
      </c>
      <c r="I62" s="35"/>
      <c r="J62" s="33">
        <v>478.25831900000003</v>
      </c>
      <c r="K62" s="33">
        <v>412.30980599999998</v>
      </c>
      <c r="L62" s="33">
        <v>409.54588699999999</v>
      </c>
      <c r="M62" s="33">
        <v>373.90753599999999</v>
      </c>
      <c r="N62" s="33">
        <v>461.88988500000011</v>
      </c>
      <c r="O62" s="35"/>
      <c r="P62" s="33">
        <v>759.81886500000007</v>
      </c>
      <c r="Q62" s="33">
        <v>613.73302999999999</v>
      </c>
      <c r="R62" s="33">
        <v>492.49219199999993</v>
      </c>
      <c r="S62" s="33">
        <v>374.444322</v>
      </c>
      <c r="T62" s="33">
        <v>279.14648900000003</v>
      </c>
    </row>
    <row r="63" spans="1:20" x14ac:dyDescent="0.3">
      <c r="A63" s="15" t="s">
        <v>190</v>
      </c>
      <c r="B63" s="33">
        <v>299.26799999999997</v>
      </c>
      <c r="C63" s="33"/>
      <c r="D63" s="33">
        <v>1184.46</v>
      </c>
      <c r="E63" s="33">
        <v>1759.43</v>
      </c>
      <c r="F63" s="33">
        <v>2081.34</v>
      </c>
      <c r="G63" s="33">
        <v>1997.76</v>
      </c>
      <c r="H63" s="33">
        <v>1799.25</v>
      </c>
      <c r="I63" s="33"/>
      <c r="J63" s="33">
        <v>1338</v>
      </c>
      <c r="K63" s="33">
        <v>2203.66</v>
      </c>
      <c r="L63" s="33">
        <v>2862.48</v>
      </c>
      <c r="M63" s="33">
        <v>2784.5</v>
      </c>
      <c r="N63" s="33">
        <v>2508.12</v>
      </c>
      <c r="O63" s="33"/>
      <c r="P63" s="33">
        <v>1825.34</v>
      </c>
      <c r="Q63" s="33">
        <v>2590.0100000000002</v>
      </c>
      <c r="R63" s="33">
        <v>2921.33</v>
      </c>
      <c r="S63" s="33">
        <v>2933.51</v>
      </c>
      <c r="T63" s="33">
        <v>2634.18</v>
      </c>
    </row>
    <row r="64" spans="1:20" x14ac:dyDescent="0.3">
      <c r="A64" s="15" t="s">
        <v>191</v>
      </c>
      <c r="B64" s="33">
        <v>12.1058</v>
      </c>
      <c r="C64" s="33"/>
      <c r="D64" s="33">
        <v>17.571000000000002</v>
      </c>
      <c r="E64" s="33">
        <v>14.822699999999999</v>
      </c>
      <c r="F64" s="33">
        <v>0</v>
      </c>
      <c r="G64" s="33">
        <v>0</v>
      </c>
      <c r="H64" s="33">
        <v>0</v>
      </c>
      <c r="I64" s="33"/>
      <c r="J64" s="33">
        <v>22.079899999999999</v>
      </c>
      <c r="K64" s="33">
        <v>18.645099999999999</v>
      </c>
      <c r="L64" s="33">
        <v>0</v>
      </c>
      <c r="M64" s="33">
        <v>0</v>
      </c>
      <c r="N64" s="33">
        <v>0</v>
      </c>
      <c r="O64" s="33"/>
      <c r="P64" s="33">
        <v>28.193100000000001</v>
      </c>
      <c r="Q64" s="33">
        <v>25.242599999999999</v>
      </c>
      <c r="R64" s="33">
        <v>0</v>
      </c>
      <c r="S64" s="33">
        <v>0</v>
      </c>
      <c r="T64" s="33">
        <v>0</v>
      </c>
    </row>
    <row r="65" spans="1:20" x14ac:dyDescent="0.3">
      <c r="A65" s="15" t="s">
        <v>193</v>
      </c>
      <c r="B65" s="33">
        <v>0.95534600000000003</v>
      </c>
      <c r="C65" s="33"/>
      <c r="D65" s="33">
        <v>4.7149299999999998</v>
      </c>
      <c r="E65" s="33">
        <v>5.1928700000000001</v>
      </c>
      <c r="F65" s="33">
        <v>4.0925799999999999</v>
      </c>
      <c r="G65" s="33">
        <v>3.92909</v>
      </c>
      <c r="H65" s="33">
        <v>5.3672300000000002</v>
      </c>
      <c r="I65" s="33"/>
      <c r="J65" s="33">
        <v>32.812600000000003</v>
      </c>
      <c r="K65" s="33">
        <v>32.3324</v>
      </c>
      <c r="L65" s="33">
        <v>32.414499999999997</v>
      </c>
      <c r="M65" s="33">
        <v>45.337899999999998</v>
      </c>
      <c r="N65" s="33">
        <v>63.977800000000002</v>
      </c>
      <c r="O65" s="33"/>
      <c r="P65" s="33">
        <v>73.976699999999994</v>
      </c>
      <c r="Q65" s="33">
        <v>80.141599999999997</v>
      </c>
      <c r="R65" s="33">
        <v>68.261799999999994</v>
      </c>
      <c r="S65" s="33">
        <v>58.484699999999997</v>
      </c>
      <c r="T65" s="33">
        <v>75.442800000000005</v>
      </c>
    </row>
    <row r="66" spans="1:20" ht="15" thickBot="1" x14ac:dyDescent="0.35">
      <c r="A66" s="29" t="s">
        <v>201</v>
      </c>
      <c r="B66" s="36">
        <v>477.69900000000001</v>
      </c>
      <c r="C66" s="33"/>
      <c r="D66" s="36">
        <v>1585.39</v>
      </c>
      <c r="E66" s="36">
        <v>2071.87</v>
      </c>
      <c r="F66" s="36">
        <v>2410.63</v>
      </c>
      <c r="G66" s="36">
        <v>2291.34</v>
      </c>
      <c r="H66" s="36">
        <v>2073.7199999999998</v>
      </c>
      <c r="I66" s="33"/>
      <c r="J66" s="36">
        <v>1952.62</v>
      </c>
      <c r="K66" s="36">
        <v>2743.04</v>
      </c>
      <c r="L66" s="36">
        <v>3380.6</v>
      </c>
      <c r="M66" s="36">
        <v>3282.99</v>
      </c>
      <c r="N66" s="36">
        <v>3131.94</v>
      </c>
      <c r="O66" s="33"/>
      <c r="P66" s="36">
        <v>2793.75</v>
      </c>
      <c r="Q66" s="36">
        <v>3425.6</v>
      </c>
      <c r="R66" s="36">
        <v>3583.6</v>
      </c>
      <c r="S66" s="36">
        <v>3451.59</v>
      </c>
      <c r="T66" s="36">
        <v>3094.33</v>
      </c>
    </row>
    <row r="67" spans="1:20" ht="15" thickTop="1" x14ac:dyDescent="0.3"/>
    <row r="69" spans="1:20" ht="18" thickBot="1" x14ac:dyDescent="0.4">
      <c r="A69" s="32" t="s">
        <v>202</v>
      </c>
      <c r="B69" s="32"/>
      <c r="D69" s="32"/>
      <c r="E69" s="32"/>
      <c r="F69" s="32"/>
      <c r="G69" s="32"/>
      <c r="H69" s="32"/>
      <c r="J69" s="32"/>
      <c r="K69" s="32"/>
      <c r="L69" s="32"/>
      <c r="M69" s="32"/>
      <c r="N69" s="32"/>
      <c r="P69" s="32"/>
      <c r="Q69" s="32"/>
      <c r="R69" s="32"/>
      <c r="S69" s="32"/>
      <c r="T69" s="32"/>
    </row>
    <row r="70" spans="1:20" ht="15" thickTop="1" x14ac:dyDescent="0.3">
      <c r="A70" s="15" t="s">
        <v>193</v>
      </c>
      <c r="B70" s="37">
        <v>9.7736599999999991E-4</v>
      </c>
      <c r="C70" s="33"/>
      <c r="D70" s="37">
        <v>6.6880300000000002E-3</v>
      </c>
      <c r="E70" s="37">
        <v>9.7800999999999999E-3</v>
      </c>
      <c r="F70" s="37">
        <v>1.3460700000000001E-2</v>
      </c>
      <c r="G70" s="37">
        <v>1.50755E-2</v>
      </c>
      <c r="H70" s="37">
        <v>1.54504E-2</v>
      </c>
      <c r="I70" s="33"/>
      <c r="J70" s="37">
        <v>1.73052E-2</v>
      </c>
      <c r="K70" s="37">
        <v>3.98955E-2</v>
      </c>
      <c r="L70" s="37">
        <v>6.6823999999999995E-2</v>
      </c>
      <c r="M70" s="37">
        <v>7.3071800000000006E-2</v>
      </c>
      <c r="N70" s="37">
        <v>6.7620399999999997E-2</v>
      </c>
      <c r="O70" s="33"/>
      <c r="P70" s="37">
        <v>3.20545E-2</v>
      </c>
      <c r="Q70" s="37">
        <v>6.0859099999999999E-2</v>
      </c>
      <c r="R70" s="37">
        <v>9.1245499999999993E-2</v>
      </c>
      <c r="S70" s="37">
        <v>9.8639500000000005E-2</v>
      </c>
      <c r="T70" s="37">
        <v>8.7478E-2</v>
      </c>
    </row>
    <row r="71" spans="1:20" ht="15" thickBot="1" x14ac:dyDescent="0.35">
      <c r="A71" s="29" t="s">
        <v>203</v>
      </c>
      <c r="B71" s="38">
        <v>9.7736599999999991E-4</v>
      </c>
      <c r="C71" s="33"/>
      <c r="D71" s="38">
        <v>6.6880300000000002E-3</v>
      </c>
      <c r="E71" s="38">
        <v>9.7800999999999999E-3</v>
      </c>
      <c r="F71" s="38">
        <v>1.3460700000000001E-2</v>
      </c>
      <c r="G71" s="38">
        <v>1.50755E-2</v>
      </c>
      <c r="H71" s="38">
        <v>1.54504E-2</v>
      </c>
      <c r="I71" s="33"/>
      <c r="J71" s="38">
        <v>1.73052E-2</v>
      </c>
      <c r="K71" s="38">
        <v>3.98955E-2</v>
      </c>
      <c r="L71" s="38">
        <v>6.6823999999999995E-2</v>
      </c>
      <c r="M71" s="38">
        <v>7.3071800000000006E-2</v>
      </c>
      <c r="N71" s="38">
        <v>6.7620399999999997E-2</v>
      </c>
      <c r="O71" s="33"/>
      <c r="P71" s="38">
        <v>3.20545E-2</v>
      </c>
      <c r="Q71" s="38">
        <v>6.0859099999999999E-2</v>
      </c>
      <c r="R71" s="38">
        <v>9.1245499999999993E-2</v>
      </c>
      <c r="S71" s="38">
        <v>9.8639500000000005E-2</v>
      </c>
      <c r="T71" s="38">
        <v>8.7478E-2</v>
      </c>
    </row>
    <row r="72" spans="1:20" ht="15" thickTop="1" x14ac:dyDescent="0.3"/>
    <row r="74" spans="1:20" ht="18" thickBot="1" x14ac:dyDescent="0.4">
      <c r="A74" s="32" t="s">
        <v>27</v>
      </c>
      <c r="B74" s="32"/>
      <c r="D74" s="32"/>
      <c r="E74" s="32"/>
      <c r="F74" s="32"/>
      <c r="G74" s="32"/>
      <c r="H74" s="32"/>
      <c r="J74" s="32"/>
      <c r="K74" s="32"/>
      <c r="L74" s="32"/>
      <c r="M74" s="32"/>
      <c r="N74" s="32"/>
      <c r="P74" s="32"/>
      <c r="Q74" s="32"/>
      <c r="R74" s="32"/>
      <c r="S74" s="32"/>
      <c r="T74" s="32"/>
    </row>
    <row r="75" spans="1:20" ht="15" thickTop="1" x14ac:dyDescent="0.3">
      <c r="A75" s="15" t="s">
        <v>75</v>
      </c>
      <c r="B75" s="33">
        <v>1109.9100000000001</v>
      </c>
      <c r="C75" s="33"/>
      <c r="D75" s="33">
        <v>1183.53</v>
      </c>
      <c r="E75" s="33">
        <v>1152.6500000000001</v>
      </c>
      <c r="F75" s="33">
        <v>1078.31</v>
      </c>
      <c r="G75" s="33">
        <v>1081.8800000000001</v>
      </c>
      <c r="H75" s="33">
        <v>1137.1199999999999</v>
      </c>
      <c r="I75" s="33"/>
      <c r="J75" s="33">
        <v>1483.77</v>
      </c>
      <c r="K75" s="33">
        <v>1445.91</v>
      </c>
      <c r="L75" s="33">
        <v>1314.67</v>
      </c>
      <c r="M75" s="33">
        <v>1212.54</v>
      </c>
      <c r="N75" s="33">
        <v>1393.01</v>
      </c>
      <c r="O75" s="33"/>
      <c r="P75" s="33">
        <v>1848.56</v>
      </c>
      <c r="Q75" s="33">
        <v>1793.05</v>
      </c>
      <c r="R75" s="33">
        <v>1446.98</v>
      </c>
      <c r="S75" s="33">
        <v>1106.55</v>
      </c>
      <c r="T75" s="33">
        <v>1334.16</v>
      </c>
    </row>
    <row r="76" spans="1:20" x14ac:dyDescent="0.3">
      <c r="A76" s="15" t="s">
        <v>190</v>
      </c>
      <c r="B76" s="33">
        <v>15.952999999999999</v>
      </c>
      <c r="C76" s="33"/>
      <c r="D76" s="33">
        <v>113.16</v>
      </c>
      <c r="E76" s="33">
        <v>301.92099999999999</v>
      </c>
      <c r="F76" s="33">
        <v>443.77600000000001</v>
      </c>
      <c r="G76" s="33">
        <v>616.423</v>
      </c>
      <c r="H76" s="33">
        <v>769.38800000000003</v>
      </c>
      <c r="I76" s="33"/>
      <c r="J76" s="33">
        <v>128.27199999999999</v>
      </c>
      <c r="K76" s="33">
        <v>379.892</v>
      </c>
      <c r="L76" s="33">
        <v>613.62099999999998</v>
      </c>
      <c r="M76" s="33">
        <v>863.13699999999994</v>
      </c>
      <c r="N76" s="33">
        <v>1069.81</v>
      </c>
      <c r="O76" s="33"/>
      <c r="P76" s="33">
        <v>176.042</v>
      </c>
      <c r="Q76" s="33">
        <v>453.04899999999998</v>
      </c>
      <c r="R76" s="33">
        <v>640.50900000000001</v>
      </c>
      <c r="S76" s="33">
        <v>920.29600000000005</v>
      </c>
      <c r="T76" s="33">
        <v>1116.72</v>
      </c>
    </row>
    <row r="77" spans="1:20" x14ac:dyDescent="0.3">
      <c r="A77" s="15" t="s">
        <v>191</v>
      </c>
      <c r="B77" s="33">
        <v>0.23835400000000001</v>
      </c>
      <c r="C77" s="33"/>
      <c r="D77" s="33">
        <v>3.2341199999999999</v>
      </c>
      <c r="E77" s="33">
        <v>5.7933300000000001</v>
      </c>
      <c r="F77" s="33">
        <v>10.277200000000001</v>
      </c>
      <c r="G77" s="33">
        <v>14.6061</v>
      </c>
      <c r="H77" s="33">
        <v>17.653600000000001</v>
      </c>
      <c r="I77" s="33"/>
      <c r="J77" s="33">
        <v>4.0640200000000002</v>
      </c>
      <c r="K77" s="33">
        <v>7.2872899999999996</v>
      </c>
      <c r="L77" s="33">
        <v>13.7484</v>
      </c>
      <c r="M77" s="33">
        <v>18.936399999999999</v>
      </c>
      <c r="N77" s="33">
        <v>22.737400000000001</v>
      </c>
      <c r="O77" s="33"/>
      <c r="P77" s="33">
        <v>5.1892300000000002</v>
      </c>
      <c r="Q77" s="33">
        <v>9.8658699999999993</v>
      </c>
      <c r="R77" s="33">
        <v>17.666699999999999</v>
      </c>
      <c r="S77" s="33">
        <v>23.954899999999999</v>
      </c>
      <c r="T77" s="33">
        <v>29.093599999999999</v>
      </c>
    </row>
    <row r="78" spans="1:20" ht="15" thickBot="1" x14ac:dyDescent="0.35">
      <c r="A78" s="29" t="s">
        <v>204</v>
      </c>
      <c r="B78" s="36">
        <v>1126.1099999999999</v>
      </c>
      <c r="C78" s="33"/>
      <c r="D78" s="36">
        <v>1299.93</v>
      </c>
      <c r="E78" s="36">
        <v>1460.37</v>
      </c>
      <c r="F78" s="36">
        <v>1532.36</v>
      </c>
      <c r="G78" s="36">
        <v>1712.91</v>
      </c>
      <c r="H78" s="36">
        <v>1924.16</v>
      </c>
      <c r="I78" s="33"/>
      <c r="J78" s="36">
        <v>1616.11</v>
      </c>
      <c r="K78" s="36">
        <v>1833.09</v>
      </c>
      <c r="L78" s="36">
        <v>1942.04</v>
      </c>
      <c r="M78" s="36">
        <v>2094.61</v>
      </c>
      <c r="N78" s="36">
        <v>2485.5500000000002</v>
      </c>
      <c r="O78" s="33"/>
      <c r="P78" s="36">
        <v>2029.79</v>
      </c>
      <c r="Q78" s="36">
        <v>2255.9699999999998</v>
      </c>
      <c r="R78" s="36">
        <v>2105.16</v>
      </c>
      <c r="S78" s="36">
        <v>2050.8000000000002</v>
      </c>
      <c r="T78" s="36">
        <v>2479.98</v>
      </c>
    </row>
    <row r="79" spans="1:20" ht="15" thickTop="1" x14ac:dyDescent="0.3"/>
    <row r="81" spans="1:20" ht="18" thickBot="1" x14ac:dyDescent="0.4">
      <c r="A81" s="32" t="s">
        <v>28</v>
      </c>
      <c r="B81" s="32"/>
      <c r="D81" s="32"/>
      <c r="E81" s="32"/>
      <c r="F81" s="32"/>
      <c r="G81" s="32"/>
      <c r="H81" s="32"/>
      <c r="J81" s="32"/>
      <c r="K81" s="32"/>
      <c r="L81" s="32"/>
      <c r="M81" s="32"/>
      <c r="N81" s="32"/>
      <c r="P81" s="32"/>
      <c r="Q81" s="32"/>
      <c r="R81" s="32"/>
      <c r="S81" s="32"/>
      <c r="T81" s="32"/>
    </row>
    <row r="82" spans="1:20" ht="15" thickTop="1" x14ac:dyDescent="0.3">
      <c r="A82" s="15" t="s">
        <v>75</v>
      </c>
      <c r="B82" s="33">
        <v>6.4241999999999999</v>
      </c>
      <c r="C82" s="33"/>
      <c r="D82" s="33">
        <v>7.3526899999999999</v>
      </c>
      <c r="E82" s="33">
        <v>6.2517800000000001</v>
      </c>
      <c r="F82" s="33">
        <v>4.8923899999999998</v>
      </c>
      <c r="G82" s="33">
        <v>3.7840699999999998</v>
      </c>
      <c r="H82" s="33">
        <v>2.6888800000000002</v>
      </c>
      <c r="I82" s="33"/>
      <c r="J82" s="33">
        <v>9.09666</v>
      </c>
      <c r="K82" s="33">
        <v>7.6465500000000004</v>
      </c>
      <c r="L82" s="33">
        <v>5.4924400000000002</v>
      </c>
      <c r="M82" s="33">
        <v>3.5386799999999998</v>
      </c>
      <c r="N82" s="33">
        <v>2.1211199999999999</v>
      </c>
      <c r="O82" s="33"/>
      <c r="P82" s="33">
        <v>11.494400000000001</v>
      </c>
      <c r="Q82" s="33">
        <v>9.5584199999999999</v>
      </c>
      <c r="R82" s="33">
        <v>5.94428</v>
      </c>
      <c r="S82" s="33">
        <v>3.0464899999999999</v>
      </c>
      <c r="T82" s="33">
        <v>1.50427</v>
      </c>
    </row>
    <row r="83" spans="1:20" x14ac:dyDescent="0.3">
      <c r="A83" s="34" t="s">
        <v>188</v>
      </c>
      <c r="B83" s="33">
        <v>4.7439999999999927E-2</v>
      </c>
      <c r="C83" s="35"/>
      <c r="D83" s="33">
        <v>5.2080000000000126E-2</v>
      </c>
      <c r="E83" s="33">
        <v>6.2579999999999636E-2</v>
      </c>
      <c r="F83" s="33">
        <v>6.9550000000000445E-2</v>
      </c>
      <c r="G83" s="33">
        <v>7.4590000000000156E-2</v>
      </c>
      <c r="H83" s="33">
        <v>8.2409999999999872E-2</v>
      </c>
      <c r="I83" s="35"/>
      <c r="J83" s="33">
        <v>0.12044999999999995</v>
      </c>
      <c r="K83" s="33">
        <v>0.22486999999999924</v>
      </c>
      <c r="L83" s="33">
        <v>0.22978999999999949</v>
      </c>
      <c r="M83" s="33">
        <v>0.20419000000000009</v>
      </c>
      <c r="N83" s="33">
        <v>0.17478000000000016</v>
      </c>
      <c r="O83" s="35"/>
      <c r="P83" s="33">
        <v>0.17619999999999969</v>
      </c>
      <c r="Q83" s="33">
        <v>0.33196000000000048</v>
      </c>
      <c r="R83" s="33">
        <v>0.3269700000000002</v>
      </c>
      <c r="S83" s="33">
        <v>0.25326000000000004</v>
      </c>
      <c r="T83" s="33">
        <v>0.1996</v>
      </c>
    </row>
    <row r="84" spans="1:20" ht="15" thickBot="1" x14ac:dyDescent="0.35">
      <c r="A84" s="29" t="s">
        <v>205</v>
      </c>
      <c r="B84" s="36">
        <v>6.4716399999999998</v>
      </c>
      <c r="C84" s="33"/>
      <c r="D84" s="36">
        <v>7.4047700000000001</v>
      </c>
      <c r="E84" s="36">
        <v>6.3143599999999998</v>
      </c>
      <c r="F84" s="36">
        <v>4.9619400000000002</v>
      </c>
      <c r="G84" s="36">
        <v>3.85866</v>
      </c>
      <c r="H84" s="36">
        <v>2.77129</v>
      </c>
      <c r="I84" s="33"/>
      <c r="J84" s="36">
        <v>9.2171099999999999</v>
      </c>
      <c r="K84" s="36">
        <v>7.8714199999999996</v>
      </c>
      <c r="L84" s="36">
        <v>5.7222299999999997</v>
      </c>
      <c r="M84" s="36">
        <v>3.7428699999999999</v>
      </c>
      <c r="N84" s="36">
        <v>2.2959000000000001</v>
      </c>
      <c r="O84" s="33"/>
      <c r="P84" s="36">
        <v>11.6706</v>
      </c>
      <c r="Q84" s="36">
        <v>9.8903800000000004</v>
      </c>
      <c r="R84" s="36">
        <v>6.2712500000000002</v>
      </c>
      <c r="S84" s="36">
        <v>3.29975</v>
      </c>
      <c r="T84" s="36">
        <v>1.70387</v>
      </c>
    </row>
    <row r="85" spans="1:20" ht="15" thickTop="1" x14ac:dyDescent="0.3"/>
    <row r="87" spans="1:20" ht="18" thickBot="1" x14ac:dyDescent="0.4">
      <c r="A87" s="32" t="s">
        <v>34</v>
      </c>
      <c r="B87" s="32"/>
      <c r="D87" s="32"/>
      <c r="E87" s="32"/>
      <c r="F87" s="32"/>
      <c r="G87" s="32"/>
      <c r="H87" s="32"/>
      <c r="J87" s="32"/>
      <c r="K87" s="32"/>
      <c r="L87" s="32"/>
      <c r="M87" s="32"/>
      <c r="N87" s="32"/>
      <c r="P87" s="32"/>
      <c r="Q87" s="32"/>
      <c r="R87" s="32"/>
      <c r="S87" s="32"/>
      <c r="T87" s="32"/>
    </row>
    <row r="88" spans="1:20" ht="15" thickTop="1" x14ac:dyDescent="0.3">
      <c r="A88" s="15" t="s">
        <v>75</v>
      </c>
      <c r="B88" s="33">
        <v>10.452299999999999</v>
      </c>
      <c r="C88" s="33"/>
      <c r="D88" s="33">
        <v>14.926399999999999</v>
      </c>
      <c r="E88" s="33">
        <v>15.3781</v>
      </c>
      <c r="F88" s="33">
        <v>15.2326</v>
      </c>
      <c r="G88" s="33">
        <v>15.9503</v>
      </c>
      <c r="H88" s="33">
        <v>17.4862</v>
      </c>
      <c r="I88" s="33"/>
      <c r="J88" s="33">
        <v>18.8886</v>
      </c>
      <c r="K88" s="33">
        <v>19.779900000000001</v>
      </c>
      <c r="L88" s="33">
        <v>18.897099999999998</v>
      </c>
      <c r="M88" s="33">
        <v>18.194400000000002</v>
      </c>
      <c r="N88" s="33">
        <v>21.835899999999999</v>
      </c>
      <c r="O88" s="33"/>
      <c r="P88" s="33">
        <v>23.9678</v>
      </c>
      <c r="Q88" s="33">
        <v>25.097799999999999</v>
      </c>
      <c r="R88" s="33">
        <v>21.2805</v>
      </c>
      <c r="S88" s="33">
        <v>17.351900000000001</v>
      </c>
      <c r="T88" s="33">
        <v>22.0031</v>
      </c>
    </row>
    <row r="89" spans="1:20" x14ac:dyDescent="0.3">
      <c r="A89" s="15" t="s">
        <v>77</v>
      </c>
      <c r="B89" s="33">
        <v>704.62699999999995</v>
      </c>
      <c r="C89" s="33"/>
      <c r="D89" s="33">
        <v>970.20299999999997</v>
      </c>
      <c r="E89" s="33">
        <v>864.49199999999996</v>
      </c>
      <c r="F89" s="33">
        <v>761.06200000000001</v>
      </c>
      <c r="G89" s="33">
        <v>848.36500000000001</v>
      </c>
      <c r="H89" s="33">
        <v>1062.6600000000001</v>
      </c>
      <c r="I89" s="33"/>
      <c r="J89" s="33">
        <v>1292.29</v>
      </c>
      <c r="K89" s="33">
        <v>1205.74</v>
      </c>
      <c r="L89" s="33">
        <v>1202.72</v>
      </c>
      <c r="M89" s="33">
        <v>1286</v>
      </c>
      <c r="N89" s="33">
        <v>1607.59</v>
      </c>
      <c r="O89" s="33"/>
      <c r="P89" s="33">
        <v>1699.65</v>
      </c>
      <c r="Q89" s="33">
        <v>1835.85</v>
      </c>
      <c r="R89" s="33">
        <v>1600.5</v>
      </c>
      <c r="S89" s="33">
        <v>1375.27</v>
      </c>
      <c r="T89" s="33">
        <v>1744.87</v>
      </c>
    </row>
    <row r="90" spans="1:20" x14ac:dyDescent="0.3">
      <c r="A90" s="34" t="s">
        <v>188</v>
      </c>
      <c r="B90" s="33">
        <v>15.886700000000019</v>
      </c>
      <c r="C90" s="35"/>
      <c r="D90" s="33">
        <v>18.990600000000086</v>
      </c>
      <c r="E90" s="33">
        <v>15.812900000000013</v>
      </c>
      <c r="F90" s="33">
        <v>17.798399999999901</v>
      </c>
      <c r="G90" s="33">
        <v>22.690699999999993</v>
      </c>
      <c r="H90" s="33">
        <v>24.063799999999901</v>
      </c>
      <c r="I90" s="35"/>
      <c r="J90" s="33">
        <v>28.18139999999994</v>
      </c>
      <c r="K90" s="33">
        <v>35.300099999999929</v>
      </c>
      <c r="L90" s="33">
        <v>36.552900000000136</v>
      </c>
      <c r="M90" s="33">
        <v>37.535599999999931</v>
      </c>
      <c r="N90" s="33">
        <v>34.714100000000144</v>
      </c>
      <c r="O90" s="35"/>
      <c r="P90" s="33">
        <v>46.892200000000003</v>
      </c>
      <c r="Q90" s="33">
        <v>52.812200000000075</v>
      </c>
      <c r="R90" s="33">
        <v>48.449499999999944</v>
      </c>
      <c r="S90" s="33">
        <v>39.958099999999831</v>
      </c>
      <c r="T90" s="33">
        <v>33.866900000000214</v>
      </c>
    </row>
    <row r="91" spans="1:20" ht="15" thickBot="1" x14ac:dyDescent="0.35">
      <c r="A91" s="29" t="s">
        <v>206</v>
      </c>
      <c r="B91" s="36">
        <v>730.96600000000001</v>
      </c>
      <c r="C91" s="33"/>
      <c r="D91" s="36">
        <v>1004.12</v>
      </c>
      <c r="E91" s="36">
        <v>895.68299999999999</v>
      </c>
      <c r="F91" s="36">
        <v>794.09299999999996</v>
      </c>
      <c r="G91" s="36">
        <v>887.00599999999997</v>
      </c>
      <c r="H91" s="36">
        <v>1104.21</v>
      </c>
      <c r="I91" s="33"/>
      <c r="J91" s="36">
        <v>1339.36</v>
      </c>
      <c r="K91" s="36">
        <v>1260.82</v>
      </c>
      <c r="L91" s="36">
        <v>1258.17</v>
      </c>
      <c r="M91" s="36">
        <v>1341.73</v>
      </c>
      <c r="N91" s="36">
        <v>1664.14</v>
      </c>
      <c r="O91" s="33"/>
      <c r="P91" s="36">
        <v>1770.51</v>
      </c>
      <c r="Q91" s="36">
        <v>1913.76</v>
      </c>
      <c r="R91" s="36">
        <v>1670.23</v>
      </c>
      <c r="S91" s="36">
        <v>1432.58</v>
      </c>
      <c r="T91" s="36">
        <v>1800.74</v>
      </c>
    </row>
    <row r="92" spans="1:20" ht="15" thickTop="1" x14ac:dyDescent="0.3"/>
    <row r="94" spans="1:20" ht="18" thickBot="1" x14ac:dyDescent="0.4">
      <c r="A94" s="32" t="s">
        <v>21</v>
      </c>
      <c r="B94" s="32"/>
      <c r="D94" s="32"/>
      <c r="E94" s="32"/>
      <c r="F94" s="32"/>
      <c r="G94" s="32"/>
      <c r="H94" s="32"/>
      <c r="J94" s="32"/>
      <c r="K94" s="32"/>
      <c r="L94" s="32"/>
      <c r="M94" s="32"/>
      <c r="N94" s="32"/>
      <c r="P94" s="32"/>
      <c r="Q94" s="32"/>
      <c r="R94" s="32"/>
      <c r="S94" s="32"/>
      <c r="T94" s="32"/>
    </row>
    <row r="95" spans="1:20" ht="15" thickTop="1" x14ac:dyDescent="0.3">
      <c r="A95" s="15" t="s">
        <v>77</v>
      </c>
      <c r="B95" s="33">
        <v>7.43492</v>
      </c>
      <c r="C95" s="33"/>
      <c r="D95" s="33">
        <v>12.8855</v>
      </c>
      <c r="E95" s="33">
        <v>10.9068</v>
      </c>
      <c r="F95" s="33">
        <v>8.9205100000000002</v>
      </c>
      <c r="G95" s="33">
        <v>9.6977499999999992</v>
      </c>
      <c r="H95" s="33">
        <v>12.8033</v>
      </c>
      <c r="I95" s="33"/>
      <c r="J95" s="33">
        <v>16.3888</v>
      </c>
      <c r="K95" s="33">
        <v>14.814500000000001</v>
      </c>
      <c r="L95" s="33">
        <v>13.992000000000001</v>
      </c>
      <c r="M95" s="33">
        <v>15.855700000000001</v>
      </c>
      <c r="N95" s="33">
        <v>19.400300000000001</v>
      </c>
      <c r="O95" s="33"/>
      <c r="P95" s="33">
        <v>22.004799999999999</v>
      </c>
      <c r="Q95" s="33">
        <v>21.179200000000002</v>
      </c>
      <c r="R95" s="33">
        <v>17.588799999999999</v>
      </c>
      <c r="S95" s="33">
        <v>15.569699999999999</v>
      </c>
      <c r="T95" s="33">
        <v>19.811399999999999</v>
      </c>
    </row>
    <row r="96" spans="1:20" x14ac:dyDescent="0.3">
      <c r="A96" s="15" t="s">
        <v>190</v>
      </c>
      <c r="B96" s="33">
        <v>5.1639999999999997</v>
      </c>
      <c r="C96" s="33"/>
      <c r="D96" s="33">
        <v>17.933299999999999</v>
      </c>
      <c r="E96" s="33">
        <v>25.232600000000001</v>
      </c>
      <c r="F96" s="33">
        <v>28.7165</v>
      </c>
      <c r="G96" s="33">
        <v>30.3904</v>
      </c>
      <c r="H96" s="33">
        <v>31.7441</v>
      </c>
      <c r="I96" s="33"/>
      <c r="J96" s="33">
        <v>19.346699999999998</v>
      </c>
      <c r="K96" s="33">
        <v>29.8096</v>
      </c>
      <c r="L96" s="33">
        <v>35.923499999999997</v>
      </c>
      <c r="M96" s="33">
        <v>38.465800000000002</v>
      </c>
      <c r="N96" s="33">
        <v>40.158499999999997</v>
      </c>
      <c r="O96" s="33"/>
      <c r="P96" s="33">
        <v>25.745000000000001</v>
      </c>
      <c r="Q96" s="33">
        <v>36.6858</v>
      </c>
      <c r="R96" s="33">
        <v>37.832599999999999</v>
      </c>
      <c r="S96" s="33">
        <v>39.853999999999999</v>
      </c>
      <c r="T96" s="33">
        <v>41.041200000000003</v>
      </c>
    </row>
    <row r="97" spans="1:20" ht="15" thickBot="1" x14ac:dyDescent="0.35">
      <c r="A97" s="29" t="s">
        <v>207</v>
      </c>
      <c r="B97" s="36">
        <v>12.5989</v>
      </c>
      <c r="C97" s="33"/>
      <c r="D97" s="36">
        <v>30.8188</v>
      </c>
      <c r="E97" s="36">
        <v>36.139400000000002</v>
      </c>
      <c r="F97" s="36">
        <v>37.637</v>
      </c>
      <c r="G97" s="36">
        <v>40.088099999999997</v>
      </c>
      <c r="H97" s="36">
        <v>44.547400000000003</v>
      </c>
      <c r="I97" s="33"/>
      <c r="J97" s="36">
        <v>35.735500000000002</v>
      </c>
      <c r="K97" s="36">
        <v>44.624099999999999</v>
      </c>
      <c r="L97" s="36">
        <v>49.915399999999998</v>
      </c>
      <c r="M97" s="36">
        <v>54.3215</v>
      </c>
      <c r="N97" s="36">
        <v>59.558799999999998</v>
      </c>
      <c r="O97" s="33"/>
      <c r="P97" s="36">
        <v>47.7498</v>
      </c>
      <c r="Q97" s="36">
        <v>57.865000000000002</v>
      </c>
      <c r="R97" s="36">
        <v>55.421399999999998</v>
      </c>
      <c r="S97" s="36">
        <v>55.4238</v>
      </c>
      <c r="T97" s="36">
        <v>60.852600000000002</v>
      </c>
    </row>
    <row r="98" spans="1:20" ht="15" thickTop="1" x14ac:dyDescent="0.3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metal_list</vt:lpstr>
      <vt:lpstr>EI_markets_etm</vt:lpstr>
      <vt:lpstr>EI_markets_roe</vt:lpstr>
      <vt:lpstr>IEA_demand</vt:lpstr>
      <vt:lpstr>roe_demand</vt:lpstr>
      <vt:lpstr>d</vt:lpstr>
      <vt:lpstr>EI_markets_old</vt:lpstr>
      <vt:lpstr>IEA_demand_OLD</vt:lpstr>
      <vt:lpstr>IEA_raw_data_mineral</vt:lpstr>
      <vt:lpstr>IEA_raw_data_tech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Marin Pellan</dc:creator>
  <cp:lastModifiedBy>Marin PELLAN</cp:lastModifiedBy>
  <dcterms:created xsi:type="dcterms:W3CDTF">2015-06-05T18:17:20Z</dcterms:created>
  <dcterms:modified xsi:type="dcterms:W3CDTF">2025-06-04T20:17:38Z</dcterms:modified>
</cp:coreProperties>
</file>